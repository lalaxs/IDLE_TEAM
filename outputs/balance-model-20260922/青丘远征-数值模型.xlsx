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2b3764acd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88c7e6ca7a74a6c"/>
    <x:sheet xmlns:r="http://schemas.openxmlformats.org/officeDocument/2006/relationships" name="参数" sheetId="2" r:id="R1e287aa2f3fa4252"/>
    <x:sheet xmlns:r="http://schemas.openxmlformats.org/officeDocument/2006/relationships" name="角色成长" sheetId="3" r:id="R3da88d8461994967"/>
    <x:sheet xmlns:r="http://schemas.openxmlformats.org/officeDocument/2006/relationships" name="升级消耗" sheetId="4" r:id="R0a39745ff5204d2a"/>
    <x:sheet xmlns:r="http://schemas.openxmlformats.org/officeDocument/2006/relationships" name="装备" sheetId="5" r:id="R25dac92f2ca1453f"/>
    <x:sheet xmlns:r="http://schemas.openxmlformats.org/officeDocument/2006/relationships" name="敌人与关卡" sheetId="6" r:id="Re70a29e29b27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"/>
    <x:numFmt numFmtId="201" formatCode="0.00"/>
    <x:numFmt numFmtId="202" formatCode="#,##0"/>
    <x:numFmt numFmtId="203" formatCode="0.0%"/>
    <x:numFmt numFmtId="204" formatCode="0.0000"/>
    <x:numFmt numFmtId="205" formatCode="0.0"/>
    <x:numFmt numFmtId="206" formatCode="0"/>
    <x:numFmt numFmtId="207" formatCode="0%"/>
  </x:numFmts>
  <x:fonts count="4">
    <x:font>
      <x:sz val="11"/>
      <x:name val="Carlito"/>
    </x:font>
    <x:font>
      <x:sz val="10"/>
      <x:color rgb="FF202C3B"/>
      <x:name val="Microsoft YaHei"/>
    </x:font>
    <x:font>
      <x:b/>
      <x:sz val="15"/>
      <x:color rgb="FF263F62"/>
      <x:name val="Microsoft YaHei"/>
    </x:font>
    <x:font>
      <x:b/>
      <x:sz val="10"/>
      <x:color rgb="FFFFFFFF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294766"/>
      </x:patternFill>
    </x:fill>
    <x:fill>
      <x:patternFill patternType="solid">
        <x:fgColor rgb="FFFFF0CA"/>
      </x:patternFill>
    </x:fill>
    <x:fill>
      <x:patternFill patternType="solid">
        <x:fgColor rgb="FFDDE7EE"/>
      </x:patternFill>
    </x:fill>
    <x:fill>
      <x:patternFill patternType="solid">
        <x:fgColor rgb="FFF4F7FA"/>
      </x:patternFill>
    </x:fill>
    <x:fill>
      <x:patternFill patternType="solid">
        <x:fgColor rgb="FFFFF0CA"/>
      </x:patternFill>
    </x:fill>
    <x:fill>
      <x:patternFill patternType="solid">
        <x:fgColor rgb="FFDDE7EE"/>
      </x:patternFill>
    </x:fill>
    <x:fill>
      <x:patternFill patternType="solid">
        <x:fgColor rgb="FFF4F7FA"/>
      </x:patternFill>
    </x:fill>
    <x:fill>
      <x:patternFill patternType="solid">
        <x:fgColor rgb="FF294967"/>
      </x:patternFill>
    </x:fill>
    <x:fill>
      <x:patternFill patternType="solid">
        <x:fgColor rgb="FFFFF0CA"/>
      </x:patternFill>
    </x:fill>
    <x:fill>
      <x:patternFill patternType="solid">
        <x:fgColor rgb="FF294967"/>
      </x:patternFill>
    </x:fill>
    <x:fill>
      <x:patternFill patternType="solid">
        <x:fgColor rgb="FFDDE7EE"/>
      </x:patternFill>
    </x:fill>
    <x:fill>
      <x:patternFill patternType="solid">
        <x:fgColor rgb="FF294967"/>
      </x:patternFill>
    </x:fill>
  </x:fills>
  <x:borders count="5">
    <x:border/>
    <x:border>
      <x:bottom style="thin">
        <x:color rgb="FF9EAFB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6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/>
    <x:xf numFmtId="202" fontId="1" fillId="0" borderId="0" xfId="0" applyNumberFormat="1" applyFont="1" applyFill="1" applyBorder="1"/>
    <x:xf numFmtId="202" fontId="1" fillId="8" borderId="0" xfId="0" applyNumberFormat="1" applyFont="1" applyFill="1" applyBorder="1"/>
    <x:xf numFmtId="201" fontId="1" fillId="0" borderId="0" xfId="0" applyNumberFormat="1" applyFont="1" applyFill="1" applyBorder="1"/>
    <x:xf numFmtId="201" fontId="1" fillId="8" borderId="0" xfId="0" applyNumberFormat="1" applyFont="1" applyFill="1" applyBorder="1"/>
    <x:xf numFmtId="202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6" fontId="1" fillId="3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e17bd829a4f55" /><Relationship Type="http://schemas.openxmlformats.org/officeDocument/2006/relationships/theme" Target="/xl/theme/theme1.xml" Id="R897303c5cbcc4800" /><Relationship Type="http://schemas.openxmlformats.org/officeDocument/2006/relationships/sharedStrings" Target="/xl/sharedStrings.xml" Id="R232da03b99e34f1c" /><Relationship Type="http://schemas.openxmlformats.org/officeDocument/2006/relationships/worksheet" Target="/xl/worksheets/sheet1.xml" Id="R588c7e6ca7a74a6c" /><Relationship Type="http://schemas.openxmlformats.org/officeDocument/2006/relationships/worksheet" Target="/xl/worksheets/sheet2.xml" Id="R1e287aa2f3fa4252" /><Relationship Type="http://schemas.openxmlformats.org/officeDocument/2006/relationships/worksheet" Target="/xl/worksheets/sheet3.xml" Id="R3da88d8461994967" /><Relationship Type="http://schemas.openxmlformats.org/officeDocument/2006/relationships/worksheet" Target="/xl/worksheets/sheet4.xml" Id="R0a39745ff5204d2a" /><Relationship Type="http://schemas.openxmlformats.org/officeDocument/2006/relationships/worksheet" Target="/xl/worksheets/sheet5.xml" Id="R25dac92f2ca1453f" /><Relationship Type="http://schemas.openxmlformats.org/officeDocument/2006/relationships/worksheet" Target="/xl/worksheets/sheet6.xml" Id="Re70a29e29b2746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1706339d8c44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不加速与充分加速养成天数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不加速累计天</c:v>
          </c:tx>
          <c:spPr>
            <a:ln xmlns:a="http://schemas.openxmlformats.org/drawingml/2006/main" w="19050">
              <a:solidFill>
                <a:srgbClr val="496A9C"/>
              </a:solidFill>
              <a:prstDash val="solid"/>
            </a:ln>
          </c:spPr>
          <c:marker>
            <c:symbol val="none"/>
          </c:marker>
          <c:cat>
            <c:strRef>
              <c:f>'总览'!$A$10:$A$18</c:f>
              <c:strCache>
                <c:ptCount val="0"/>
              </c:strCache>
            </c:strRef>
          </c:cat>
          <c:val>
            <c:numRef>
              <c:f>'总览'!$B$10:$B$18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充分加速累计天</c:v>
          </c:tx>
          <c:spPr>
            <a:ln xmlns:a="http://schemas.openxmlformats.org/drawingml/2006/main" w="19050">
              <a:solidFill>
                <a:srgbClr val="BF873C"/>
              </a:solidFill>
              <a:prstDash val="solid"/>
            </a:ln>
          </c:spPr>
          <c:marker>
            <c:symbol val="none"/>
          </c:marker>
          <c:cat>
            <c:strRef>
              <c:f>'总览'!$A$10:$A$18</c:f>
              <c:strCache>
                <c:ptCount val="0"/>
              </c:strCache>
            </c:strRef>
          </c:cat>
          <c:val>
            <c:numRef>
              <c:f>'总览'!$G$10:$G$18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1706339d8c44e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b5a72d56224a81" /></Relationships>
</file>

<file path=xl/worksheets/sheet1.xml><?xml version="1.0" encoding="utf-8"?>
<x:worksheet xmlns:x="http://schemas.openxmlformats.org/spreadsheetml/2006/main">
  <x:sheetPr>
    <x:tabColor rgb="FF294766"/>
  </x:sheetPr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青丘远征 数值模型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4" customHeight="1">
      <x:c r="A4" s="2" t="str">
        <x:v>模型状态</x:v>
      </x:c>
      <x:c r="B4" s="16" t="str">
        <x:v>已接入游戏；90/30 天为参考推进下的经验预算</x:v>
      </x:c>
      <x:c r="C4" s="16"/>
      <x:c r="D4" s="16"/>
      <x:c r="E4" s="16"/>
      <x:c r="F4" s="16"/>
      <x:c r="G4" s="16"/>
      <x:c r="H4" s="16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 t="str">
        <x:v>不加速满级天数</x:v>
      </x:c>
      <x:c r="B6" s="15" t="n">
        <x:f>'升级消耗'!V104</x:f>
        <x:v>90.00496474355738</x:v>
      </x:c>
      <x:c r="C6" s="2"/>
      <x:c r="D6" s="2" t="str">
        <x:v>充分加速天数</x:v>
      </x:c>
      <x:c r="E6" s="15" t="n">
        <x:f>'升级消耗'!T104</x:f>
        <x:v>30.00165491451912</x:v>
      </x:c>
      <x:c r="F6" s="18"/>
      <x:c r="G6" s="18" t="str">
        <x:v>当前加速天数</x:v>
      </x:c>
      <x:c r="H6" s="15" t="n">
        <x:f>'升级消耗'!J104</x:f>
        <x:v>90.00496474355738</x:v>
      </x:c>
      <x:c r="I6" s="2"/>
      <x:c r="J6" s="2"/>
      <x:c r="K6" s="2"/>
      <x:c r="L6" s="2"/>
    </x:row>
    <x:row r="7" ht="22" customHeight="1">
      <x:c r="A7" s="2" t="str">
        <x:v>全队经验消耗</x:v>
      </x:c>
      <x:c r="B7" s="18" t="n">
        <x:f>'升级消耗'!K104</x:f>
        <x:v>14100190</x:v>
      </x:c>
      <x:c r="C7" s="2"/>
      <x:c r="D7" s="2" t="str">
        <x:v>满级前进阶石</x:v>
      </x:c>
      <x:c r="E7" s="18" t="n">
        <x:f>'升级消耗'!N104</x:f>
        <x:v>55</x:v>
      </x:c>
      <x:c r="F7" s="2"/>
      <x:c r="G7" s="2"/>
      <x:c r="H7" s="2"/>
      <x:c r="I7" s="2"/>
      <x:c r="J7" s="2"/>
      <x:c r="K7" s="2"/>
      <x:c r="L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8" customHeight="1">
      <x:c r="A9" s="9" t="str">
        <x:v>角色等级</x:v>
      </x:c>
      <x:c r="B9" s="10" t="str">
        <x:v>不加速累计天</x:v>
      </x:c>
      <x:c r="C9" s="10" t="str">
        <x:v>单人下一级经验</x:v>
      </x:c>
      <x:c r="D9" s="10" t="str">
        <x:v>当前下一级小时</x:v>
      </x:c>
      <x:c r="E9" s="10" t="str">
        <x:v>输出总攻击</x:v>
      </x:c>
      <x:c r="F9" s="11" t="str">
        <x:v>坦克总生命</x:v>
      </x:c>
      <x:c r="G9" s="40" t="str">
        <x:v>充分加速累计天</x:v>
      </x:c>
      <x:c r="H9" s="2"/>
      <x:c r="I9" s="2"/>
      <x:c r="J9" s="2"/>
      <x:c r="K9" s="2"/>
      <x:c r="L9" s="2"/>
    </x:row>
    <x:row r="10" ht="22" customHeight="1">
      <x:c r="A10" s="2" t="n">
        <x:v>1</x:v>
      </x:c>
      <x:c r="B10" s="15" t="n">
        <x:f>0</x:f>
        <x:v>0</x:v>
      </x:c>
      <x:c r="C10" s="18" t="n">
        <x:f>'升级消耗'!F6</x:f>
        <x:v>12</x:v>
      </x:c>
      <x:c r="D10" s="15" t="n">
        <x:f>'升级消耗'!I6</x:f>
        <x:v>0.08888888888888889</x:v>
      </x:c>
      <x:c r="E10" s="18" t="n">
        <x:f>'角色成长'!O6</x:f>
        <x:v>125</x:v>
      </x:c>
      <x:c r="F10" s="18" t="n">
        <x:f>'角色成长'!P6</x:f>
        <x:v>1500</x:v>
      </x:c>
      <x:c r="G10" s="15" t="n">
        <x:f>0</x:f>
        <x:v>0</x:v>
      </x:c>
      <x:c r="H10" s="2"/>
      <x:c r="I10" s="2"/>
      <x:c r="J10" s="2"/>
      <x:c r="K10" s="2"/>
      <x:c r="L10" s="2"/>
    </x:row>
    <x:row r="11" ht="22" customHeight="1">
      <x:c r="A11" s="2" t="n">
        <x:v>10</x:v>
      </x:c>
      <x:c r="B11" s="15" t="n">
        <x:f>'升级消耗'!V14</x:f>
        <x:v>0.18107990072347405</x:v>
      </x:c>
      <x:c r="C11" s="18" t="n">
        <x:f>'升级消耗'!F15</x:f>
        <x:v>218</x:v>
      </x:c>
      <x:c r="D11" s="15" t="n">
        <x:f>'升级消耗'!I15</x:f>
        <x:v>1.237621093710449</x:v>
      </x:c>
      <x:c r="E11" s="18" t="n">
        <x:f>'角色成长'!O15</x:f>
        <x:v>247</x:v>
      </x:c>
      <x:c r="F11" s="18" t="n">
        <x:f>'角色成长'!P15</x:f>
        <x:v>2789</x:v>
      </x:c>
      <x:c r="G11" s="15" t="n">
        <x:f>'升级消耗'!T14</x:f>
        <x:v>0.06035996690782467</x:v>
      </x:c>
      <x:c r="H11" s="2"/>
      <x:c r="I11" s="2"/>
      <x:c r="J11" s="2"/>
      <x:c r="K11" s="2"/>
      <x:c r="L11" s="2"/>
    </x:row>
    <x:row r="12" ht="22" customHeight="1">
      <x:c r="A12" s="2" t="n">
        <x:v>20</x:v>
      </x:c>
      <x:c r="B12" s="15" t="n">
        <x:f>'升级消耗'!V24</x:f>
        <x:v>1.14995770716547</x:v>
      </x:c>
      <x:c r="C12" s="18" t="n">
        <x:f>'升级消耗'!F25</x:f>
        <x:v>919</x:v>
      </x:c>
      <x:c r="D12" s="15" t="n">
        <x:f>'升级消耗'!I25</x:f>
        <x:v>3.8821693232604346</x:v>
      </x:c>
      <x:c r="E12" s="18" t="n">
        <x:f>'角色成长'!O25</x:f>
        <x:v>474</x:v>
      </x:c>
      <x:c r="F12" s="18" t="n">
        <x:f>'角色成长'!P25</x:f>
        <x:v>5236</x:v>
      </x:c>
      <x:c r="G12" s="15" t="n">
        <x:f>'升级消耗'!T24</x:f>
        <x:v>0.3833192357218233</x:v>
      </x:c>
      <x:c r="H12" s="2"/>
      <x:c r="I12" s="2"/>
      <x:c r="J12" s="2"/>
      <x:c r="K12" s="2"/>
      <x:c r="L12" s="2"/>
    </x:row>
    <x:row r="13" ht="22" customHeight="1">
      <x:c r="A13" s="2" t="n">
        <x:v>40</x:v>
      </x:c>
      <x:c r="B13" s="15" t="n">
        <x:f>'升级消耗'!V44</x:f>
        <x:v>7.507578191958154</x:v>
      </x:c>
      <x:c r="C13" s="18" t="n">
        <x:f>'升级消耗'!F45</x:f>
        <x:v>5335</x:v>
      </x:c>
      <x:c r="D13" s="15" t="n">
        <x:f>'升级消耗'!I45</x:f>
        <x:v>12.478112354771145</x:v>
      </x:c>
      <x:c r="E13" s="18" t="n">
        <x:f>'角色成长'!O45</x:f>
        <x:v>962</x:v>
      </x:c>
      <x:c r="F13" s="18" t="n">
        <x:f>'角色成长'!P45</x:f>
        <x:v>10702</x:v>
      </x:c>
      <x:c r="G13" s="15" t="n">
        <x:f>'升级消耗'!T44</x:f>
        <x:v>2.5025260639860503</x:v>
      </x:c>
      <x:c r="H13" s="2"/>
      <x:c r="I13" s="2"/>
      <x:c r="J13" s="2"/>
      <x:c r="K13" s="2"/>
      <x:c r="L13" s="2"/>
    </x:row>
    <x:row r="14" ht="22" customHeight="1">
      <x:c r="A14" s="2" t="n">
        <x:v>50</x:v>
      </x:c>
      <x:c r="B14" s="15" t="n">
        <x:f>'升级消耗'!V54</x:f>
        <x:v>13.749816367840351</x:v>
      </x:c>
      <x:c r="C14" s="18" t="n">
        <x:f>'升级消耗'!F55</x:f>
        <x:v>10461</x:v>
      </x:c>
      <x:c r="D14" s="15" t="n">
        <x:f>'升级消耗'!I55</x:f>
        <x:v>18.206037085415037</x:v>
      </x:c>
      <x:c r="E14" s="18" t="n">
        <x:f>'角色成长'!O55</x:f>
        <x:v>1424</x:v>
      </x:c>
      <x:c r="F14" s="18" t="n">
        <x:f>'角色成长'!P55</x:f>
        <x:v>16047</x:v>
      </x:c>
      <x:c r="G14" s="15" t="n">
        <x:f>'升级消耗'!T54</x:f>
        <x:v>4.583272122613448</x:v>
      </x:c>
      <x:c r="H14" s="2"/>
      <x:c r="I14" s="2"/>
      <x:c r="J14" s="2"/>
      <x:c r="K14" s="2"/>
      <x:c r="L14" s="2"/>
    </x:row>
    <x:row r="15" ht="22" customHeight="1">
      <x:c r="A15" s="2" t="n">
        <x:v>60</x:v>
      </x:c>
      <x:c r="B15" s="15" t="n">
        <x:f>'升级消耗'!V64</x:f>
        <x:v>22.542824289855854</x:v>
      </x:c>
      <x:c r="C15" s="18" t="n">
        <x:f>'升级消耗'!F65</x:f>
        <x:v>19150</x:v>
      </x:c>
      <x:c r="D15" s="15" t="n">
        <x:f>'升级消耗'!I65</x:f>
        <x:v>24.79926173354683</x:v>
      </x:c>
      <x:c r="E15" s="18" t="n">
        <x:f>'角色成长'!O65</x:f>
        <x:v>2029</x:v>
      </x:c>
      <x:c r="F15" s="18" t="n">
        <x:f>'角色成长'!P65</x:f>
        <x:v>22938</x:v>
      </x:c>
      <x:c r="G15" s="15" t="n">
        <x:f>'升级消耗'!T64</x:f>
        <x:v>7.5142747632852815</x:v>
      </x:c>
      <x:c r="H15" s="2"/>
      <x:c r="I15" s="2"/>
      <x:c r="J15" s="2"/>
      <x:c r="K15" s="2"/>
      <x:c r="L15" s="2"/>
    </x:row>
    <x:row r="16" ht="22" customHeight="1">
      <x:c r="A16" s="2" t="n">
        <x:v>80</x:v>
      </x:c>
      <x:c r="B16" s="15" t="n">
        <x:f>'升级消耗'!V84</x:f>
        <x:v>49.16895858434836</x:v>
      </x:c>
      <x:c r="C16" s="18" t="n">
        <x:f>'升级消耗'!F85</x:f>
        <x:v>56350</x:v>
      </x:c>
      <x:c r="D16" s="15" t="n">
        <x:f>'升级消耗'!I85</x:f>
        <x:v>40.40353834574739</x:v>
      </x:c>
      <x:c r="E16" s="18" t="n">
        <x:f>'角色成长'!O85</x:f>
        <x:v>4116</x:v>
      </x:c>
      <x:c r="F16" s="18" t="n">
        <x:f>'角色成长'!P85</x:f>
        <x:v>46871</x:v>
      </x:c>
      <x:c r="G16" s="15" t="n">
        <x:f>'升级消耗'!T84</x:f>
        <x:v>16.38965286144945</x:v>
      </x:c>
      <x:c r="H16" s="2"/>
      <x:c r="I16" s="2"/>
      <x:c r="J16" s="2"/>
      <x:c r="K16" s="2"/>
      <x:c r="L16" s="2"/>
    </x:row>
    <x:row r="17" ht="22" customHeight="1">
      <x:c r="A17" s="2" t="n">
        <x:v>90</x:v>
      </x:c>
      <x:c r="B17" s="15" t="n">
        <x:f>'升级消耗'!V94</x:f>
        <x:v>67.65537907679017</x:v>
      </x:c>
      <x:c r="C17" s="18" t="n">
        <x:f>'升级消耗'!F95</x:f>
        <x:v>92493</x:v>
      </x:c>
      <x:c r="D17" s="15" t="n">
        <x:f>'升级消耗'!I95</x:f>
        <x:v>49.34715264369646</x:v>
      </x:c>
      <x:c r="E17" s="18" t="n">
        <x:f>'角色成长'!O95</x:f>
        <x:v>6263</x:v>
      </x:c>
      <x:c r="F17" s="18" t="n">
        <x:f>'角色成长'!P95</x:f>
        <x:v>72765</x:v>
      </x:c>
      <x:c r="G17" s="15" t="n">
        <x:f>'升级消耗'!T94</x:f>
        <x:v>22.55179302559672</x:v>
      </x:c>
      <x:c r="H17" s="2"/>
      <x:c r="I17" s="2"/>
      <x:c r="J17" s="2"/>
      <x:c r="K17" s="2"/>
      <x:c r="L17" s="2"/>
    </x:row>
    <x:row r="18" ht="22" customHeight="1">
      <x:c r="A18" s="2" t="n">
        <x:v>100</x:v>
      </x:c>
      <x:c r="B18" s="15" t="n">
        <x:f>'升级消耗'!V104</x:f>
        <x:v>90.00496474355738</x:v>
      </x:c>
      <x:c r="C18" s="35" t="str">
        <x:f>"满级"</x:f>
        <x:v>满级</x:v>
      </x:c>
      <x:c r="D18" s="36" t="str">
        <x:f>"满级"</x:f>
        <x:v>满级</x:v>
      </x:c>
      <x:c r="E18" s="18" t="n">
        <x:f>'角色成长'!O105</x:f>
        <x:v>8916</x:v>
      </x:c>
      <x:c r="F18" s="18" t="n">
        <x:f>'角色成长'!P105</x:f>
        <x:v>103990</x:v>
      </x:c>
      <x:c r="G18" s="15" t="n">
        <x:f>'升级消耗'!T104</x:f>
        <x:v>30.00165491451912</x:v>
      </x:c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五轮终点参考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34" customHeight="1">
      <x:c r="A23" s="9" t="str">
        <x:v>难度</x:v>
      </x:c>
      <x:c r="B23" s="10" t="str">
        <x:v>关卡</x:v>
      </x:c>
      <x:c r="C23" s="10" t="str">
        <x:v>角色级</x:v>
      </x:c>
      <x:c r="D23" s="10" t="str">
        <x:v>装备级</x:v>
      </x:c>
      <x:c r="E23" s="10" t="str">
        <x:v>普通生命</x:v>
      </x:c>
      <x:c r="F23" s="10" t="str">
        <x:v>首领生命</x:v>
      </x:c>
      <x:c r="G23" s="10" t="str">
        <x:v>首领时间秒</x:v>
      </x:c>
      <x:c r="H23" s="11" t="str">
        <x:v>挂机经验/时</x:v>
      </x:c>
      <x:c r="I23" s="2"/>
      <x:c r="J23" s="2"/>
      <x:c r="K23" s="2"/>
      <x:c r="L23" s="2"/>
    </x:row>
    <x:row r="24" ht="22" customHeight="1">
      <x:c r="A24" s="2" t="str">
        <x:f>'敌人与关卡'!A125</x:f>
        <x:v>简单</x:v>
      </x:c>
      <x:c r="B24" s="2" t="n">
        <x:f>'敌人与关卡'!B125</x:f>
        <x:v>120</x:v>
      </x:c>
      <x:c r="C24" s="18" t="n">
        <x:f>'敌人与关卡'!D125</x:f>
        <x:v>50</x:v>
      </x:c>
      <x:c r="D24" s="18" t="n">
        <x:f>'敌人与关卡'!E125</x:f>
        <x:v>45</x:v>
      </x:c>
      <x:c r="E24" s="18" t="n">
        <x:f>'敌人与关卡'!G125</x:f>
        <x:v>27420</x:v>
      </x:c>
      <x:c r="F24" s="18" t="n">
        <x:f>'敌人与关卡'!K125</x:f>
        <x:v>297769</x:v>
      </x:c>
      <x:c r="G24" s="18" t="n">
        <x:f>'敌人与关卡'!Y125</x:f>
        <x:v>45.88383838383838</x:v>
      </x:c>
      <x:c r="H24" s="18" t="n">
        <x:f>'敌人与关卡'!N125</x:f>
        <x:v>2553.731661382774</x:v>
      </x:c>
      <x:c r="I24" s="2"/>
      <x:c r="J24" s="2"/>
      <x:c r="K24" s="2"/>
      <x:c r="L24" s="2"/>
    </x:row>
    <x:row r="25" ht="22" customHeight="1">
      <x:c r="A25" s="2" t="str">
        <x:f>'敌人与关卡'!A245</x:f>
        <x:v>困难</x:v>
      </x:c>
      <x:c r="B25" s="2" t="n">
        <x:f>'敌人与关卡'!B245</x:f>
        <x:v>120</x:v>
      </x:c>
      <x:c r="C25" s="18" t="n">
        <x:f>'敌人与关卡'!D245</x:f>
        <x:v>90</x:v>
      </x:c>
      <x:c r="D25" s="18" t="n">
        <x:f>'敌人与关卡'!E245</x:f>
        <x:v>85</x:v>
      </x:c>
      <x:c r="E25" s="18" t="n">
        <x:f>'敌人与关卡'!G245</x:f>
        <x:v>160458</x:v>
      </x:c>
      <x:c r="F25" s="18" t="n">
        <x:f>'敌人与关卡'!K245</x:f>
        <x:v>1803215</x:v>
      </x:c>
      <x:c r="G25" s="18" t="n">
        <x:f>'敌人与关卡'!Y245</x:f>
        <x:v>60.69444444444444</x:v>
      </x:c>
      <x:c r="H25" s="18" t="n">
        <x:f>'敌人与关卡'!N245</x:f>
        <x:v>8330.3691900552</x:v>
      </x:c>
      <x:c r="I25" s="2"/>
      <x:c r="J25" s="2"/>
      <x:c r="K25" s="2"/>
      <x:c r="L25" s="2"/>
    </x:row>
    <x:row r="26" ht="22" customHeight="1">
      <x:c r="A26" s="2" t="str">
        <x:f>'敌人与关卡'!A365</x:f>
        <x:v>噩梦</x:v>
      </x:c>
      <x:c r="B26" s="2" t="n">
        <x:f>'敌人与关卡'!B365</x:f>
        <x:v>120</x:v>
      </x:c>
      <x:c r="C26" s="18" t="n">
        <x:f>'敌人与关卡'!D365</x:f>
        <x:v>100</x:v>
      </x:c>
      <x:c r="D26" s="18" t="n">
        <x:f>'敌人与关卡'!E365</x:f>
        <x:v>100</x:v>
      </x:c>
      <x:c r="E26" s="18" t="n">
        <x:f>'敌人与关卡'!G365</x:f>
        <x:v>295459</x:v>
      </x:c>
      <x:c r="F26" s="18" t="n">
        <x:f>'敌人与关卡'!K365</x:f>
        <x:v>3344563</x:v>
      </x:c>
      <x:c r="G26" s="18" t="n">
        <x:f>'敌人与关卡'!Y365</x:f>
        <x:v>69</x:v>
      </x:c>
      <x:c r="H26" s="18" t="n">
        <x:f>'敌人与关卡'!N365</x:f>
        <x:v>11195.319600498813</x:v>
      </x:c>
      <x:c r="I26" s="2"/>
      <x:c r="J26" s="2"/>
      <x:c r="K26" s="2"/>
      <x:c r="L26" s="2"/>
    </x:row>
    <x:row r="27" ht="22" customHeight="1">
      <x:c r="A27" s="2" t="str">
        <x:f>'敌人与关卡'!A485</x:f>
        <x:v>地狱</x:v>
      </x:c>
      <x:c r="B27" s="2" t="n">
        <x:f>'敌人与关卡'!B485</x:f>
        <x:v>120</x:v>
      </x:c>
      <x:c r="C27" s="18" t="n">
        <x:f>'敌人与关卡'!D485</x:f>
        <x:v>100</x:v>
      </x:c>
      <x:c r="D27" s="18" t="n">
        <x:f>'敌人与关卡'!E485</x:f>
        <x:v>100</x:v>
      </x:c>
      <x:c r="E27" s="18" t="n">
        <x:f>'敌人与关卡'!G485</x:f>
        <x:v>413554</x:v>
      </x:c>
      <x:c r="F27" s="18" t="n">
        <x:f>'敌人与关卡'!K485</x:f>
        <x:v>4681766</x:v>
      </x:c>
      <x:c r="G27" s="18" t="n">
        <x:f>'敌人与关卡'!Y485</x:f>
        <x:v>89.26875</x:v>
      </x:c>
      <x:c r="H27" s="18" t="n">
        <x:f>'敌人与关卡'!N485</x:f>
        <x:v>11195.319600498813</x:v>
      </x:c>
      <x:c r="I27" s="2"/>
      <x:c r="J27" s="2"/>
      <x:c r="K27" s="2"/>
      <x:c r="L27" s="2"/>
    </x:row>
    <x:row r="28" ht="22" customHeight="1">
      <x:c r="A28" s="2" t="str">
        <x:f>'敌人与关卡'!A605</x:f>
        <x:v>折磨</x:v>
      </x:c>
      <x:c r="B28" s="2" t="n">
        <x:f>'敌人与关卡'!B605</x:f>
        <x:v>120</x:v>
      </x:c>
      <x:c r="C28" s="18" t="n">
        <x:f>'敌人与关卡'!D605</x:f>
        <x:v>100</x:v>
      </x:c>
      <x:c r="D28" s="18" t="n">
        <x:f>'敌人与关卡'!E605</x:f>
        <x:v>100</x:v>
      </x:c>
      <x:c r="E28" s="18" t="n">
        <x:f>'敌人与关卡'!G605</x:f>
        <x:v>520392</x:v>
      </x:c>
      <x:c r="F28" s="18" t="n">
        <x:f>'敌人与关卡'!K605</x:f>
        <x:v>5891394</x:v>
      </x:c>
      <x:c r="G28" s="18" t="n">
        <x:f>'敌人与关卡'!Y605</x:f>
        <x:v>105.8</x:v>
      </x:c>
      <x:c r="H28" s="18" t="n">
        <x:f>'敌人与关卡'!N605</x:f>
        <x:v>11195.319600498813</x:v>
      </x:c>
      <x:c r="I28" s="2"/>
      <x:c r="J28" s="2"/>
      <x:c r="K28" s="2"/>
      <x:c r="L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34" customHeight="1">
      <x:c r="A31" s="2" t="str">
        <x:v>时间口径</x:v>
      </x:c>
      <x:c r="B31" s="16" t="str">
        <x:v>普通：24 小时挂机 + 2 小时日常 + 1 小时主动奖励等效收入。</x:v>
      </x:c>
      <x:c r="C31" s="16"/>
      <x:c r="D31" s="16"/>
      <x:c r="E31" s="16"/>
      <x:c r="F31" s="16"/>
      <x:c r="G31" s="16"/>
      <x:c r="H31" s="16"/>
      <x:c r="I31" s="2"/>
      <x:c r="J31" s="2"/>
      <x:c r="K31" s="2"/>
      <x:c r="L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34" customHeight="1">
      <x:c r="A33" s="2" t="str">
        <x:v>加速口径</x:v>
      </x:c>
      <x:c r="B33" s="16" t="str">
        <x:f>"每日上限：领取翻倍 "&amp;'参数'!B60&amp;" 次 + 快速收益 "&amp;'参数'!B63&amp;" 次，额外 "&amp;'参数'!B72&amp;" 小时等效收益。"</x:f>
        <x:v>每日上限：领取翻倍 2 次 + 快速收益 3 次，额外 54 小时等效收益。</x:v>
      </x:c>
      <x:c r="C33" s="16"/>
      <x:c r="D33" s="16"/>
      <x:c r="E33" s="16"/>
      <x:c r="F33" s="16"/>
      <x:c r="G33" s="16"/>
      <x:c r="H33" s="16"/>
      <x:c r="I33" s="2"/>
      <x:c r="J33" s="2"/>
      <x:c r="K33" s="2"/>
      <x:c r="L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34" customHeight="1">
      <x:c r="A35" s="2" t="str">
        <x:v>适用范围</x:v>
      </x:c>
      <x:c r="B35" s="16" t="str">
        <x:v>90 天为不加速预算；30 天需持续领取充分加速收益，并保持参考推进。</x:v>
      </x:c>
      <x:c r="C35" s="16"/>
      <x:c r="D35" s="16"/>
      <x:c r="E35" s="16"/>
      <x:c r="F35" s="16"/>
      <x:c r="G35" s="16"/>
      <x:c r="H35" s="16"/>
      <x:c r="I35" s="2"/>
      <x:c r="J35" s="2"/>
      <x:c r="K35" s="2"/>
      <x:c r="L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34" customHeight="1">
      <x:c r="A37" s="2" t="str">
        <x:v>调整方法</x:v>
      </x:c>
      <x:c r="B37" s="16" t="str">
        <x:v>参数页可调整每日加速次数；不加速、当前与充分加速周期分别计算。</x:v>
      </x:c>
      <x:c r="C37" s="16"/>
      <x:c r="D37" s="16"/>
      <x:c r="E37" s="16"/>
      <x:c r="F37" s="16"/>
      <x:c r="G37" s="16"/>
      <x:c r="H37" s="16"/>
      <x:c r="I37" s="2"/>
      <x:c r="J37" s="2"/>
      <x:c r="K37" s="2"/>
      <x:c r="L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34" customHeight="1">
      <x:c r="A39" s="1" t="str">
        <x:v>升星</x:v>
      </x:c>
      <x:c r="B39" s="53" t="str">
        <x:v>银/金/彩星每星技能效果 +2%/+3%/+4%；满阶段怒气 +3%/+6%/+10%。</x:v>
      </x:c>
      <x:c r="C39" s="53"/>
      <x:c r="D39" s="53"/>
      <x:c r="E39" s="53"/>
      <x:c r="F39" s="53"/>
      <x:c r="G39" s="53"/>
      <x:c r="H39" s="53"/>
    </x:row>
    <x:row r="41" ht="34" customHeight="1">
      <x:c r="A41" s="1" t="str">
        <x:v>进阶</x:v>
      </x:c>
      <x:c r="B41" s="53" t="str">
        <x:v>20/40/60/80 级突破；一阶解锁通用被动，二/四阶累计裸属性 +8%/+23%。</x:v>
      </x:c>
      <x:c r="C41" s="53"/>
      <x:c r="D41" s="53"/>
      <x:c r="E41" s="53"/>
      <x:c r="F41" s="53"/>
      <x:c r="G41" s="53"/>
      <x:c r="H41" s="53"/>
    </x:row>
    <x:row r="43" ht="34" customHeight="1">
      <x:c r="A43" s="1" t="str">
        <x:v>开局</x:v>
      </x:c>
      <x:c r="B43" s="53" t="str">
        <x:v>简单 1–17 关按固定解锁人数缩放敌人生命与攻击；不按实际队伍动态缩放。</x:v>
      </x:c>
      <x:c r="C43" s="53"/>
      <x:c r="D43" s="53"/>
      <x:c r="E43" s="53"/>
      <x:c r="F43" s="53"/>
      <x:c r="G43" s="53"/>
      <x:c r="H43" s="53"/>
    </x:row>
    <x:row r="45" ht="34" customHeight="1">
      <x:c r="A45" s="1" t="str">
        <x:v>预算边界</x:v>
      </x:c>
      <x:c r="B45" s="53" t="str">
        <x:v>90/30 天不含额外成长祝福、炼金及召唤经验；完整战斗结果另受构筑影响。</x:v>
      </x:c>
      <x:c r="C45" s="53"/>
      <x:c r="D45" s="53"/>
      <x:c r="E45" s="53"/>
      <x:c r="F45" s="53"/>
      <x:c r="G45" s="53"/>
      <x:c r="H45" s="53"/>
    </x:row>
  </x:sheetData>
  <x:mergeCells>
    <x:mergeCell ref="B39:H39"/>
    <x:mergeCell ref="B41:H41"/>
    <x:mergeCell ref="B43:H43"/>
    <x:mergeCell ref="B45:H45"/>
    <x:mergeCell ref="B4:H4"/>
    <x:mergeCell ref="B31:H31"/>
    <x:mergeCell ref="B33:H33"/>
    <x:mergeCell ref="B35:H35"/>
    <x:mergeCell ref="B37:H37"/>
  </x:mergeCells>
  <x:pageMargins left="0.7" right="0.7" top="0.75" bottom="0.75" header="0.3" footer="0.3"/>
  <x:drawing xmlns:r="http://schemas.openxmlformats.org/officeDocument/2006/relationships" r:id="R85b5a72d56224a81"/>
</x:worksheet>
</file>

<file path=xl/worksheets/sheet2.xml><?xml version="1.0" encoding="utf-8"?>
<x:worksheet xmlns:x="http://schemas.openxmlformats.org/spreadsheetml/2006/main">
  <x:sheetPr>
    <x:tabColor rgb="FF547899"/>
  </x:sheetPr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9" hidden="0" customWidth="1"/>
    <x:col min="4" max="4" width="56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数值参数与参考口径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34" customHeight="1">
      <x:c r="A4" s="9" t="str">
        <x:v>参数</x:v>
      </x:c>
      <x:c r="B4" s="10" t="str">
        <x:v>数值</x:v>
      </x:c>
      <x:c r="C4" s="10" t="str">
        <x:v>单位</x:v>
      </x:c>
      <x:c r="D4" s="11" t="str">
        <x:v>含义</x:v>
      </x:c>
      <x:c r="E4" s="2"/>
      <x:c r="F4" s="14" t="str">
        <x:v>定位</x:v>
      </x:c>
      <x:c r="G4" s="14" t="str">
        <x:v>生命</x:v>
      </x:c>
      <x:c r="H4" s="14" t="str">
        <x:v>攻击</x:v>
      </x:c>
      <x:c r="I4" s="14" t="str">
        <x:v>防御</x:v>
      </x:c>
      <x:c r="J4" s="14" t="str">
        <x:v>普攻间隔秒</x:v>
      </x:c>
      <x:c r="K4" s="14" t="str">
        <x:v>人数</x:v>
      </x:c>
      <x:c r="L4" s="14" t="str">
        <x:v>说明</x:v>
      </x:c>
      <x:c r="M4" s="2"/>
      <x:c r="N4" s="2"/>
      <x:c r="O4" s="2"/>
      <x:c r="P4" s="2"/>
    </x:row>
    <x:row r="5" ht="22" customHeight="1">
      <x:c r="A5" s="2" t="str">
        <x:v>不加速目标天数</x:v>
      </x:c>
      <x:c r="B5" s="13" t="n">
        <x:v>90</x:v>
      </x:c>
      <x:c r="C5" s="2" t="str">
        <x:v>天</x:v>
      </x:c>
      <x:c r="D5" s="2" t="str">
        <x:v>五人主力 1→100 级，普通活跃玩家</x:v>
      </x:c>
      <x:c r="E5" s="2"/>
      <x:c r="F5" s="2" t="str">
        <x:v>输出</x:v>
      </x:c>
      <x:c r="G5" s="12" t="n">
        <x:v>1000</x:v>
      </x:c>
      <x:c r="H5" s="12" t="n">
        <x:v>125</x:v>
      </x:c>
      <x:c r="I5" s="12" t="n">
        <x:v>35</x:v>
      </x:c>
      <x:c r="J5" s="12" t="n">
        <x:v>1.2</x:v>
      </x:c>
      <x:c r="K5" s="12" t="n">
        <x:v>3</x:v>
      </x:c>
      <x:c r="L5" s="2" t="str">
        <x:v>参考职业</x:v>
      </x:c>
      <x:c r="M5" s="2"/>
      <x:c r="N5" s="2"/>
      <x:c r="O5" s="2"/>
      <x:c r="P5" s="2"/>
    </x:row>
    <x:row r="6" ht="22" customHeight="1">
      <x:c r="A6" s="2" t="str">
        <x:v>养成人数</x:v>
      </x:c>
      <x:c r="B6" s="13" t="n">
        <x:v>5</x:v>
      </x:c>
      <x:c r="C6" s="2" t="str">
        <x:v>人</x:v>
      </x:c>
      <x:c r="D6" s="2" t="str">
        <x:v>固定五名主力，同级分配经验</x:v>
      </x:c>
      <x:c r="E6" s="2"/>
      <x:c r="F6" s="2" t="str">
        <x:v>坦克</x:v>
      </x:c>
      <x:c r="G6" s="12" t="n">
        <x:v>1500</x:v>
      </x:c>
      <x:c r="H6" s="12" t="n">
        <x:v>90</x:v>
      </x:c>
      <x:c r="I6" s="12" t="n">
        <x:v>65</x:v>
      </x:c>
      <x:c r="J6" s="12" t="n">
        <x:v>1.4</x:v>
      </x:c>
      <x:c r="K6" s="12" t="n">
        <x:v>1</x:v>
      </x:c>
      <x:c r="L6" s="2" t="str">
        <x:v>参考职业</x:v>
      </x:c>
      <x:c r="M6" s="2"/>
      <x:c r="N6" s="2"/>
      <x:c r="O6" s="2"/>
      <x:c r="P6" s="2"/>
    </x:row>
    <x:row r="7" ht="22" customHeight="1">
      <x:c r="A7" s="2" t="str">
        <x:v>时间权重指数</x:v>
      </x:c>
      <x:c r="B7" s="13" t="n">
        <x:v>1.7</x:v>
      </x:c>
      <x:c r="C7" s="2" t="str">
        <x:v>次方</x:v>
      </x:c>
      <x:c r="D7" s="2" t="str">
        <x:v>值越大，时间越集中于后期</x:v>
      </x:c>
      <x:c r="E7" s="2"/>
      <x:c r="F7" s="2" t="str">
        <x:v>治疗</x:v>
      </x:c>
      <x:c r="G7" s="12" t="n">
        <x:v>900</x:v>
      </x:c>
      <x:c r="H7" s="12" t="n">
        <x:v>70</x:v>
      </x:c>
      <x:c r="I7" s="12" t="n">
        <x:v>25</x:v>
      </x:c>
      <x:c r="J7" s="12" t="n">
        <x:v>1.6</x:v>
      </x:c>
      <x:c r="K7" s="12" t="n">
        <x:v>1</x:v>
      </x:c>
      <x:c r="L7" s="2" t="str">
        <x:v>技能专注治疗</x:v>
      </x:c>
      <x:c r="M7" s="2"/>
      <x:c r="N7" s="2"/>
      <x:c r="O7" s="2"/>
      <x:c r="P7" s="2"/>
    </x:row>
    <x:row r="8" ht="22" customHeight="1">
      <x:c r="A8" s="2" t="str">
        <x:v>时间权重底值</x:v>
      </x:c>
      <x:c r="B8" s="13" t="n">
        <x:v>0.001</x:v>
      </x:c>
      <x:c r="C8" s="2" t="str">
        <x:v>权重</x:v>
      </x:c>
      <x:c r="D8" s="2" t="str">
        <x:v>控制开局等待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2" customHeight="1">
      <x:c r="A9" s="2" t="str">
        <x:v>初始挂机经验</x:v>
      </x:c>
      <x:c r="B9" s="13" t="n">
        <x:v>600</x:v>
      </x:c>
      <x:c r="C9" s="2" t="str">
        <x:v>经验/小时</x:v>
      </x:c>
      <x:c r="D9" s="2" t="str">
        <x:v>账号总收入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2" customHeight="1">
      <x:c r="A10" s="2" t="str">
        <x:v>挂机经验等级倍率</x:v>
      </x:c>
      <x:c r="B10" s="13" t="n">
        <x:v>1.03</x:v>
      </x:c>
      <x:c r="C10" s="2" t="str">
        <x:v>倍/级</x:v>
      </x:c>
      <x:c r="D10" s="2" t="str">
        <x:v>按已通过关卡的参考等级取值</x:v>
      </x:c>
      <x:c r="E10" s="2"/>
      <x:c r="F10" s="14" t="str">
        <x:v>品质</x:v>
      </x:c>
      <x:c r="G10" s="14" t="str">
        <x:v>倍率</x:v>
      </x:c>
      <x:c r="H10" s="14" t="str">
        <x:v>词条条数</x:v>
      </x:c>
      <x:c r="I10" s="2"/>
      <x:c r="J10" s="14" t="str">
        <x:v>部位</x:v>
      </x:c>
      <x:c r="K10" s="14" t="str">
        <x:v>攻击系数</x:v>
      </x:c>
      <x:c r="L10" s="14" t="str">
        <x:v>生命系数</x:v>
      </x:c>
      <x:c r="M10" s="14" t="str">
        <x:v>防御系数</x:v>
      </x:c>
      <x:c r="N10" s="2"/>
      <x:c r="O10" s="2"/>
      <x:c r="P10" s="2"/>
    </x:row>
    <x:row r="11" ht="22" customHeight="1">
      <x:c r="A11" s="2" t="str">
        <x:v>不加速定价日收入</x:v>
      </x:c>
      <x:c r="B11" s="13" t="n">
        <x:v>27</x:v>
      </x:c>
      <x:c r="C11" s="2" t="str">
        <x:v>等效小时/天</x:v>
      </x:c>
      <x:c r="D11" s="2" t="str">
        <x:v>24 小时挂机 + 日常 2 小时 + 主动 1 小时</x:v>
      </x:c>
      <x:c r="E11" s="2"/>
      <x:c r="F11" s="2" t="str">
        <x:v>凡品</x:v>
      </x:c>
      <x:c r="G11" s="17" t="n">
        <x:v>1</x:v>
      </x:c>
      <x:c r="H11" s="12" t="n">
        <x:v>0</x:v>
      </x:c>
      <x:c r="I11" s="2"/>
      <x:c r="J11" s="2" t="str">
        <x:v>主武</x:v>
      </x:c>
      <x:c r="K11" s="17" t="n">
        <x:v>1</x:v>
      </x:c>
      <x:c r="L11" s="17" t="n">
        <x:v>0</x:v>
      </x:c>
      <x:c r="M11" s="17" t="n">
        <x:v>0</x:v>
      </x:c>
      <x:c r="N11" s="2"/>
      <x:c r="O11" s="2"/>
      <x:c r="P11" s="2"/>
    </x:row>
    <x:row r="12" ht="22" customHeight="1">
      <x:c r="A12" s="2" t="str">
        <x:v>实际挂机领取</x:v>
      </x:c>
      <x:c r="B12" s="13" t="n">
        <x:v>24</x:v>
      </x:c>
      <x:c r="C12" s="2" t="str">
        <x:v>小时/天</x:v>
      </x:c>
      <x:c r="D12" s="2" t="str">
        <x:v>每次上限建议 12 小时，每天领取两次</x:v>
      </x:c>
      <x:c r="E12" s="2"/>
      <x:c r="F12" s="2" t="str">
        <x:v>良品</x:v>
      </x:c>
      <x:c r="G12" s="17" t="n">
        <x:v>1.05</x:v>
      </x:c>
      <x:c r="H12" s="12" t="n">
        <x:v>1</x:v>
      </x:c>
      <x:c r="I12" s="2"/>
      <x:c r="J12" s="2" t="str">
        <x:v>副手</x:v>
      </x:c>
      <x:c r="K12" s="17" t="n">
        <x:v>0.55</x:v>
      </x:c>
      <x:c r="L12" s="17" t="n">
        <x:v>0</x:v>
      </x:c>
      <x:c r="M12" s="17" t="n">
        <x:v>0.2</x:v>
      </x:c>
      <x:c r="N12" s="2"/>
      <x:c r="O12" s="2"/>
      <x:c r="P12" s="2"/>
    </x:row>
    <x:row r="13" ht="22" customHeight="1">
      <x:c r="A13" s="2" t="str">
        <x:v>实际日常奖励</x:v>
      </x:c>
      <x:c r="B13" s="13" t="n">
        <x:v>2</x:v>
      </x:c>
      <x:c r="C13" s="2" t="str">
        <x:v>等效小时/天</x:v>
      </x:c>
      <x:c r="D13" s="2" t="str">
        <x:v>经验奖励按挂机小时表达</x:v>
      </x:c>
      <x:c r="E13" s="2"/>
      <x:c r="F13" s="2" t="str">
        <x:v>珍品</x:v>
      </x:c>
      <x:c r="G13" s="17" t="n">
        <x:v>1.1</x:v>
      </x:c>
      <x:c r="H13" s="12" t="n">
        <x:v>2</x:v>
      </x:c>
      <x:c r="I13" s="2"/>
      <x:c r="J13" s="2" t="str">
        <x:v>头盔</x:v>
      </x:c>
      <x:c r="K13" s="17" t="n">
        <x:v>0</x:v>
      </x:c>
      <x:c r="L13" s="17" t="n">
        <x:v>4</x:v>
      </x:c>
      <x:c r="M13" s="17" t="n">
        <x:v>0.25</x:v>
      </x:c>
      <x:c r="N13" s="2"/>
      <x:c r="O13" s="2"/>
      <x:c r="P13" s="2"/>
    </x:row>
    <x:row r="14" ht="22" customHeight="1">
      <x:c r="A14" s="2" t="str">
        <x:v>实际主动奖励</x:v>
      </x:c>
      <x:c r="B14" s="13" t="n">
        <x:v>1</x:v>
      </x:c>
      <x:c r="C14" s="2" t="str">
        <x:v>等效小时/天</x:v>
      </x:c>
      <x:c r="D14" s="2" t="str">
        <x:v>战斗与首通经验的日预算</x:v>
      </x:c>
      <x:c r="E14" s="2"/>
      <x:c r="F14" s="2" t="str">
        <x:v>传奇</x:v>
      </x:c>
      <x:c r="G14" s="17" t="n">
        <x:v>1.16</x:v>
      </x:c>
      <x:c r="H14" s="12" t="n">
        <x:v>3</x:v>
      </x:c>
      <x:c r="I14" s="2"/>
      <x:c r="J14" s="2" t="str">
        <x:v>护甲</x:v>
      </x:c>
      <x:c r="K14" s="17" t="n">
        <x:v>0</x:v>
      </x:c>
      <x:c r="L14" s="17" t="n">
        <x:v>8</x:v>
      </x:c>
      <x:c r="M14" s="17" t="n">
        <x:v>0.45</x:v>
      </x:c>
      <x:c r="N14" s="2"/>
      <x:c r="O14" s="2"/>
      <x:c r="P14" s="2"/>
    </x:row>
    <x:row r="15" ht="22" customHeight="1">
      <x:c r="A15" s="2" t="str">
        <x:v>角色攻击等级倍率</x:v>
      </x:c>
      <x:c r="B15" s="13" t="n">
        <x:v>1.035</x:v>
      </x:c>
      <x:c r="C15" s="2" t="str">
        <x:v>倍/级</x:v>
      </x:c>
      <x:c r="D15" s="2" t="str">
        <x:v>职业初值保留差异</x:v>
      </x:c>
      <x:c r="E15" s="2"/>
      <x:c r="F15" s="2" t="str">
        <x:v>传世</x:v>
      </x:c>
      <x:c r="G15" s="17" t="n">
        <x:v>1.22</x:v>
      </x:c>
      <x:c r="H15" s="12" t="n">
        <x:v>3</x:v>
      </x:c>
      <x:c r="I15" s="2"/>
      <x:c r="J15" s="2" t="str">
        <x:v>手套</x:v>
      </x:c>
      <x:c r="K15" s="17" t="n">
        <x:v>0.4</x:v>
      </x:c>
      <x:c r="L15" s="17" t="n">
        <x:v>0</x:v>
      </x:c>
      <x:c r="M15" s="17" t="n">
        <x:v>0</x:v>
      </x:c>
      <x:c r="N15" s="2"/>
      <x:c r="O15" s="2"/>
      <x:c r="P15" s="2"/>
    </x:row>
    <x:row r="16" ht="22" customHeight="1">
      <x:c r="A16" s="2" t="str">
        <x:v>角色生命等级倍率</x:v>
      </x:c>
      <x:c r="B16" s="13" t="n">
        <x:v>1.036</x:v>
      </x:c>
      <x:c r="C16" s="2" t="str">
        <x:v>倍/级</x:v>
      </x:c>
      <x:c r="D16" s="2" t="str">
        <x:v>生存增速略高于攻击</x:v>
      </x:c>
      <x:c r="E16" s="2"/>
      <x:c r="F16" s="2" t="str">
        <x:v>灵蕴</x:v>
      </x:c>
      <x:c r="G16" s="17" t="n">
        <x:v>1.29</x:v>
      </x:c>
      <x:c r="H16" s="12" t="n">
        <x:v>4</x:v>
      </x:c>
      <x:c r="I16" s="2"/>
      <x:c r="J16" s="2" t="str">
        <x:v>鞋</x:v>
      </x:c>
      <x:c r="K16" s="17" t="n">
        <x:v>0</x:v>
      </x:c>
      <x:c r="L16" s="17" t="n">
        <x:v>3</x:v>
      </x:c>
      <x:c r="M16" s="17" t="n">
        <x:v>0.2</x:v>
      </x:c>
      <x:c r="N16" s="2"/>
      <x:c r="O16" s="2"/>
      <x:c r="P16" s="2"/>
    </x:row>
    <x:row r="17" ht="22" customHeight="1">
      <x:c r="A17" s="2" t="str">
        <x:v>角色防御等级倍率</x:v>
      </x:c>
      <x:c r="B17" s="13" t="n">
        <x:v>1.035</x:v>
      </x:c>
      <x:c r="C17" s="2" t="str">
        <x:v>倍/级</x:v>
      </x:c>
      <x:c r="D17" s="2" t="str">
        <x:v>与攻击保持相近量级</x:v>
      </x:c>
      <x:c r="E17" s="2"/>
      <x:c r="F17" s="2" t="str">
        <x:v>超然</x:v>
      </x:c>
      <x:c r="G17" s="17" t="n">
        <x:v>1.36</x:v>
      </x:c>
      <x:c r="H17" s="12" t="n">
        <x:v>4</x:v>
      </x:c>
      <x:c r="I17" s="2"/>
      <x:c r="J17" s="2" t="str">
        <x:v>戒指</x:v>
      </x:c>
      <x:c r="K17" s="17" t="n">
        <x:v>0.55</x:v>
      </x:c>
      <x:c r="L17" s="17" t="n">
        <x:v>0</x:v>
      </x:c>
      <x:c r="M17" s="17" t="n">
        <x:v>0</x:v>
      </x:c>
      <x:c r="N17" s="2"/>
      <x:c r="O17" s="2"/>
      <x:c r="P17" s="2"/>
    </x:row>
    <x:row r="18" ht="22" customHeight="1">
      <x:c r="A18" s="2" t="str">
        <x:v>装备初始预算</x:v>
      </x:c>
      <x:c r="B18" s="13" t="n">
        <x:v>36</x:v>
      </x:c>
      <x:c r="C18" s="2" t="str">
        <x:v>预算</x:v>
      </x:c>
      <x:c r="D18" s="2" t="str">
        <x:v>按原十部位系数展开</x:v>
      </x:c>
      <x:c r="E18" s="2"/>
      <x:c r="F18" s="2" t="str">
        <x:v>星穹</x:v>
      </x:c>
      <x:c r="G18" s="17" t="n">
        <x:v>1.43</x:v>
      </x:c>
      <x:c r="H18" s="12" t="n">
        <x:v>4</x:v>
      </x:c>
      <x:c r="I18" s="2"/>
      <x:c r="J18" s="2" t="str">
        <x:v>护腕</x:v>
      </x:c>
      <x:c r="K18" s="17" t="n">
        <x:v>0</x:v>
      </x:c>
      <x:c r="L18" s="17" t="n">
        <x:v>2</x:v>
      </x:c>
      <x:c r="M18" s="17" t="n">
        <x:v>0.5</x:v>
      </x:c>
      <x:c r="N18" s="2"/>
      <x:c r="O18" s="2"/>
      <x:c r="P18" s="2"/>
    </x:row>
    <x:row r="19" ht="22" customHeight="1">
      <x:c r="A19" s="2" t="str">
        <x:v>装备等级倍率</x:v>
      </x:c>
      <x:c r="B19" s="13" t="n">
        <x:v>1.037</x:v>
      </x:c>
      <x:c r="C19" s="2" t="str">
        <x:v>倍/级</x:v>
      </x:c>
      <x:c r="D19" s="2" t="str">
        <x:v>每 5 级约提高 19.9%</x:v>
      </x:c>
      <x:c r="E19" s="2"/>
      <x:c r="F19" s="2" t="str">
        <x:v>神辉</x:v>
      </x:c>
      <x:c r="G19" s="17" t="n">
        <x:v>1.51</x:v>
      </x:c>
      <x:c r="H19" s="12" t="n">
        <x:v>5</x:v>
      </x:c>
      <x:c r="I19" s="2"/>
      <x:c r="J19" s="2" t="str">
        <x:v>护符</x:v>
      </x:c>
      <x:c r="K19" s="17" t="n">
        <x:v>0.35</x:v>
      </x:c>
      <x:c r="L19" s="17" t="n">
        <x:v>2.2</x:v>
      </x:c>
      <x:c r="M19" s="17" t="n">
        <x:v>0</x:v>
      </x:c>
      <x:c r="N19" s="2"/>
      <x:c r="O19" s="2"/>
      <x:c r="P19" s="2"/>
    </x:row>
    <x:row r="20" ht="22" customHeight="1">
      <x:c r="A20" s="2" t="str">
        <x:v>底座随机下限</x:v>
      </x:c>
      <x:c r="B20" s="13" t="n">
        <x:v>0.95</x:v>
      </x:c>
      <x:c r="C20" s="2" t="str">
        <x:v>倍</x:v>
      </x:c>
      <x:c r="D20" s="2" t="str">
        <x:v>同级同品质窄幅浮动</x:v>
      </x:c>
      <x:c r="E20" s="2"/>
      <x:c r="F20" s="2" t="str">
        <x:v>混元</x:v>
      </x:c>
      <x:c r="G20" s="17" t="n">
        <x:v>1.6</x:v>
      </x:c>
      <x:c r="H20" s="12" t="n">
        <x:v>5</x:v>
      </x:c>
      <x:c r="I20" s="2"/>
      <x:c r="J20" s="2" t="str">
        <x:v>耳环</x:v>
      </x:c>
      <x:c r="K20" s="17" t="n">
        <x:v>0</x:v>
      </x:c>
      <x:c r="L20" s="17" t="n">
        <x:v>3</x:v>
      </x:c>
      <x:c r="M20" s="17" t="n">
        <x:v>0.15</x:v>
      </x:c>
      <x:c r="N20" s="2"/>
      <x:c r="O20" s="2"/>
      <x:c r="P20" s="2"/>
    </x:row>
    <x:row r="21" ht="22" customHeight="1">
      <x:c r="A21" s="2" t="str">
        <x:v>底座随机上限</x:v>
      </x:c>
      <x:c r="B21" s="13" t="n">
        <x:v>1.05</x:v>
      </x:c>
      <x:c r="C21" s="2" t="str">
        <x:v>倍</x:v>
      </x:c>
      <x:c r="D21" s="2" t="str">
        <x:v>高一档最低值仍超过低一档最高值</x:v>
      </x:c>
      <x:c r="E21" s="2"/>
      <x:c r="F21" s="2"/>
      <x:c r="G21" s="2"/>
      <x:c r="H21" s="2"/>
      <x:c r="I21" s="2"/>
      <x:c r="J21" s="2" t="str">
        <x:v>十部位合计</x:v>
      </x:c>
      <x:c r="K21" s="15" t="n">
        <x:f>SUM(K11:K20)</x:f>
        <x:v>2.85</x:v>
      </x:c>
      <x:c r="L21" s="15" t="n">
        <x:f>SUM(L11:L20)</x:f>
        <x:v>22.2</x:v>
      </x:c>
      <x:c r="M21" s="15" t="n">
        <x:f>SUM(M11:M20)</x:f>
        <x:v>1.75</x:v>
      </x:c>
      <x:c r="N21" s="2"/>
      <x:c r="O21" s="2"/>
      <x:c r="P21" s="2"/>
    </x:row>
    <x:row r="22" ht="22" customHeight="1">
      <x:c r="A22" s="2" t="str">
        <x:v>护甲系数</x:v>
      </x:c>
      <x:c r="B22" s="13" t="n">
        <x:v>1.25</x:v>
      </x:c>
      <x:c r="C22" s="2" t="str">
        <x:v>系数</x:v>
      </x:c>
      <x:c r="D22" s="2" t="str">
        <x:v>伤害 x²/(x+1.25D)，沿用现有公式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2" customHeight="1">
      <x:c r="A23" s="2" t="str">
        <x:v>普通敌人护甲比</x:v>
      </x:c>
      <x:c r="B23" s="13" t="n">
        <x:v>0.25</x:v>
      </x:c>
      <x:c r="C23" s="2" t="str">
        <x:v>比值</x:v>
      </x:c>
      <x:c r="D23" s="2" t="str">
        <x:v>1.25D/A = 0.25，普攻减伤约 20%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2" customHeight="1">
      <x:c r="A24" s="2" t="str">
        <x:v>首领防御倍率</x:v>
      </x:c>
      <x:c r="B24" s="13" t="n">
        <x:v>1.25</x:v>
      </x:c>
      <x:c r="C24" s="2" t="str">
        <x:v>倍</x:v>
      </x:c>
      <x:c r="D24" s="2" t="str">
        <x:v>相对同关普通敌人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2" customHeight="1">
      <x:c r="A25" s="2" t="str">
        <x:v>清杂有效群攻倍率</x:v>
      </x:c>
      <x:c r="B25" s="13" t="n">
        <x:v>1.25</x:v>
      </x:c>
      <x:c r="C25" s="2" t="str">
        <x:v>倍</x:v>
      </x:c>
      <x:c r="D25" s="2" t="str">
        <x:v>标准队伍的分析假设</x:v>
      </x:c>
      <x:c r="E25" s="2"/>
      <x:c r="F25" s="14" t="str">
        <x:v>难度</x:v>
      </x:c>
      <x:c r="G25" s="14" t="str">
        <x:v>起始参考级</x:v>
      </x:c>
      <x:c r="H25" s="14" t="str">
        <x:v>末关参考级</x:v>
      </x:c>
      <x:c r="I25" s="14" t="str">
        <x:v>参考品质</x:v>
      </x:c>
      <x:c r="J25" s="14" t="str">
        <x:v>底板倍率</x:v>
      </x:c>
      <x:c r="K25" s="14" t="str">
        <x:v>时长倍率</x:v>
      </x:c>
      <x:c r="L25" s="14" t="str">
        <x:v>伤害倍率</x:v>
      </x:c>
      <x:c r="M25" s="2"/>
      <x:c r="N25" s="2"/>
      <x:c r="O25" s="2"/>
      <x:c r="P25" s="2"/>
    </x:row>
    <x:row r="26" ht="22" customHeight="1">
      <x:c r="A26" s="2" t="str">
        <x:v>首级平均波次时间</x:v>
      </x:c>
      <x:c r="B26" s="13" t="n">
        <x:v>12</x:v>
      </x:c>
      <x:c r="C26" s="2" t="str">
        <x:v>秒</x:v>
      </x:c>
      <x:c r="D26" s="2" t="str">
        <x:v>五波平均，不含走路</x:v>
      </x:c>
      <x:c r="E26" s="2"/>
      <x:c r="F26" s="2" t="str">
        <x:v>简单</x:v>
      </x:c>
      <x:c r="G26" s="12" t="n">
        <x:v>1</x:v>
      </x:c>
      <x:c r="H26" s="12" t="n">
        <x:v>50</x:v>
      </x:c>
      <x:c r="I26" s="17" t="n">
        <x:v>1.05</x:v>
      </x:c>
      <x:c r="J26" s="17" t="n">
        <x:v>1</x:v>
      </x:c>
      <x:c r="K26" s="17" t="n">
        <x:v>1</x:v>
      </x:c>
      <x:c r="L26" s="17" t="n">
        <x:v>1</x:v>
      </x:c>
      <x:c r="M26" s="2"/>
      <x:c r="N26" s="2"/>
      <x:c r="O26" s="2"/>
      <x:c r="P26" s="2"/>
    </x:row>
    <x:row r="27" ht="22" customHeight="1">
      <x:c r="A27" s="2" t="str">
        <x:v>满级波次增加时间</x:v>
      </x:c>
      <x:c r="B27" s="13" t="n">
        <x:v>6</x:v>
      </x:c>
      <x:c r="C27" s="2" t="str">
        <x:v>秒</x:v>
      </x:c>
      <x:c r="D27" s="2" t="str">
        <x:v>满级普通波次 18 秒，难度另乘</x:v>
      </x:c>
      <x:c r="E27" s="2"/>
      <x:c r="F27" s="2" t="str">
        <x:v>困难</x:v>
      </x:c>
      <x:c r="G27" s="12" t="n">
        <x:v>50</x:v>
      </x:c>
      <x:c r="H27" s="12" t="n">
        <x:v>90</x:v>
      </x:c>
      <x:c r="I27" s="17" t="n">
        <x:v>1.1</x:v>
      </x:c>
      <x:c r="J27" s="17" t="n">
        <x:v>1.04</x:v>
      </x:c>
      <x:c r="K27" s="17" t="n">
        <x:v>1.1</x:v>
      </x:c>
      <x:c r="L27" s="17" t="n">
        <x:v>1.05</x:v>
      </x:c>
      <x:c r="M27" s="2"/>
      <x:c r="N27" s="2"/>
      <x:c r="O27" s="2"/>
      <x:c r="P27" s="2"/>
    </x:row>
    <x:row r="28" ht="22" customHeight="1">
      <x:c r="A28" s="2" t="str">
        <x:v>首级单体首领时间</x:v>
      </x:c>
      <x:c r="B28" s="13" t="n">
        <x:v>30</x:v>
      </x:c>
      <x:c r="C28" s="2" t="str">
        <x:v>秒</x:v>
      </x:c>
      <x:c r="D28" s="2" t="str">
        <x:v>不含护卫与转场</x:v>
      </x:c>
      <x:c r="E28" s="2"/>
      <x:c r="F28" s="2" t="str">
        <x:v>噩梦</x:v>
      </x:c>
      <x:c r="G28" s="12" t="n">
        <x:v>90</x:v>
      </x:c>
      <x:c r="H28" s="12" t="n">
        <x:v>100</x:v>
      </x:c>
      <x:c r="I28" s="17" t="n">
        <x:v>1.16</x:v>
      </x:c>
      <x:c r="J28" s="17" t="n">
        <x:v>1.08</x:v>
      </x:c>
      <x:c r="K28" s="17" t="n">
        <x:v>1.2</x:v>
      </x:c>
      <x:c r="L28" s="17" t="n">
        <x:v>1.1</x:v>
      </x:c>
      <x:c r="M28" s="2"/>
      <x:c r="N28" s="2"/>
      <x:c r="O28" s="2"/>
      <x:c r="P28" s="2"/>
    </x:row>
    <x:row r="29" ht="22" customHeight="1">
      <x:c r="A29" s="2" t="str">
        <x:v>满级首领增加时间</x:v>
      </x:c>
      <x:c r="B29" s="13" t="n">
        <x:v>20</x:v>
      </x:c>
      <x:c r="C29" s="2" t="str">
        <x:v>秒</x:v>
      </x:c>
      <x:c r="D29" s="2" t="str">
        <x:v>满级基础首领 50 秒</x:v>
      </x:c>
      <x:c r="E29" s="2"/>
      <x:c r="F29" s="2" t="str">
        <x:v>地狱</x:v>
      </x:c>
      <x:c r="G29" s="12" t="n">
        <x:v>100</x:v>
      </x:c>
      <x:c r="H29" s="12" t="n">
        <x:v>100</x:v>
      </x:c>
      <x:c r="I29" s="17" t="n">
        <x:v>1.29</x:v>
      </x:c>
      <x:c r="J29" s="17" t="n">
        <x:v>1.12</x:v>
      </x:c>
      <x:c r="K29" s="17" t="n">
        <x:v>1.35</x:v>
      </x:c>
      <x:c r="L29" s="17" t="n">
        <x:v>1.2</x:v>
      </x:c>
      <x:c r="M29" s="2"/>
      <x:c r="N29" s="2"/>
      <x:c r="O29" s="2"/>
      <x:c r="P29" s="2"/>
    </x:row>
    <x:row r="30" ht="22" customHeight="1">
      <x:c r="A30" s="2" t="str">
        <x:v>普通敌人攻击间隔</x:v>
      </x:c>
      <x:c r="B30" s="13" t="n">
        <x:v>1.5</x:v>
      </x:c>
      <x:c r="C30" s="2" t="str">
        <x:v>秒</x:v>
      </x:c>
      <x:c r="D30" s="2" t="str">
        <x:v>角色类型可另调</x:v>
      </x:c>
      <x:c r="E30" s="2"/>
      <x:c r="F30" s="2" t="str">
        <x:v>折磨</x:v>
      </x:c>
      <x:c r="G30" s="12" t="n">
        <x:v>100</x:v>
      </x:c>
      <x:c r="H30" s="12" t="n">
        <x:v>100</x:v>
      </x:c>
      <x:c r="I30" s="17" t="n">
        <x:v>1.43</x:v>
      </x:c>
      <x:c r="J30" s="17" t="n">
        <x:v>1.12</x:v>
      </x:c>
      <x:c r="K30" s="17" t="n">
        <x:v>1.6</x:v>
      </x:c>
      <x:c r="L30" s="17" t="n">
        <x:v>1.35</x:v>
      </x:c>
      <x:c r="M30" s="2"/>
      <x:c r="N30" s="2"/>
      <x:c r="O30" s="2"/>
      <x:c r="P30" s="2"/>
    </x:row>
    <x:row r="31" ht="22" customHeight="1">
      <x:c r="A31" s="2" t="str">
        <x:v>首领攻击间隔</x:v>
      </x:c>
      <x:c r="B31" s="13" t="n">
        <x:v>2</x:v>
      </x:c>
      <x:c r="C31" s="2" t="str">
        <x:v>秒</x:v>
      </x:c>
      <x:c r="D31" s="2" t="str">
        <x:v>首领普攻参考值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2" customHeight="1">
      <x:c r="A32" s="2" t="str">
        <x:v>同时集火坦克敌人数</x:v>
      </x:c>
      <x:c r="B32" s="13" t="n">
        <x:v>3</x:v>
      </x:c>
      <x:c r="C32" s="2" t="str">
        <x:v>个</x:v>
      </x:c>
      <x:c r="D32" s="2" t="str">
        <x:v>用于反推普通敌人攻击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2" customHeight="1">
      <x:c r="A33" s="2" t="str">
        <x:v>坦克无治疗生存时间</x:v>
      </x:c>
      <x:c r="B33" s="13" t="n">
        <x:v>20</x:v>
      </x:c>
      <x:c r="C33" s="2" t="str">
        <x:v>秒</x:v>
      </x:c>
      <x:c r="D33" s="2" t="str">
        <x:v>三普通敌人集火</x:v>
      </x:c>
      <x:c r="E33" s="2"/>
      <x:c r="F33" s="14" t="str">
        <x:v>掉落等级</x:v>
      </x:c>
      <x:c r="G33" s="14" t="n">
        <x:v>1</x:v>
      </x:c>
      <x:c r="H33" s="14" t="n">
        <x:v>2</x:v>
      </x:c>
      <x:c r="I33" s="14" t="n">
        <x:v>3</x:v>
      </x:c>
      <x:c r="J33" s="14" t="n">
        <x:v>4</x:v>
      </x:c>
      <x:c r="K33" s="14" t="n">
        <x:v>5</x:v>
      </x:c>
      <x:c r="L33" s="14" t="n">
        <x:v>6</x:v>
      </x:c>
      <x:c r="M33" s="14" t="n">
        <x:v>7</x:v>
      </x:c>
      <x:c r="N33" s="14" t="n">
        <x:v>8</x:v>
      </x:c>
      <x:c r="O33" s="14" t="n">
        <x:v>9</x:v>
      </x:c>
      <x:c r="P33" s="14" t="n">
        <x:v>10</x:v>
      </x:c>
    </x:row>
    <x:row r="34" ht="22" customHeight="1">
      <x:c r="A34" s="2" t="str">
        <x:v>坦克对首领生存时间</x:v>
      </x:c>
      <x:c r="B34" s="13" t="n">
        <x:v>40</x:v>
      </x:c>
      <x:c r="C34" s="2" t="str">
        <x:v>秒</x:v>
      </x:c>
      <x:c r="D34" s="2" t="str">
        <x:v>仅首领普攻，无治疗</x:v>
      </x:c>
      <x:c r="E34" s="2"/>
      <x:c r="F34" s="2" t="str">
        <x:v>简单</x:v>
      </x:c>
      <x:c r="G34" s="12" t="n">
        <x:v>1</x:v>
      </x:c>
      <x:c r="H34" s="12" t="n">
        <x:v>10</x:v>
      </x:c>
      <x:c r="I34" s="12" t="n">
        <x:v>20</x:v>
      </x:c>
      <x:c r="J34" s="12" t="n">
        <x:v>25</x:v>
      </x:c>
      <x:c r="K34" s="12" t="n">
        <x:v>30</x:v>
      </x:c>
      <x:c r="L34" s="12" t="n">
        <x:v>35</x:v>
      </x:c>
      <x:c r="M34" s="12" t="n">
        <x:v>40</x:v>
      </x:c>
      <x:c r="N34" s="12" t="n">
        <x:v>40</x:v>
      </x:c>
      <x:c r="O34" s="12" t="n">
        <x:v>45</x:v>
      </x:c>
      <x:c r="P34" s="12" t="n">
        <x:v>45</x:v>
      </x:c>
    </x:row>
    <x:row r="35" ht="22" customHeight="1">
      <x:c r="A35" s="2" t="str">
        <x:v>防御转抗性常数</x:v>
      </x:c>
      <x:c r="B35" s="13" t="n">
        <x:v>4000</x:v>
      </x:c>
      <x:c r="C35" s="2" t="str">
        <x:v>防御</x:v>
      </x:c>
      <x:c r="D35" s="2" t="str">
        <x:v>沿用当前项目</x:v>
      </x:c>
      <x:c r="E35" s="2"/>
      <x:c r="F35" s="2" t="str">
        <x:v>困难</x:v>
      </x:c>
      <x:c r="G35" s="12" t="n">
        <x:v>50</x:v>
      </x:c>
      <x:c r="H35" s="12" t="n">
        <x:v>55</x:v>
      </x:c>
      <x:c r="I35" s="12" t="n">
        <x:v>60</x:v>
      </x:c>
      <x:c r="J35" s="12" t="n">
        <x:v>65</x:v>
      </x:c>
      <x:c r="K35" s="12" t="n">
        <x:v>70</x:v>
      </x:c>
      <x:c r="L35" s="12" t="n">
        <x:v>75</x:v>
      </x:c>
      <x:c r="M35" s="12" t="n">
        <x:v>80</x:v>
      </x:c>
      <x:c r="N35" s="12" t="n">
        <x:v>80</x:v>
      </x:c>
      <x:c r="O35" s="12" t="n">
        <x:v>85</x:v>
      </x:c>
      <x:c r="P35" s="12" t="n">
        <x:v>85</x:v>
      </x:c>
    </x:row>
    <x:row r="36" ht="22" customHeight="1">
      <x:c r="A36" s="2" t="str">
        <x:v>抗性上限</x:v>
      </x:c>
      <x:c r="B36" s="13" t="n">
        <x:v>0.75</x:v>
      </x:c>
      <x:c r="C36" s="2" t="str">
        <x:v>比例</x:v>
      </x:c>
      <x:c r="D36" s="2" t="str">
        <x:v>沿用当前项目</x:v>
      </x:c>
      <x:c r="E36" s="2"/>
      <x:c r="F36" s="2" t="str">
        <x:v>噩梦</x:v>
      </x:c>
      <x:c r="G36" s="12" t="n">
        <x:v>90</x:v>
      </x:c>
      <x:c r="H36" s="12" t="n">
        <x:v>90</x:v>
      </x:c>
      <x:c r="I36" s="12" t="n">
        <x:v>90</x:v>
      </x:c>
      <x:c r="J36" s="12" t="n">
        <x:v>95</x:v>
      </x:c>
      <x:c r="K36" s="12" t="n">
        <x:v>95</x:v>
      </x:c>
      <x:c r="L36" s="12" t="n">
        <x:v>95</x:v>
      </x:c>
      <x:c r="M36" s="12" t="n">
        <x:v>95</x:v>
      </x:c>
      <x:c r="N36" s="12" t="n">
        <x:v>100</x:v>
      </x:c>
      <x:c r="O36" s="12" t="n">
        <x:v>100</x:v>
      </x:c>
      <x:c r="P36" s="12" t="n">
        <x:v>100</x:v>
      </x:c>
    </x:row>
    <x:row r="37" ht="22" customHeight="1">
      <x:c r="A37" s="2" t="str">
        <x:v>参考暴击率</x:v>
      </x:c>
      <x:c r="B37" s="13" t="n">
        <x:v>0.05</x:v>
      </x:c>
      <x:c r="C37" s="2" t="str">
        <x:v>比例</x:v>
      </x:c>
      <x:c r="D37" s="2" t="str">
        <x:v>基准 5%</x:v>
      </x:c>
      <x:c r="E37" s="2"/>
      <x:c r="F37" s="2" t="str">
        <x:v>地狱</x:v>
      </x:c>
      <x:c r="G37" s="12" t="n">
        <x:v>100</x:v>
      </x:c>
      <x:c r="H37" s="12" t="n">
        <x:v>100</x:v>
      </x:c>
      <x:c r="I37" s="12" t="n">
        <x:v>100</x:v>
      </x:c>
      <x:c r="J37" s="12" t="n">
        <x:v>100</x:v>
      </x:c>
      <x:c r="K37" s="12" t="n">
        <x:v>100</x:v>
      </x:c>
      <x:c r="L37" s="12" t="n">
        <x:v>100</x:v>
      </x:c>
      <x:c r="M37" s="12" t="n">
        <x:v>100</x:v>
      </x:c>
      <x:c r="N37" s="12" t="n">
        <x:v>100</x:v>
      </x:c>
      <x:c r="O37" s="12" t="n">
        <x:v>100</x:v>
      </x:c>
      <x:c r="P37" s="12" t="n">
        <x:v>100</x:v>
      </x:c>
    </x:row>
    <x:row r="38" ht="22" customHeight="1">
      <x:c r="A38" s="2" t="str">
        <x:v>参考暴击倍率</x:v>
      </x:c>
      <x:c r="B38" s="13" t="n">
        <x:v>1.5</x:v>
      </x:c>
      <x:c r="C38" s="2" t="str">
        <x:v>倍</x:v>
      </x:c>
      <x:c r="D38" s="2" t="str">
        <x:v>基准 150%</x:v>
      </x:c>
      <x:c r="E38" s="2"/>
      <x:c r="F38" s="2" t="str">
        <x:v>折磨</x:v>
      </x:c>
      <x:c r="G38" s="12" t="n">
        <x:v>100</x:v>
      </x:c>
      <x:c r="H38" s="12" t="n">
        <x:v>100</x:v>
      </x:c>
      <x:c r="I38" s="12" t="n">
        <x:v>100</x:v>
      </x:c>
      <x:c r="J38" s="12" t="n">
        <x:v>100</x:v>
      </x:c>
      <x:c r="K38" s="12" t="n">
        <x:v>100</x:v>
      </x:c>
      <x:c r="L38" s="12" t="n">
        <x:v>100</x:v>
      </x:c>
      <x:c r="M38" s="12" t="n">
        <x:v>100</x:v>
      </x:c>
      <x:c r="N38" s="12" t="n">
        <x:v>100</x:v>
      </x:c>
      <x:c r="O38" s="12" t="n">
        <x:v>100</x:v>
      </x:c>
      <x:c r="P38" s="12" t="n">
        <x:v>100</x:v>
      </x:c>
    </x:row>
    <x:row r="39" ht="22" customHeight="1">
      <x:c r="A39" s="2" t="str">
        <x:v>参考装备增伤</x:v>
      </x:c>
      <x:c r="B39" s="13" t="n">
        <x:v>0.2</x:v>
      </x:c>
      <x:c r="C39" s="2" t="str">
        <x:v>比例</x:v>
      </x:c>
      <x:c r="D39" s="2" t="str">
        <x:v>按装备覆盖率计入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2" customHeight="1">
      <x:c r="A40" s="2" t="str">
        <x:v>参考装备生命加成</x:v>
      </x:c>
      <x:c r="B40" s="13" t="n">
        <x:v>0.1</x:v>
      </x:c>
      <x:c r="C40" s="2" t="str">
        <x:v>比例</x:v>
      </x:c>
      <x:c r="D40" s="2" t="str">
        <x:v>按装备覆盖率计入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2" customHeight="1">
      <x:c r="A41" s="2" t="str">
        <x:v>参考装备防御加成</x:v>
      </x:c>
      <x:c r="B41" s="13" t="n">
        <x:v>0.1</x:v>
      </x:c>
      <x:c r="C41" s="2" t="str">
        <x:v>比例</x:v>
      </x:c>
      <x:c r="D41" s="2" t="str">
        <x:v>按装备覆盖率计入</x:v>
      </x:c>
      <x:c r="E41" s="2"/>
      <x:c r="F41" s="2" t="str">
        <x:v>黄色单元格为可调主参数；右侧表为可编辑的配置输入。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2" customHeight="1">
      <x:c r="A42" s="2" t="str">
        <x:v>参考装备攻速加成</x:v>
      </x:c>
      <x:c r="B42" s="13" t="n">
        <x:v>0.08</x:v>
      </x:c>
      <x:c r="C42" s="2" t="str">
        <x:v>比例</x:v>
      </x:c>
      <x:c r="D42" s="2" t="str">
        <x:v>只对普攻频率生效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2" customHeight="1">
      <x:c r="A43" s="2" t="str">
        <x:v>输出角色单次技能系数</x:v>
      </x:c>
      <x:c r="B43" s="13" t="n">
        <x:v>2.5</x:v>
      </x:c>
      <x:c r="C43" s="2" t="str">
        <x:v>倍攻击</x:v>
      </x:c>
      <x:c r="D43" s="2" t="str">
        <x:v>合并成一个伤害包的分析假设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2" customHeight="1">
      <x:c r="A44" s="2" t="str">
        <x:v>输出角色有效技能间隔</x:v>
      </x:c>
      <x:c r="B44" s="13" t="n">
        <x:v>6.5</x:v>
      </x:c>
      <x:c r="C44" s="2" t="str">
        <x:v>秒</x:v>
      </x:c>
      <x:c r="D44" s="2" t="str">
        <x:v>包含怒气与施法的等效间隔</x:v>
      </x:c>
      <x:c r="E44" s="2"/>
      <x:c r="F44" s="2" t="str">
        <x:v>来源与性质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34" customHeight="1">
      <x:c r="A45" s="2" t="str">
        <x:v>坦克单次技能系数</x:v>
      </x:c>
      <x:c r="B45" s="13" t="n">
        <x:v>1.5</x:v>
      </x:c>
      <x:c r="C45" s="2" t="str">
        <x:v>倍攻击</x:v>
      </x:c>
      <x:c r="D45" s="2" t="str">
        <x:v>分析参考值</x:v>
      </x:c>
      <x:c r="E45" s="2"/>
      <x:c r="F45" s="2" t="str">
        <x:v>项目现状</x:v>
      </x:c>
      <x:c r="G45" s="16" t="str">
        <x:v>2026-09-22 工作区：balance、HeroProgression、EquipmentSystem、difficulties、GameStore</x:v>
      </x:c>
      <x:c r="H45" s="16"/>
      <x:c r="I45" s="16"/>
      <x:c r="J45" s="16"/>
      <x:c r="K45" s="16"/>
      <x:c r="L45" s="16"/>
      <x:c r="M45" s="16"/>
      <x:c r="N45" s="16"/>
      <x:c r="O45" s="16"/>
      <x:c r="P45" s="16"/>
    </x:row>
    <x:row r="46" ht="34" customHeight="1">
      <x:c r="A46" s="2" t="str">
        <x:v>坦克有效技能间隔</x:v>
      </x:c>
      <x:c r="B46" s="13" t="n">
        <x:v>8</x:v>
      </x:c>
      <x:c r="C46" s="2" t="str">
        <x:v>秒</x:v>
      </x:c>
      <x:c r="D46" s="2" t="str">
        <x:v>分析参考值</x:v>
      </x:c>
      <x:c r="E46" s="2"/>
      <x:c r="F46" s="2" t="str">
        <x:v>自拟参数</x:v>
      </x:c>
      <x:c r="G46" s="16" t="str">
        <x:v>成长率、预算、收入、时长均为本项目建议起始值</x:v>
      </x:c>
      <x:c r="H46" s="16"/>
      <x:c r="I46" s="16"/>
      <x:c r="J46" s="16"/>
      <x:c r="K46" s="16"/>
      <x:c r="L46" s="16"/>
      <x:c r="M46" s="16"/>
      <x:c r="N46" s="16"/>
      <x:c r="O46" s="16"/>
      <x:c r="P46" s="16"/>
    </x:row>
    <x:row r="47" ht="34" customHeight="1">
      <x:c r="A47" s="2" t="str">
        <x:v>观察星级</x:v>
      </x:c>
      <x:c r="B47" s="44" t="n">
        <x:v>0</x:v>
      </x:c>
      <x:c r="C47" s="2" t="str">
        <x:v>星</x:v>
      </x:c>
      <x:c r="D47" s="2" t="str">
        <x:v>仅改变角色页技能效果与怒气，主线按零星定价</x:v>
      </x:c>
      <x:c r="E47" s="2"/>
      <x:c r="F47" s="2" t="str">
        <x:v>放置机制参考</x:v>
      </x:c>
      <x:c r="G47" s="16" t="str">
        <x:v>https://play.google.com/store/apps/details?id=com.farlightgames.igame.gp</x:v>
      </x:c>
      <x:c r="H47" s="16"/>
      <x:c r="I47" s="16"/>
      <x:c r="J47" s="16"/>
      <x:c r="K47" s="16"/>
      <x:c r="L47" s="16"/>
      <x:c r="M47" s="16"/>
      <x:c r="N47" s="16"/>
      <x:c r="O47" s="16"/>
      <x:c r="P47" s="16"/>
    </x:row>
    <x:row r="48" ht="34" customHeight="1">
      <x:c r="A48" s="2" t="str">
        <x:v>角色页参考品质倍率</x:v>
      </x:c>
      <x:c r="B48" s="13" t="n">
        <x:v>1.1</x:v>
      </x:c>
      <x:c r="C48" s="2" t="str">
        <x:v>倍</x:v>
      </x:c>
      <x:c r="D48" s="2" t="str">
        <x:v>珍品，用于同口径比较</x:v>
      </x:c>
      <x:c r="E48" s="2"/>
      <x:c r="F48" s="2" t="str">
        <x:v>装备与阵容参考</x:v>
      </x:c>
      <x:c r="G48" s="16" t="str">
        <x:v>https://www.codenameentertainment.com/?page=idle_champions&amp;post_id=1677</x:v>
      </x:c>
      <x:c r="H48" s="16"/>
      <x:c r="I48" s="16"/>
      <x:c r="J48" s="16"/>
      <x:c r="K48" s="16"/>
      <x:c r="L48" s="16"/>
      <x:c r="M48" s="16"/>
      <x:c r="N48" s="16"/>
      <x:c r="O48" s="16"/>
      <x:c r="P48" s="16"/>
    </x:row>
    <x:row r="49" ht="34" customHeight="1">
      <x:c r="A49" s="2" t="str">
        <x:v>角色与装备页底板倍率</x:v>
      </x:c>
      <x:c r="B49" s="13" t="n">
        <x:v>1.04</x:v>
      </x:c>
      <x:c r="C49" s="2" t="str">
        <x:v>倍</x:v>
      </x:c>
      <x:c r="D49" s="2" t="str">
        <x:v>T2；关卡页按难度使用各自底板</x:v>
      </x:c>
      <x:c r="E49" s="2"/>
      <x:c r="F49" s="2" t="str">
        <x:v>增长方法参考</x:v>
      </x:c>
      <x:c r="G49" s="16" t="str">
        <x:v>https://media.gdcvault.com/gdceurope2016/presentations/Pecorella_Anthony_Quest%20for%20Progress.pdf</x:v>
      </x:c>
      <x:c r="H49" s="16"/>
      <x:c r="I49" s="16"/>
      <x:c r="J49" s="16"/>
      <x:c r="K49" s="16"/>
      <x:c r="L49" s="16"/>
      <x:c r="M49" s="16"/>
      <x:c r="N49" s="16"/>
      <x:c r="O49" s="16"/>
      <x:c r="P49" s="16"/>
    </x:row>
    <x:row r="50" ht="34" customHeight="1">
      <x:c r="A50" s="2" t="str">
        <x:v>精英生命倍率</x:v>
      </x:c>
      <x:c r="B50" s="13" t="n">
        <x:v>3</x:v>
      </x:c>
      <x:c r="C50" s="2" t="str">
        <x:v>倍</x:v>
      </x:c>
      <x:c r="D50" s="2" t="str">
        <x:v>相对同关普通敌人</x:v>
      </x:c>
      <x:c r="E50" s="2"/>
      <x:c r="F50" s="2" t="str">
        <x:v>来源日期</x:v>
      </x:c>
      <x:c r="G50" s="16" t="str">
        <x:v>查阅：2026-09-22；未采用竞品非公开数值表</x:v>
      </x:c>
      <x:c r="H50" s="16"/>
      <x:c r="I50" s="16"/>
      <x:c r="J50" s="16"/>
      <x:c r="K50" s="16"/>
      <x:c r="L50" s="16"/>
      <x:c r="M50" s="16"/>
      <x:c r="N50" s="16"/>
      <x:c r="O50" s="16"/>
      <x:c r="P50" s="16"/>
    </x:row>
    <x:row r="51" ht="22" customHeight="1">
      <x:c r="A51" s="2" t="str">
        <x:v>章末首领生命倍率</x:v>
      </x:c>
      <x:c r="B51" s="13" t="n">
        <x:v>1.15</x:v>
      </x:c>
      <x:c r="C51" s="2" t="str">
        <x:v>倍</x:v>
      </x:c>
      <x:c r="D51" s="2" t="str">
        <x:v>每章第 12 关</x:v>
      </x:c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2" customHeight="1">
      <x:c r="A52" s="2" t="str">
        <x:v>满级轮内生命增幅</x:v>
      </x:c>
      <x:c r="B52" s="13" t="n">
        <x:v>0.15</x:v>
      </x:c>
      <x:c r="C52" s="2" t="str">
        <x:v>比例</x:v>
      </x:c>
      <x:c r="D52" s="2" t="str">
        <x:v>地狱与折磨从首关至末关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36" customHeight="1">
      <x:c r="A53" s="2" t="str">
        <x:v>满级轮内伤害增幅</x:v>
      </x:c>
      <x:c r="B53" s="13" t="n">
        <x:v>0.08</x:v>
      </x:c>
      <x:c r="C53" s="2" t="str">
        <x:v>比例</x:v>
      </x:c>
      <x:c r="D53" s="2" t="str">
        <x:v>地狱与折磨从首关至末关</x:v>
      </x:c>
      <x:c r="E53" s="2"/>
      <x:c r="F53" s="49" t="str">
        <x:v>技能效果</x:v>
      </x:c>
      <x:c r="G53" s="49" t="str">
        <x:v>银星每星</x:v>
      </x:c>
      <x:c r="H53" s="49" t="str">
        <x:v>金星每星</x:v>
      </x:c>
      <x:c r="I53" s="49" t="str">
        <x:v>彩星每星</x:v>
      </x:c>
      <x:c r="J53" s="2"/>
      <x:c r="K53" s="2"/>
      <x:c r="L53" s="2"/>
      <x:c r="M53" s="2"/>
      <x:c r="N53" s="2"/>
      <x:c r="O53" s="2"/>
      <x:c r="P53" s="2"/>
    </x:row>
    <x:row r="54" ht="25" customHeight="1">
      <x:c r="A54" s="2" t="str">
        <x:v>二阶属性加成</x:v>
      </x:c>
      <x:c r="B54" s="13" t="n">
        <x:v>0.08</x:v>
      </x:c>
      <x:c r="C54" s="2" t="str">
        <x:v>比例</x:v>
      </x:c>
      <x:c r="D54" s="2" t="str">
        <x:v>40 级突破后</x:v>
      </x:c>
      <x:c r="E54" s="2"/>
      <x:c r="F54" s="2" t="str">
        <x:v>增幅</x:v>
      </x:c>
      <x:c r="G54" s="46" t="n">
        <x:v>0.02</x:v>
      </x:c>
      <x:c r="H54" s="46" t="n">
        <x:v>0.03</x:v>
      </x:c>
      <x:c r="I54" s="46" t="n">
        <x:v>0.04</x:v>
      </x:c>
      <x:c r="J54" s="2"/>
      <x:c r="K54" s="2"/>
      <x:c r="L54" s="2"/>
      <x:c r="M54" s="2"/>
      <x:c r="N54" s="2"/>
      <x:c r="O54" s="2"/>
      <x:c r="P54" s="2"/>
    </x:row>
    <x:row r="55" ht="36" customHeight="1">
      <x:c r="A55" s="2" t="str">
        <x:v>四阶追加属性加成</x:v>
      </x:c>
      <x:c r="B55" s="13" t="n">
        <x:v>0.15</x:v>
      </x:c>
      <x:c r="C55" s="2" t="str">
        <x:v>比例</x:v>
      </x:c>
      <x:c r="D55" s="2" t="str">
        <x:v>80 级突破后，与二阶相加</x:v>
      </x:c>
      <x:c r="E55" s="2"/>
      <x:c r="F55" s="49" t="str">
        <x:v>怒气获取</x:v>
      </x:c>
      <x:c r="G55" s="49" t="str">
        <x:v>银星5星</x:v>
      </x:c>
      <x:c r="H55" s="49" t="str">
        <x:v>金星5星</x:v>
      </x:c>
      <x:c r="I55" s="49" t="str">
        <x:v>彩星5星</x:v>
      </x:c>
      <x:c r="J55" s="2"/>
      <x:c r="K55" s="2"/>
      <x:c r="L55" s="2"/>
      <x:c r="M55" s="2"/>
      <x:c r="N55" s="2"/>
      <x:c r="O55" s="2"/>
      <x:c r="P55" s="2"/>
    </x:row>
    <x:row r="56" ht="25" customHeight="1">
      <x:c r="A56" s="2" t="str">
        <x:v>五波平均敌人数</x:v>
      </x:c>
      <x:c r="B56" s="13" t="n">
        <x:v>4.6</x:v>
      </x:c>
      <x:c r="C56" s="2" t="str">
        <x:v>个/波</x:v>
      </x:c>
      <x:c r="D56" s="2" t="str">
        <x:v>3、4、5、5、6 共 23 个</x:v>
      </x:c>
      <x:c r="E56" s="2"/>
      <x:c r="F56" s="2" t="str">
        <x:v>阶段总额</x:v>
      </x:c>
      <x:c r="G56" s="46" t="n">
        <x:v>0.03</x:v>
      </x:c>
      <x:c r="H56" s="46" t="n">
        <x:v>0.06</x:v>
      </x:c>
      <x:c r="I56" s="46" t="n">
        <x:v>0.1</x:v>
      </x:c>
      <x:c r="J56" s="2"/>
      <x:c r="K56" s="2"/>
      <x:c r="L56" s="2"/>
      <x:c r="M56" s="2"/>
      <x:c r="N56" s="2"/>
      <x:c r="O56" s="2"/>
      <x:c r="P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36" customHeight="1">
      <x:c r="A58" s="40" t="str">
        <x:v>加速参数</x:v>
      </x:c>
      <x:c r="B58" s="40" t="str">
        <x:v>数值</x:v>
      </x:c>
      <x:c r="C58" s="40" t="str">
        <x:v>单位</x:v>
      </x:c>
      <x:c r="D58" s="40" t="str">
        <x:v>含义</x:v>
      </x:c>
      <x:c r="E58" s="2"/>
      <x:c r="F58" s="49" t="str">
        <x:v>星级</x:v>
      </x:c>
      <x:c r="G58" s="49" t="str">
        <x:v>本次碎片</x:v>
      </x:c>
      <x:c r="H58" s="49" t="str">
        <x:v>累计碎片</x:v>
      </x:c>
      <x:c r="I58" s="49" t="str">
        <x:v>技能效果</x:v>
      </x:c>
      <x:c r="J58" s="49" t="str">
        <x:v>怒气获取</x:v>
      </x:c>
      <x:c r="K58" s="49" t="str">
        <x:v>裸属性加成</x:v>
      </x:c>
      <x:c r="L58" s="2"/>
      <x:c r="M58" s="2"/>
      <x:c r="N58" s="2"/>
      <x:c r="O58" s="2"/>
      <x:c r="P58" s="2"/>
    </x:row>
    <x:row r="59" ht="25" customHeight="1">
      <x:c r="A59" s="2" t="str">
        <x:v>实际领取翻倍次数</x:v>
      </x:c>
      <x:c r="B59" s="28" t="n">
        <x:v>0</x:v>
      </x:c>
      <x:c r="C59" s="2" t="str">
        <x:v>次/天</x:v>
      </x:c>
      <x:c r="D59" s="16" t="str">
        <x:v>仅给本次领取的挂机基础收益追加一份</x:v>
      </x:c>
      <x:c r="E59" s="2"/>
      <x:c r="F59" s="2" t="n">
        <x:v>0</x:v>
      </x:c>
      <x:c r="G59" s="2" t="n">
        <x:v>0</x:v>
      </x:c>
      <x:c r="H59" s="2" t="n">
        <x:f>SUM(G$59:G59)</x:f>
        <x:v>0</x:v>
      </x:c>
      <x:c r="I59" s="45" t="n">
        <x:f>MIN(F59,5)*$G$54+MAX(0,MIN(F59-5,5))*$H$54+MAX(0,F59-10)*$I$54</x:f>
        <x:v>0</x:v>
      </x:c>
      <x:c r="J59" s="45" t="n">
        <x:f>IF(F59&gt;=15,$I$56,IF(F59&gt;=10,$H$56,IF(F59&gt;=5,$G$56,0)))</x:f>
        <x:v>0</x:v>
      </x:c>
      <x:c r="K59" s="45" t="n">
        <x:v>0</x:v>
      </x:c>
      <x:c r="L59" s="2"/>
      <x:c r="M59" s="2"/>
      <x:c r="N59" s="2"/>
      <x:c r="O59" s="2"/>
      <x:c r="P59" s="2"/>
    </x:row>
    <x:row r="60" ht="25" customHeight="1">
      <x:c r="A60" s="2" t="str">
        <x:v>领取翻倍次数上限</x:v>
      </x:c>
      <x:c r="B60" s="28" t="n">
        <x:v>2</x:v>
      </x:c>
      <x:c r="C60" s="2" t="str">
        <x:v>次/天</x:v>
      </x:c>
      <x:c r="D60" s="16" t="str">
        <x:v>每次最多追加 12 小时收益</x:v>
      </x:c>
      <x:c r="E60" s="2"/>
      <x:c r="F60" s="2" t="n">
        <x:v>1</x:v>
      </x:c>
      <x:c r="G60" s="2" t="n">
        <x:v>1</x:v>
      </x:c>
      <x:c r="H60" s="2" t="n">
        <x:f>SUM(G$59:G60)</x:f>
        <x:v>1</x:v>
      </x:c>
      <x:c r="I60" s="45" t="n">
        <x:f>MIN(F60,5)*$G$54+MAX(0,MIN(F60-5,5))*$H$54+MAX(0,F60-10)*$I$54</x:f>
        <x:v>0.02</x:v>
      </x:c>
      <x:c r="J60" s="45" t="n">
        <x:f>IF(F60&gt;=15,$I$56,IF(F60&gt;=10,$H$56,IF(F60&gt;=5,$G$56,0)))</x:f>
        <x:v>0</x:v>
      </x:c>
      <x:c r="K60" s="45" t="n">
        <x:v>0</x:v>
      </x:c>
      <x:c r="L60" s="2"/>
      <x:c r="M60" s="2"/>
      <x:c r="N60" s="2"/>
      <x:c r="O60" s="2"/>
      <x:c r="P60" s="2"/>
    </x:row>
    <x:row r="61" ht="25" customHeight="1">
      <x:c r="A61" s="2" t="str">
        <x:v>每次领取翻倍上限</x:v>
      </x:c>
      <x:c r="B61" s="28" t="n">
        <x:v>12</x:v>
      </x:c>
      <x:c r="C61" s="2" t="str">
        <x:v>等效小时</x:v>
      </x:c>
      <x:c r="D61" s="16" t="str">
        <x:v>以实际已累计且已领取的时长为上限</x:v>
      </x:c>
      <x:c r="E61" s="2"/>
      <x:c r="F61" s="2" t="n">
        <x:v>2</x:v>
      </x:c>
      <x:c r="G61" s="2" t="n">
        <x:v>2</x:v>
      </x:c>
      <x:c r="H61" s="2" t="n">
        <x:f>SUM(G$59:G61)</x:f>
        <x:v>3</x:v>
      </x:c>
      <x:c r="I61" s="45" t="n">
        <x:f>MIN(F61,5)*$G$54+MAX(0,MIN(F61-5,5))*$H$54+MAX(0,F61-10)*$I$54</x:f>
        <x:v>0.04</x:v>
      </x:c>
      <x:c r="J61" s="45" t="n">
        <x:f>IF(F61&gt;=15,$I$56,IF(F61&gt;=10,$H$56,IF(F61&gt;=5,$G$56,0)))</x:f>
        <x:v>0</x:v>
      </x:c>
      <x:c r="K61" s="45" t="n">
        <x:v>0</x:v>
      </x:c>
      <x:c r="L61" s="2"/>
      <x:c r="M61" s="2"/>
      <x:c r="N61" s="2"/>
      <x:c r="O61" s="2"/>
      <x:c r="P61" s="2"/>
    </x:row>
    <x:row r="62" ht="25" customHeight="1">
      <x:c r="A62" s="2" t="str">
        <x:v>实际快速收益次数</x:v>
      </x:c>
      <x:c r="B62" s="28" t="n">
        <x:v>0</x:v>
      </x:c>
      <x:c r="C62" s="2" t="str">
        <x:v>次/天</x:v>
      </x:c>
      <x:c r="D62" s="16" t="str">
        <x:v>通过广告或其他加速来源使用</x:v>
      </x:c>
      <x:c r="E62" s="2"/>
      <x:c r="F62" s="2" t="n">
        <x:v>3</x:v>
      </x:c>
      <x:c r="G62" s="2" t="n">
        <x:v>3</x:v>
      </x:c>
      <x:c r="H62" s="2" t="n">
        <x:f>SUM(G$59:G62)</x:f>
        <x:v>6</x:v>
      </x:c>
      <x:c r="I62" s="45" t="n">
        <x:f>MIN(F62,5)*$G$54+MAX(0,MIN(F62-5,5))*$H$54+MAX(0,F62-10)*$I$54</x:f>
        <x:v>0.06</x:v>
      </x:c>
      <x:c r="J62" s="45" t="n">
        <x:f>IF(F62&gt;=15,$I$56,IF(F62&gt;=10,$H$56,IF(F62&gt;=5,$G$56,0)))</x:f>
        <x:v>0</x:v>
      </x:c>
      <x:c r="K62" s="45" t="n">
        <x:v>0</x:v>
      </x:c>
      <x:c r="L62" s="2"/>
      <x:c r="M62" s="2"/>
      <x:c r="N62" s="2"/>
      <x:c r="O62" s="2"/>
      <x:c r="P62" s="2"/>
    </x:row>
    <x:row r="63" ht="25" customHeight="1">
      <x:c r="A63" s="2" t="str">
        <x:v>快速收益次数上限</x:v>
      </x:c>
      <x:c r="B63" s="28" t="n">
        <x:v>3</x:v>
      </x:c>
      <x:c r="C63" s="2" t="str">
        <x:v>次/天</x:v>
      </x:c>
      <x:c r="D63" s="16" t="str">
        <x:v>各来源合并计入每日次数</x:v>
      </x:c>
      <x:c r="E63" s="2"/>
      <x:c r="F63" s="2" t="n">
        <x:v>4</x:v>
      </x:c>
      <x:c r="G63" s="2" t="n">
        <x:v>4</x:v>
      </x:c>
      <x:c r="H63" s="2" t="n">
        <x:f>SUM(G$59:G63)</x:f>
        <x:v>10</x:v>
      </x:c>
      <x:c r="I63" s="45" t="n">
        <x:f>MIN(F63,5)*$G$54+MAX(0,MIN(F63-5,5))*$H$54+MAX(0,F63-10)*$I$54</x:f>
        <x:v>0.08</x:v>
      </x:c>
      <x:c r="J63" s="45" t="n">
        <x:f>IF(F63&gt;=15,$I$56,IF(F63&gt;=10,$H$56,IF(F63&gt;=5,$G$56,0)))</x:f>
        <x:v>0</x:v>
      </x:c>
      <x:c r="K63" s="45" t="n">
        <x:v>0</x:v>
      </x:c>
      <x:c r="L63" s="2"/>
      <x:c r="M63" s="2"/>
      <x:c r="N63" s="2"/>
      <x:c r="O63" s="2"/>
      <x:c r="P63" s="2"/>
    </x:row>
    <x:row r="64" ht="25" customHeight="1">
      <x:c r="A64" s="2" t="str">
        <x:v>每次快速收益时长</x:v>
      </x:c>
      <x:c r="B64" s="28" t="n">
        <x:v>10</x:v>
      </x:c>
      <x:c r="C64" s="2" t="str">
        <x:v>等效小时</x:v>
      </x:c>
      <x:c r="D64" s="16" t="str">
        <x:v>以使用时已解锁的资源档结算</x:v>
      </x:c>
      <x:c r="E64" s="2"/>
      <x:c r="F64" s="2" t="n">
        <x:v>5</x:v>
      </x:c>
      <x:c r="G64" s="2" t="n">
        <x:v>5</x:v>
      </x:c>
      <x:c r="H64" s="2" t="n">
        <x:f>SUM(G$59:G64)</x:f>
        <x:v>15</x:v>
      </x:c>
      <x:c r="I64" s="45" t="n">
        <x:f>MIN(F64,5)*$G$54+MAX(0,MIN(F64-5,5))*$H$54+MAX(0,F64-10)*$I$54</x:f>
        <x:v>0.1</x:v>
      </x:c>
      <x:c r="J64" s="45" t="n">
        <x:f>IF(F64&gt;=15,$I$56,IF(F64&gt;=10,$H$56,IF(F64&gt;=5,$G$56,0)))</x:f>
        <x:v>0.03</x:v>
      </x:c>
      <x:c r="K64" s="45" t="n">
        <x:v>0</x:v>
      </x:c>
      <x:c r="L64" s="2"/>
      <x:c r="M64" s="2"/>
      <x:c r="N64" s="2"/>
      <x:c r="O64" s="2"/>
      <x:c r="P64" s="2"/>
    </x:row>
    <x:row r="65" ht="25" customHeight="1">
      <x:c r="A65" s="2" t="str">
        <x:v>充分加速目标天数</x:v>
      </x:c>
      <x:c r="B65" s="28" t="n">
        <x:v>30</x:v>
      </x:c>
      <x:c r="C65" s="2" t="str">
        <x:v>天</x:v>
      </x:c>
      <x:c r="D65" s="16" t="str">
        <x:v>加速目标；升级价格仍按不加速 90 天定价</x:v>
      </x:c>
      <x:c r="E65" s="2"/>
      <x:c r="F65" s="2" t="n">
        <x:v>6</x:v>
      </x:c>
      <x:c r="G65" s="2" t="n">
        <x:v>5</x:v>
      </x:c>
      <x:c r="H65" s="2" t="n">
        <x:f>SUM(G$59:G65)</x:f>
        <x:v>20</x:v>
      </x:c>
      <x:c r="I65" s="45" t="n">
        <x:f>MIN(F65,5)*$G$54+MAX(0,MIN(F65-5,5))*$H$54+MAX(0,F65-10)*$I$54</x:f>
        <x:v>0.13</x:v>
      </x:c>
      <x:c r="J65" s="45" t="n">
        <x:f>IF(F65&gt;=15,$I$56,IF(F65&gt;=10,$H$56,IF(F65&gt;=5,$G$56,0)))</x:f>
        <x:v>0.03</x:v>
      </x:c>
      <x:c r="K65" s="45" t="n">
        <x:v>0</x:v>
      </x:c>
      <x:c r="L65" s="2"/>
      <x:c r="M65" s="2"/>
      <x:c r="N65" s="2"/>
      <x:c r="O65" s="2"/>
      <x:c r="P65" s="2"/>
    </x:row>
    <x:row r="66" ht="25" customHeight="1">
      <x:c r="A66" s="2"/>
      <x:c r="B66" s="2"/>
      <x:c r="C66" s="2"/>
      <x:c r="D66" s="2"/>
      <x:c r="E66" s="2"/>
      <x:c r="F66" s="2" t="n">
        <x:v>7</x:v>
      </x:c>
      <x:c r="G66" s="2" t="n">
        <x:v>6</x:v>
      </x:c>
      <x:c r="H66" s="2" t="n">
        <x:f>SUM(G$59:G66)</x:f>
        <x:v>26</x:v>
      </x:c>
      <x:c r="I66" s="45" t="n">
        <x:f>MIN(F66,5)*$G$54+MAX(0,MIN(F66-5,5))*$H$54+MAX(0,F66-10)*$I$54</x:f>
        <x:v>0.16</x:v>
      </x:c>
      <x:c r="J66" s="45" t="n">
        <x:f>IF(F66&gt;=15,$I$56,IF(F66&gt;=10,$H$56,IF(F66&gt;=5,$G$56,0)))</x:f>
        <x:v>0.03</x:v>
      </x:c>
      <x:c r="K66" s="45" t="n">
        <x:v>0</x:v>
      </x:c>
      <x:c r="L66" s="2"/>
      <x:c r="M66" s="2"/>
      <x:c r="N66" s="2"/>
      <x:c r="O66" s="2"/>
      <x:c r="P66" s="2"/>
    </x:row>
    <x:row r="67" ht="25" customHeight="1">
      <x:c r="A67" s="2"/>
      <x:c r="B67" s="2"/>
      <x:c r="C67" s="2"/>
      <x:c r="D67" s="2"/>
      <x:c r="E67" s="2"/>
      <x:c r="F67" s="2" t="n">
        <x:v>8</x:v>
      </x:c>
      <x:c r="G67" s="2" t="n">
        <x:v>6</x:v>
      </x:c>
      <x:c r="H67" s="2" t="n">
        <x:f>SUM(G$59:G67)</x:f>
        <x:v>32</x:v>
      </x:c>
      <x:c r="I67" s="45" t="n">
        <x:f>MIN(F67,5)*$G$54+MAX(0,MIN(F67-5,5))*$H$54+MAX(0,F67-10)*$I$54</x:f>
        <x:v>0.19</x:v>
      </x:c>
      <x:c r="J67" s="45" t="n">
        <x:f>IF(F67&gt;=15,$I$56,IF(F67&gt;=10,$H$56,IF(F67&gt;=5,$G$56,0)))</x:f>
        <x:v>0.03</x:v>
      </x:c>
      <x:c r="K67" s="45" t="n">
        <x:v>0</x:v>
      </x:c>
      <x:c r="L67" s="2"/>
      <x:c r="M67" s="2"/>
      <x:c r="N67" s="2"/>
      <x:c r="O67" s="2"/>
      <x:c r="P67" s="2"/>
    </x:row>
    <x:row r="68" ht="25" customHeight="1">
      <x:c r="A68" s="29" t="str">
        <x:v>加速收益预算</x:v>
      </x:c>
      <x:c r="B68" s="29"/>
      <x:c r="C68" s="29"/>
      <x:c r="D68" s="29"/>
      <x:c r="E68" s="2"/>
      <x:c r="F68" s="2" t="n">
        <x:v>9</x:v>
      </x:c>
      <x:c r="G68" s="2" t="n">
        <x:v>7</x:v>
      </x:c>
      <x:c r="H68" s="2" t="n">
        <x:f>SUM(G$59:G68)</x:f>
        <x:v>39</x:v>
      </x:c>
      <x:c r="I68" s="45" t="n">
        <x:f>MIN(F68,5)*$G$54+MAX(0,MIN(F68-5,5))*$H$54+MAX(0,F68-10)*$I$54</x:f>
        <x:v>0.22</x:v>
      </x:c>
      <x:c r="J68" s="45" t="n">
        <x:f>IF(F68&gt;=15,$I$56,IF(F68&gt;=10,$H$56,IF(F68&gt;=5,$G$56,0)))</x:f>
        <x:v>0.03</x:v>
      </x:c>
      <x:c r="K68" s="45" t="n">
        <x:v>0</x:v>
      </x:c>
      <x:c r="L68" s="2"/>
      <x:c r="M68" s="2"/>
      <x:c r="N68" s="2"/>
      <x:c r="O68" s="2"/>
      <x:c r="P68" s="2"/>
    </x:row>
    <x:row r="69" ht="25" customHeight="1">
      <x:c r="A69" s="2" t="str">
        <x:v>目标总收入倍率</x:v>
      </x:c>
      <x:c r="B69" s="15" t="n">
        <x:f>B5/B65</x:f>
        <x:v>3</x:v>
      </x:c>
      <x:c r="C69" s="2" t="str">
        <x:v>倍</x:v>
      </x:c>
      <x:c r="D69" s="2"/>
      <x:c r="E69" s="2"/>
      <x:c r="F69" s="2" t="n">
        <x:v>10</x:v>
      </x:c>
      <x:c r="G69" s="2" t="n">
        <x:v>7</x:v>
      </x:c>
      <x:c r="H69" s="2" t="n">
        <x:f>SUM(G$59:G69)</x:f>
        <x:v>46</x:v>
      </x:c>
      <x:c r="I69" s="45" t="n">
        <x:f>MIN(F69,5)*$G$54+MAX(0,MIN(F69-5,5))*$H$54+MAX(0,F69-10)*$I$54</x:f>
        <x:v>0.25</x:v>
      </x:c>
      <x:c r="J69" s="45" t="n">
        <x:f>IF(F69&gt;=15,$I$56,IF(F69&gt;=10,$H$56,IF(F69&gt;=5,$G$56,0)))</x:f>
        <x:v>0.06</x:v>
      </x:c>
      <x:c r="K69" s="45" t="n">
        <x:v>0</x:v>
      </x:c>
      <x:c r="L69" s="2"/>
      <x:c r="M69" s="2"/>
      <x:c r="N69" s="2"/>
      <x:c r="O69" s="2"/>
      <x:c r="P69" s="2"/>
    </x:row>
    <x:row r="70" ht="25" customHeight="1">
      <x:c r="A70" s="2" t="str">
        <x:v>目标额外日收益</x:v>
      </x:c>
      <x:c r="B70" s="15" t="n">
        <x:f>B11*(B69-1)</x:f>
        <x:v>54</x:v>
      </x:c>
      <x:c r="C70" s="2" t="str">
        <x:v>等效小时/天</x:v>
      </x:c>
      <x:c r="D70" s="2"/>
      <x:c r="E70" s="2"/>
      <x:c r="F70" s="2" t="n">
        <x:v>11</x:v>
      </x:c>
      <x:c r="G70" s="2" t="n">
        <x:v>8</x:v>
      </x:c>
      <x:c r="H70" s="2" t="n">
        <x:f>SUM(G$59:G70)</x:f>
        <x:v>54</x:v>
      </x:c>
      <x:c r="I70" s="45" t="n">
        <x:f>MIN(F70,5)*$G$54+MAX(0,MIN(F70-5,5))*$H$54+MAX(0,F70-10)*$I$54</x:f>
        <x:v>0.29</x:v>
      </x:c>
      <x:c r="J70" s="45" t="n">
        <x:f>IF(F70&gt;=15,$I$56,IF(F70&gt;=10,$H$56,IF(F70&gt;=5,$G$56,0)))</x:f>
        <x:v>0.06</x:v>
      </x:c>
      <x:c r="K70" s="45" t="n">
        <x:v>0</x:v>
      </x:c>
      <x:c r="L70" s="2"/>
      <x:c r="M70" s="2"/>
      <x:c r="N70" s="2"/>
      <x:c r="O70" s="2"/>
      <x:c r="P70" s="2"/>
    </x:row>
    <x:row r="71" ht="25" customHeight="1">
      <x:c r="A71" s="2" t="str">
        <x:v>当前额外日收益</x:v>
      </x:c>
      <x:c r="B71" s="15" t="n">
        <x:f>MIN(B12,MIN(B59,B60)*B61)+MIN(B62,B63)*B64</x:f>
        <x:v>0</x:v>
      </x:c>
      <x:c r="C71" s="2" t="str">
        <x:v>等效小时/天</x:v>
      </x:c>
      <x:c r="D71" s="2"/>
      <x:c r="E71" s="2"/>
      <x:c r="F71" s="2" t="n">
        <x:v>12</x:v>
      </x:c>
      <x:c r="G71" s="2" t="n">
        <x:v>8</x:v>
      </x:c>
      <x:c r="H71" s="2" t="n">
        <x:f>SUM(G$59:G71)</x:f>
        <x:v>62</x:v>
      </x:c>
      <x:c r="I71" s="45" t="n">
        <x:f>MIN(F71,5)*$G$54+MAX(0,MIN(F71-5,5))*$H$54+MAX(0,F71-10)*$I$54</x:f>
        <x:v>0.33</x:v>
      </x:c>
      <x:c r="J71" s="45" t="n">
        <x:f>IF(F71&gt;=15,$I$56,IF(F71&gt;=10,$H$56,IF(F71&gt;=5,$G$56,0)))</x:f>
        <x:v>0.06</x:v>
      </x:c>
      <x:c r="K71" s="45" t="n">
        <x:v>0</x:v>
      </x:c>
      <x:c r="L71" s="2"/>
      <x:c r="M71" s="2"/>
      <x:c r="N71" s="2"/>
      <x:c r="O71" s="2"/>
      <x:c r="P71" s="2"/>
    </x:row>
    <x:row r="72" ht="25" customHeight="1">
      <x:c r="A72" s="2" t="str">
        <x:v>满额额外日收益</x:v>
      </x:c>
      <x:c r="B72" s="15" t="n">
        <x:f>MIN(B12,B60*B61)+B63*B64</x:f>
        <x:v>54</x:v>
      </x:c>
      <x:c r="C72" s="2" t="str">
        <x:v>等效小时/天</x:v>
      </x:c>
      <x:c r="D72" s="2"/>
      <x:c r="E72" s="2"/>
      <x:c r="F72" s="2" t="n">
        <x:v>13</x:v>
      </x:c>
      <x:c r="G72" s="2" t="n">
        <x:v>9</x:v>
      </x:c>
      <x:c r="H72" s="2" t="n">
        <x:f>SUM(G$59:G72)</x:f>
        <x:v>71</x:v>
      </x:c>
      <x:c r="I72" s="45" t="n">
        <x:f>MIN(F72,5)*$G$54+MAX(0,MIN(F72-5,5))*$H$54+MAX(0,F72-10)*$I$54</x:f>
        <x:v>0.37</x:v>
      </x:c>
      <x:c r="J72" s="45" t="n">
        <x:f>IF(F72&gt;=15,$I$56,IF(F72&gt;=10,$H$56,IF(F72&gt;=5,$G$56,0)))</x:f>
        <x:v>0.06</x:v>
      </x:c>
      <x:c r="K72" s="45" t="n">
        <x:v>0</x:v>
      </x:c>
      <x:c r="L72" s="2"/>
      <x:c r="M72" s="2"/>
      <x:c r="N72" s="2"/>
      <x:c r="O72" s="2"/>
      <x:c r="P72" s="2"/>
    </x:row>
    <x:row r="73" ht="25" customHeight="1">
      <x:c r="A73" s="2"/>
      <x:c r="B73" s="2"/>
      <x:c r="C73" s="2"/>
      <x:c r="D73" s="2"/>
      <x:c r="E73" s="2"/>
      <x:c r="F73" s="2" t="n">
        <x:v>14</x:v>
      </x:c>
      <x:c r="G73" s="2" t="n">
        <x:v>9</x:v>
      </x:c>
      <x:c r="H73" s="2" t="n">
        <x:f>SUM(G$59:G73)</x:f>
        <x:v>80</x:v>
      </x:c>
      <x:c r="I73" s="45" t="n">
        <x:f>MIN(F73,5)*$G$54+MAX(0,MIN(F73-5,5))*$H$54+MAX(0,F73-10)*$I$54</x:f>
        <x:v>0.41000000000000003</x:v>
      </x:c>
      <x:c r="J73" s="45" t="n">
        <x:f>IF(F73&gt;=15,$I$56,IF(F73&gt;=10,$H$56,IF(F73&gt;=5,$G$56,0)))</x:f>
        <x:v>0.06</x:v>
      </x:c>
      <x:c r="K73" s="45" t="n">
        <x:v>0</x:v>
      </x:c>
      <x:c r="L73" s="2"/>
      <x:c r="M73" s="2"/>
      <x:c r="N73" s="2"/>
      <x:c r="O73" s="2"/>
      <x:c r="P73" s="2"/>
    </x:row>
    <x:row r="74" ht="25" customHeight="1">
      <x:c r="A74" s="2"/>
      <x:c r="B74" s="2"/>
      <x:c r="C74" s="2"/>
      <x:c r="D74" s="2"/>
      <x:c r="E74" s="2"/>
      <x:c r="F74" s="2" t="n">
        <x:v>15</x:v>
      </x:c>
      <x:c r="G74" s="2" t="n">
        <x:v>10</x:v>
      </x:c>
      <x:c r="H74" s="2" t="n">
        <x:f>SUM(G$59:G74)</x:f>
        <x:v>90</x:v>
      </x:c>
      <x:c r="I74" s="45" t="n">
        <x:f>MIN(F74,5)*$G$54+MAX(0,MIN(F74-5,5))*$H$54+MAX(0,F74-10)*$I$54</x:f>
        <x:v>0.45</x:v>
      </x:c>
      <x:c r="J74" s="45" t="n">
        <x:f>IF(F74&gt;=15,$I$56,IF(F74&gt;=10,$H$56,IF(F74&gt;=5,$G$56,0)))</x:f>
        <x:v>0.1</x:v>
      </x:c>
      <x:c r="K74" s="45" t="n">
        <x:v>0</x:v>
      </x:c>
      <x:c r="L74" s="2"/>
      <x:c r="M74" s="2"/>
      <x:c r="N74" s="2"/>
      <x:c r="O74" s="2"/>
      <x:c r="P74" s="2"/>
    </x:row>
    <x:row r="75" ht="2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38" customHeight="1">
      <x:c r="A77" s="2"/>
      <x:c r="B77" s="2"/>
      <x:c r="C77" s="2"/>
      <x:c r="D77" s="2"/>
      <x:c r="E77" s="2"/>
      <x:c r="F77" s="51" t="str">
        <x:v>升星强化技能；进阶突破等级，星级不参与进阶条件。</x:v>
      </x:c>
      <x:c r="G77" s="51"/>
      <x:c r="H77" s="51"/>
      <x:c r="I77" s="51"/>
      <x:c r="J77" s="51"/>
      <x:c r="K77" s="51"/>
      <x:c r="L77" s="2"/>
      <x:c r="M77" s="2"/>
      <x:c r="N77" s="2"/>
      <x:c r="O77" s="2"/>
      <x:c r="P77" s="2"/>
    </x:row>
    <x:row r="78" ht="2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36" customHeight="1">
      <x:c r="A79" s="2"/>
      <x:c r="B79" s="2"/>
      <x:c r="C79" s="2"/>
      <x:c r="D79" s="2"/>
      <x:c r="E79" s="2"/>
      <x:c r="F79" s="49" t="str">
        <x:v>进阶至</x:v>
      </x:c>
      <x:c r="G79" s="49" t="str">
        <x:v>所需等级</x:v>
      </x:c>
      <x:c r="H79" s="49" t="str">
        <x:v>等级上限</x:v>
      </x:c>
      <x:c r="I79" s="49" t="str">
        <x:v>单人进阶石</x:v>
      </x:c>
      <x:c r="J79" s="49" t="str">
        <x:v>裸属性累计</x:v>
      </x:c>
      <x:c r="K79" s="49" t="str">
        <x:v>通用被动</x:v>
      </x:c>
      <x:c r="L79" s="2"/>
      <x:c r="M79" s="2"/>
      <x:c r="N79" s="2"/>
      <x:c r="O79" s="2"/>
      <x:c r="P79" s="2"/>
    </x:row>
    <x:row r="80" ht="25" customHeight="1">
      <x:c r="A80" s="2"/>
      <x:c r="B80" s="2"/>
      <x:c r="C80" s="2"/>
      <x:c r="D80" s="2"/>
      <x:c r="E80" s="2"/>
      <x:c r="F80" s="2" t="n">
        <x:v>1</x:v>
      </x:c>
      <x:c r="G80" s="2" t="n">
        <x:v>20</x:v>
      </x:c>
      <x:c r="H80" s="2" t="n">
        <x:v>40</x:v>
      </x:c>
      <x:c r="I80" s="2" t="n">
        <x:v>1</x:v>
      </x:c>
      <x:c r="J80" s="45" t="n">
        <x:v>0</x:v>
      </x:c>
      <x:c r="K80" s="2" t="str">
        <x:v>解锁</x:v>
      </x:c>
      <x:c r="L80" s="2"/>
      <x:c r="M80" s="2"/>
      <x:c r="N80" s="2"/>
      <x:c r="O80" s="2"/>
      <x:c r="P80" s="2"/>
    </x:row>
    <x:row r="81" ht="25" customHeight="1">
      <x:c r="A81" s="2"/>
      <x:c r="B81" s="2"/>
      <x:c r="C81" s="2"/>
      <x:c r="D81" s="2"/>
      <x:c r="E81" s="2"/>
      <x:c r="F81" s="2" t="n">
        <x:v>2</x:v>
      </x:c>
      <x:c r="G81" s="2" t="n">
        <x:v>40</x:v>
      </x:c>
      <x:c r="H81" s="2" t="n">
        <x:v>60</x:v>
      </x:c>
      <x:c r="I81" s="2" t="n">
        <x:v>2</x:v>
      </x:c>
      <x:c r="J81" s="45" t="n">
        <x:f>B54</x:f>
        <x:v>0.08</x:v>
      </x:c>
      <x:c r="K81" s="2" t="str">
        <x:v>保留</x:v>
      </x:c>
      <x:c r="L81" s="2"/>
      <x:c r="M81" s="2"/>
      <x:c r="N81" s="2"/>
      <x:c r="O81" s="2"/>
      <x:c r="P81" s="2"/>
    </x:row>
    <x:row r="82" ht="25" customHeight="1">
      <x:c r="A82" s="2"/>
      <x:c r="B82" s="2"/>
      <x:c r="C82" s="2"/>
      <x:c r="D82" s="2"/>
      <x:c r="E82" s="2"/>
      <x:c r="F82" s="2" t="n">
        <x:v>3</x:v>
      </x:c>
      <x:c r="G82" s="2" t="n">
        <x:v>60</x:v>
      </x:c>
      <x:c r="H82" s="2" t="n">
        <x:v>80</x:v>
      </x:c>
      <x:c r="I82" s="2" t="n">
        <x:v>3</x:v>
      </x:c>
      <x:c r="J82" s="45" t="n">
        <x:f>B54</x:f>
        <x:v>0.08</x:v>
      </x:c>
      <x:c r="K82" s="2" t="str">
        <x:v>保留</x:v>
      </x:c>
      <x:c r="L82" s="2"/>
      <x:c r="M82" s="2"/>
      <x:c r="N82" s="2"/>
      <x:c r="O82" s="2"/>
      <x:c r="P82" s="2"/>
    </x:row>
    <x:row r="83" ht="25" customHeight="1">
      <x:c r="A83" s="2"/>
      <x:c r="B83" s="2"/>
      <x:c r="C83" s="2"/>
      <x:c r="D83" s="2"/>
      <x:c r="E83" s="2"/>
      <x:c r="F83" s="2" t="n">
        <x:v>4</x:v>
      </x:c>
      <x:c r="G83" s="2" t="n">
        <x:v>80</x:v>
      </x:c>
      <x:c r="H83" s="2" t="n">
        <x:v>100</x:v>
      </x:c>
      <x:c r="I83" s="2" t="n">
        <x:v>5</x:v>
      </x:c>
      <x:c r="J83" s="45" t="n">
        <x:f>B54+B55</x:f>
        <x:v>0.22999999999999998</x:v>
      </x:c>
      <x:c r="K83" s="2" t="str">
        <x:v>保留</x:v>
      </x:c>
      <x:c r="L83" s="2"/>
      <x:c r="M83" s="2"/>
      <x:c r="N83" s="2"/>
      <x:c r="O83" s="2"/>
      <x:c r="P83" s="2"/>
    </x:row>
    <x:row r="84" ht="25" customHeight="1">
      <x:c r="A84" s="2"/>
      <x:c r="B84" s="2"/>
      <x:c r="C84" s="2"/>
      <x:c r="D84" s="2"/>
      <x:c r="E84" s="2"/>
      <x:c r="F84" s="2" t="n">
        <x:v>5</x:v>
      </x:c>
      <x:c r="G84" s="2" t="n">
        <x:v>100</x:v>
      </x:c>
      <x:c r="H84" s="2" t="n">
        <x:v>100</x:v>
      </x:c>
      <x:c r="I84" s="2" t="n">
        <x:v>8</x:v>
      </x:c>
      <x:c r="J84" s="45" t="n">
        <x:f>B54+B55+25%</x:f>
        <x:v>0.48</x:v>
      </x:c>
      <x:c r="K84" s="2" t="str">
        <x:v>保留</x:v>
      </x:c>
      <x:c r="L84" s="2"/>
      <x:c r="M84" s="2"/>
      <x:c r="N84" s="2"/>
      <x:c r="O84" s="2"/>
      <x:c r="P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</x:sheetData>
  <x:mergeCells>
    <x:mergeCell ref="G45:P45"/>
    <x:mergeCell ref="G46:P46"/>
    <x:mergeCell ref="G47:P47"/>
    <x:mergeCell ref="G48:P48"/>
    <x:mergeCell ref="G49:P49"/>
    <x:mergeCell ref="G50:P50"/>
    <x:mergeCell ref="F77:K77"/>
  </x:mergeCells>
  <x:dataValidations count="5">
    <x:dataValidation type="whole" operator="between" sqref="G26:H30">
      <x:formula1>1</x:formula1>
      <x:formula2>100</x:formula2>
    </x:dataValidation>
    <x:dataValidation type="whole" operator="between" sqref="B5">
      <x:formula1>1</x:formula1>
      <x:formula2>365</x:formula2>
    </x:dataValidation>
    <x:dataValidation type="whole" operator="between" sqref="B59">
      <x:formula1>0</x:formula1>
      <x:formula2>$B$60</x:formula2>
    </x:dataValidation>
    <x:dataValidation type="whole" operator="between" sqref="B62">
      <x:formula1>0</x:formula1>
      <x:formula2>$B$63</x:formula2>
    </x:dataValidation>
    <x:dataValidation type="whole" operator="between" sqref="B47">
      <x:formula1>0</x:formula1>
      <x:formula2>15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6" hidden="0" customWidth="1"/>
    <x:col min="20" max="20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3" t="str">
        <x:v>1–100 级角色成长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4" customHeight="1">
      <x:c r="A5" s="9" t="str">
        <x:v>等级</x:v>
      </x:c>
      <x:c r="B5" s="10" t="str">
        <x:v>生命倍率</x:v>
      </x:c>
      <x:c r="C5" s="10" t="str">
        <x:v>攻击倍率</x:v>
      </x:c>
      <x:c r="D5" s="10" t="str">
        <x:v>防御倍率</x:v>
      </x:c>
      <x:c r="E5" s="10" t="str">
        <x:v>进阶加成</x:v>
      </x:c>
      <x:c r="F5" s="10" t="str">
        <x:v>输出裸攻</x:v>
      </x:c>
      <x:c r="G5" s="10" t="str">
        <x:v>输出裸血</x:v>
      </x:c>
      <x:c r="H5" s="10" t="str">
        <x:v>输出裸防</x:v>
      </x:c>
      <x:c r="I5" s="10" t="str">
        <x:v>坦克裸攻</x:v>
      </x:c>
      <x:c r="J5" s="10" t="str">
        <x:v>坦克裸血</x:v>
      </x:c>
      <x:c r="K5" s="10" t="str">
        <x:v>坦克裸防</x:v>
      </x:c>
      <x:c r="L5" s="10" t="str">
        <x:v>治疗裸攻</x:v>
      </x:c>
      <x:c r="M5" s="10" t="str">
        <x:v>参考装等</x:v>
      </x:c>
      <x:c r="N5" s="10" t="str">
        <x:v>装备预算</x:v>
      </x:c>
      <x:c r="O5" s="10" t="str">
        <x:v>输出总攻</x:v>
      </x:c>
      <x:c r="P5" s="10" t="str">
        <x:v>坦克总血</x:v>
      </x:c>
      <x:c r="Q5" s="10" t="str">
        <x:v>坦克总防</x:v>
      </x:c>
      <x:c r="R5" s="11" t="str">
        <x:v>装备攻击占比</x:v>
      </x:c>
      <x:c r="S5" s="58" t="str">
        <x:v>观察星级技能效果</x:v>
      </x:c>
      <x:c r="T5" s="58" t="str">
        <x:v>观察星级怒气获取</x:v>
      </x:c>
    </x:row>
    <x:row r="6" ht="22" customHeight="1">
      <x:c r="A6" s="18" t="n">
        <x:v>1</x:v>
      </x:c>
      <x:c r="B6" s="15" t="n">
        <x:f>'参数'!$B$16^(A6-1)</x:f>
        <x:v>1</x:v>
      </x:c>
      <x:c r="C6" s="15" t="n">
        <x:f>'参数'!$B$15^(A6-1)</x:f>
        <x:v>1</x:v>
      </x:c>
      <x:c r="D6" s="15" t="n">
        <x:f>'参数'!$B$17^(A6-1)</x:f>
        <x:v>1</x:v>
      </x:c>
      <x:c r="E6" s="21" t="n">
        <x:f>IF(A6&gt;40,'参数'!$B$54,0)+IF(A6&gt;80,'参数'!$B$55,0)</x:f>
        <x:v>0</x:v>
      </x:c>
      <x:c r="F6" s="18" t="n">
        <x:f>ROUND('参数'!$H$5*C6*(1+E6),0)</x:f>
        <x:v>125</x:v>
      </x:c>
      <x:c r="G6" s="18" t="n">
        <x:f>ROUND('参数'!$G$5*B6*(1+E6),0)</x:f>
        <x:v>1000</x:v>
      </x:c>
      <x:c r="H6" s="18" t="n">
        <x:f>ROUND('参数'!$I$5*D6*(1+E6),0)</x:f>
        <x:v>35</x:v>
      </x:c>
      <x:c r="I6" s="18" t="n">
        <x:f>ROUND('参数'!$H$6*C6*(1+E6),0)</x:f>
        <x:v>90</x:v>
      </x:c>
      <x:c r="J6" s="18" t="n">
        <x:f>ROUND('参数'!$G$6*B6*(1+E6),0)</x:f>
        <x:v>1500</x:v>
      </x:c>
      <x:c r="K6" s="18" t="n">
        <x:f>ROUND('参数'!$I$6*D6*(1+E6),0)</x:f>
        <x:v>65</x:v>
      </x:c>
      <x:c r="L6" s="18" t="n">
        <x:f>ROUND('参数'!$H$7*C6*(1+E6),0)</x:f>
        <x:v>70</x:v>
      </x:c>
      <x:c r="M6" s="18" t="n">
        <x:f>MAX(1,5*INT(A6/5))</x:f>
        <x:v>1</x:v>
      </x:c>
      <x:c r="N6" s="18" t="n">
        <x:f>'参数'!$B$18*'参数'!$B$19^(M6-1)*'参数'!$B$48*'参数'!$B$49*MIN(1,(A6-1)/19)</x:f>
        <x:v>0</x:v>
      </x:c>
      <x:c r="O6" s="18" t="n">
        <x:f>ROUND(F6+N6*'参数'!$K$21,0)</x:f>
        <x:v>125</x:v>
      </x:c>
      <x:c r="P6" s="18" t="n">
        <x:f>ROUND((J6+N6*'参数'!$L$21)*(1+'参数'!$B$40*MIN(1,(A6-1)/19)),0)</x:f>
        <x:v>1500</x:v>
      </x:c>
      <x:c r="Q6" s="18" t="n">
        <x:f>ROUND((K6+N6*'参数'!$M$21)*(1+'参数'!$B$41*MIN(1,(A6-1)/19)),0)</x:f>
        <x:v>65</x:v>
      </x:c>
      <x:c r="R6" s="21" t="n">
        <x:f>N6*'参数'!$K$21/O6</x:f>
        <x:v>0</x:v>
      </x:c>
      <x:c r="S6" s="52" t="n">
        <x:f>INDEX('参数'!$I$59:$I$74,'参数'!$B$47+1)</x:f>
        <x:v>0</x:v>
      </x:c>
      <x:c r="T6" s="52" t="n">
        <x:f>INDEX('参数'!$J$59:$J$74,'参数'!$B$47+1)</x:f>
        <x:v>0</x:v>
      </x:c>
    </x:row>
    <x:row r="7" ht="22" customHeight="1">
      <x:c r="A7" s="19" t="n">
        <x:v>2</x:v>
      </x:c>
      <x:c r="B7" s="20" t="n">
        <x:f>'参数'!$B$16^(A7-1)</x:f>
        <x:v>1.036</x:v>
      </x:c>
      <x:c r="C7" s="20" t="n">
        <x:f>'参数'!$B$15^(A7-1)</x:f>
        <x:v>1.035</x:v>
      </x:c>
      <x:c r="D7" s="20" t="n">
        <x:f>'参数'!$B$17^(A7-1)</x:f>
        <x:v>1.035</x:v>
      </x:c>
      <x:c r="E7" s="22" t="n">
        <x:f>IF(A7&gt;40,'参数'!$B$54,0)+IF(A7&gt;80,'参数'!$B$55,0)</x:f>
        <x:v>0</x:v>
      </x:c>
      <x:c r="F7" s="19" t="n">
        <x:f>ROUND('参数'!$H$5*C7*(1+E7),0)</x:f>
        <x:v>129</x:v>
      </x:c>
      <x:c r="G7" s="19" t="n">
        <x:f>ROUND('参数'!$G$5*B7*(1+E7),0)</x:f>
        <x:v>1036</x:v>
      </x:c>
      <x:c r="H7" s="19" t="n">
        <x:f>ROUND('参数'!$I$5*D7*(1+E7),0)</x:f>
        <x:v>36</x:v>
      </x:c>
      <x:c r="I7" s="19" t="n">
        <x:f>ROUND('参数'!$H$6*C7*(1+E7),0)</x:f>
        <x:v>93</x:v>
      </x:c>
      <x:c r="J7" s="19" t="n">
        <x:f>ROUND('参数'!$G$6*B7*(1+E7),0)</x:f>
        <x:v>1554</x:v>
      </x:c>
      <x:c r="K7" s="19" t="n">
        <x:f>ROUND('参数'!$I$6*D7*(1+E7),0)</x:f>
        <x:v>67</x:v>
      </x:c>
      <x:c r="L7" s="19" t="n">
        <x:f>ROUND('参数'!$H$7*C7*(1+E7),0)</x:f>
        <x:v>72</x:v>
      </x:c>
      <x:c r="M7" s="19" t="n">
        <x:f>MAX(1,5*INT(A7/5))</x:f>
        <x:v>1</x:v>
      </x:c>
      <x:c r="N7" s="19" t="n">
        <x:f>'参数'!$B$18*'参数'!$B$19^(M7-1)*'参数'!$B$48*'参数'!$B$49*MIN(1,(A7-1)/19)</x:f>
        <x:v>2.1675789473684213</x:v>
      </x:c>
      <x:c r="O7" s="19" t="n">
        <x:f>ROUND(F7+N7*'参数'!$K$21,0)</x:f>
        <x:v>135</x:v>
      </x:c>
      <x:c r="P7" s="19" t="n">
        <x:f>ROUND((J7+N7*'参数'!$L$21)*(1+'参数'!$B$40*MIN(1,(A7-1)/19)),0)</x:f>
        <x:v>1611</x:v>
      </x:c>
      <x:c r="Q7" s="19" t="n">
        <x:f>ROUND((K7+N7*'参数'!$M$21)*(1+'参数'!$B$41*MIN(1,(A7-1)/19)),0)</x:f>
        <x:v>71</x:v>
      </x:c>
      <x:c r="R7" s="22" t="n">
        <x:f>N7*'参数'!$K$21/O7</x:f>
        <x:v>0.04576000000000001</x:v>
      </x:c>
      <x:c r="S7" s="52" t="n">
        <x:f>INDEX('参数'!$I$59:$I$74,'参数'!$B$47+1)</x:f>
        <x:v>0</x:v>
      </x:c>
      <x:c r="T7" s="52" t="n">
        <x:f>INDEX('参数'!$J$59:$J$74,'参数'!$B$47+1)</x:f>
        <x:v>0</x:v>
      </x:c>
    </x:row>
    <x:row r="8" ht="22" customHeight="1">
      <x:c r="A8" s="18" t="n">
        <x:v>3</x:v>
      </x:c>
      <x:c r="B8" s="15" t="n">
        <x:f>'参数'!$B$16^(A8-1)</x:f>
        <x:v>1.073296</x:v>
      </x:c>
      <x:c r="C8" s="15" t="n">
        <x:f>'参数'!$B$15^(A8-1)</x:f>
        <x:v>1.0712249999999999</x:v>
      </x:c>
      <x:c r="D8" s="15" t="n">
        <x:f>'参数'!$B$17^(A8-1)</x:f>
        <x:v>1.0712249999999999</x:v>
      </x:c>
      <x:c r="E8" s="21" t="n">
        <x:f>IF(A8&gt;40,'参数'!$B$54,0)+IF(A8&gt;80,'参数'!$B$55,0)</x:f>
        <x:v>0</x:v>
      </x:c>
      <x:c r="F8" s="18" t="n">
        <x:f>ROUND('参数'!$H$5*C8*(1+E8),0)</x:f>
        <x:v>134</x:v>
      </x:c>
      <x:c r="G8" s="18" t="n">
        <x:f>ROUND('参数'!$G$5*B8*(1+E8),0)</x:f>
        <x:v>1073</x:v>
      </x:c>
      <x:c r="H8" s="18" t="n">
        <x:f>ROUND('参数'!$I$5*D8*(1+E8),0)</x:f>
        <x:v>37</x:v>
      </x:c>
      <x:c r="I8" s="18" t="n">
        <x:f>ROUND('参数'!$H$6*C8*(1+E8),0)</x:f>
        <x:v>96</x:v>
      </x:c>
      <x:c r="J8" s="18" t="n">
        <x:f>ROUND('参数'!$G$6*B8*(1+E8),0)</x:f>
        <x:v>1610</x:v>
      </x:c>
      <x:c r="K8" s="18" t="n">
        <x:f>ROUND('参数'!$I$6*D8*(1+E8),0)</x:f>
        <x:v>70</x:v>
      </x:c>
      <x:c r="L8" s="18" t="n">
        <x:f>ROUND('参数'!$H$7*C8*(1+E8),0)</x:f>
        <x:v>75</x:v>
      </x:c>
      <x:c r="M8" s="18" t="n">
        <x:f>MAX(1,5*INT(A8/5))</x:f>
        <x:v>1</x:v>
      </x:c>
      <x:c r="N8" s="18" t="n">
        <x:f>'参数'!$B$18*'参数'!$B$19^(M8-1)*'参数'!$B$48*'参数'!$B$49*MIN(1,(A8-1)/19)</x:f>
        <x:v>4.3351578947368425</x:v>
      </x:c>
      <x:c r="O8" s="18" t="n">
        <x:f>ROUND(F8+N8*'参数'!$K$21,0)</x:f>
        <x:v>146</x:v>
      </x:c>
      <x:c r="P8" s="18" t="n">
        <x:f>ROUND((J8+N8*'参数'!$L$21)*(1+'参数'!$B$40*MIN(1,(A8-1)/19)),0)</x:f>
        <x:v>1724</x:v>
      </x:c>
      <x:c r="Q8" s="18" t="n">
        <x:f>ROUND((K8+N8*'参数'!$M$21)*(1+'参数'!$B$41*MIN(1,(A8-1)/19)),0)</x:f>
        <x:v>78</x:v>
      </x:c>
      <x:c r="R8" s="21" t="n">
        <x:f>N8*'参数'!$K$21/O8</x:f>
        <x:v>0.08462465753424658</x:v>
      </x:c>
      <x:c r="S8" s="52" t="n">
        <x:f>INDEX('参数'!$I$59:$I$74,'参数'!$B$47+1)</x:f>
        <x:v>0</x:v>
      </x:c>
      <x:c r="T8" s="52" t="n">
        <x:f>INDEX('参数'!$J$59:$J$74,'参数'!$B$47+1)</x:f>
        <x:v>0</x:v>
      </x:c>
    </x:row>
    <x:row r="9" ht="22" customHeight="1">
      <x:c r="A9" s="19" t="n">
        <x:v>4</x:v>
      </x:c>
      <x:c r="B9" s="20" t="n">
        <x:f>'参数'!$B$16^(A9-1)</x:f>
        <x:v>1.111934656</x:v>
      </x:c>
      <x:c r="C9" s="20" t="n">
        <x:f>'参数'!$B$15^(A9-1)</x:f>
        <x:v>1.1087178749999997</x:v>
      </x:c>
      <x:c r="D9" s="20" t="n">
        <x:f>'参数'!$B$17^(A9-1)</x:f>
        <x:v>1.1087178749999997</x:v>
      </x:c>
      <x:c r="E9" s="22" t="n">
        <x:f>IF(A9&gt;40,'参数'!$B$54,0)+IF(A9&gt;80,'参数'!$B$55,0)</x:f>
        <x:v>0</x:v>
      </x:c>
      <x:c r="F9" s="19" t="n">
        <x:f>ROUND('参数'!$H$5*C9*(1+E9),0)</x:f>
        <x:v>139</x:v>
      </x:c>
      <x:c r="G9" s="19" t="n">
        <x:f>ROUND('参数'!$G$5*B9*(1+E9),0)</x:f>
        <x:v>1112</x:v>
      </x:c>
      <x:c r="H9" s="19" t="n">
        <x:f>ROUND('参数'!$I$5*D9*(1+E9),0)</x:f>
        <x:v>39</x:v>
      </x:c>
      <x:c r="I9" s="19" t="n">
        <x:f>ROUND('参数'!$H$6*C9*(1+E9),0)</x:f>
        <x:v>100</x:v>
      </x:c>
      <x:c r="J9" s="19" t="n">
        <x:f>ROUND('参数'!$G$6*B9*(1+E9),0)</x:f>
        <x:v>1668</x:v>
      </x:c>
      <x:c r="K9" s="19" t="n">
        <x:f>ROUND('参数'!$I$6*D9*(1+E9),0)</x:f>
        <x:v>72</x:v>
      </x:c>
      <x:c r="L9" s="19" t="n">
        <x:f>ROUND('参数'!$H$7*C9*(1+E9),0)</x:f>
        <x:v>78</x:v>
      </x:c>
      <x:c r="M9" s="19" t="n">
        <x:f>MAX(1,5*INT(A9/5))</x:f>
        <x:v>1</x:v>
      </x:c>
      <x:c r="N9" s="19" t="n">
        <x:f>'参数'!$B$18*'参数'!$B$19^(M9-1)*'参数'!$B$48*'参数'!$B$49*MIN(1,(A9-1)/19)</x:f>
        <x:v>6.502736842105263</x:v>
      </x:c>
      <x:c r="O9" s="19" t="n">
        <x:f>ROUND(F9+N9*'参数'!$K$21,0)</x:f>
        <x:v>158</x:v>
      </x:c>
      <x:c r="P9" s="19" t="n">
        <x:f>ROUND((J9+N9*'参数'!$L$21)*(1+'参数'!$B$40*MIN(1,(A9-1)/19)),0)</x:f>
        <x:v>1841</x:v>
      </x:c>
      <x:c r="Q9" s="19" t="n">
        <x:f>ROUND((K9+N9*'参数'!$M$21)*(1+'参数'!$B$41*MIN(1,(A9-1)/19)),0)</x:f>
        <x:v>85</x:v>
      </x:c>
      <x:c r="R9" s="22" t="n">
        <x:f>N9*'参数'!$K$21/O9</x:f>
        <x:v>0.11729620253164558</x:v>
      </x:c>
      <x:c r="S9" s="52" t="n">
        <x:f>INDEX('参数'!$I$59:$I$74,'参数'!$B$47+1)</x:f>
        <x:v>0</x:v>
      </x:c>
      <x:c r="T9" s="52" t="n">
        <x:f>INDEX('参数'!$J$59:$J$74,'参数'!$B$47+1)</x:f>
        <x:v>0</x:v>
      </x:c>
    </x:row>
    <x:row r="10" ht="22" customHeight="1">
      <x:c r="A10" s="18" t="n">
        <x:v>5</x:v>
      </x:c>
      <x:c r="B10" s="15" t="n">
        <x:f>'参数'!$B$16^(A10-1)</x:f>
        <x:v>1.151964303616</x:v>
      </x:c>
      <x:c r="C10" s="15" t="n">
        <x:f>'参数'!$B$15^(A10-1)</x:f>
        <x:v>1.1475230006249997</x:v>
      </x:c>
      <x:c r="D10" s="15" t="n">
        <x:f>'参数'!$B$17^(A10-1)</x:f>
        <x:v>1.1475230006249997</x:v>
      </x:c>
      <x:c r="E10" s="21" t="n">
        <x:f>IF(A10&gt;40,'参数'!$B$54,0)+IF(A10&gt;80,'参数'!$B$55,0)</x:f>
        <x:v>0</x:v>
      </x:c>
      <x:c r="F10" s="18" t="n">
        <x:f>ROUND('参数'!$H$5*C10*(1+E10),0)</x:f>
        <x:v>143</x:v>
      </x:c>
      <x:c r="G10" s="18" t="n">
        <x:f>ROUND('参数'!$G$5*B10*(1+E10),0)</x:f>
        <x:v>1152</x:v>
      </x:c>
      <x:c r="H10" s="18" t="n">
        <x:f>ROUND('参数'!$I$5*D10*(1+E10),0)</x:f>
        <x:v>40</x:v>
      </x:c>
      <x:c r="I10" s="18" t="n">
        <x:f>ROUND('参数'!$H$6*C10*(1+E10),0)</x:f>
        <x:v>103</x:v>
      </x:c>
      <x:c r="J10" s="18" t="n">
        <x:f>ROUND('参数'!$G$6*B10*(1+E10),0)</x:f>
        <x:v>1728</x:v>
      </x:c>
      <x:c r="K10" s="18" t="n">
        <x:f>ROUND('参数'!$I$6*D10*(1+E10),0)</x:f>
        <x:v>75</x:v>
      </x:c>
      <x:c r="L10" s="18" t="n">
        <x:f>ROUND('参数'!$H$7*C10*(1+E10),0)</x:f>
        <x:v>80</x:v>
      </x:c>
      <x:c r="M10" s="18" t="n">
        <x:f>MAX(1,5*INT(A10/5))</x:f>
        <x:v>5</x:v>
      </x:c>
      <x:c r="N10" s="18" t="n">
        <x:f>'参数'!$B$18*'参数'!$B$19^(M10-1)*'参数'!$B$48*'参数'!$B$49*MIN(1,(A10-1)/19)</x:f>
        <x:v>10.026513459800972</x:v>
      </x:c>
      <x:c r="O10" s="18" t="n">
        <x:f>ROUND(F10+N10*'参数'!$K$21,0)</x:f>
        <x:v>172</x:v>
      </x:c>
      <x:c r="P10" s="18" t="n">
        <x:f>ROUND((J10+N10*'参数'!$L$21)*(1+'参数'!$B$40*MIN(1,(A10-1)/19)),0)</x:f>
        <x:v>1992</x:v>
      </x:c>
      <x:c r="Q10" s="18" t="n">
        <x:f>ROUND((K10+N10*'参数'!$M$21)*(1+'参数'!$B$41*MIN(1,(A10-1)/19)),0)</x:f>
        <x:v>94</x:v>
      </x:c>
      <x:c r="R10" s="21" t="n">
        <x:f>N10*'参数'!$K$21/O10</x:f>
        <x:v>0.16613699628158587</x:v>
      </x:c>
      <x:c r="S10" s="52" t="n">
        <x:f>INDEX('参数'!$I$59:$I$74,'参数'!$B$47+1)</x:f>
        <x:v>0</x:v>
      </x:c>
      <x:c r="T10" s="52" t="n">
        <x:f>INDEX('参数'!$J$59:$J$74,'参数'!$B$47+1)</x:f>
        <x:v>0</x:v>
      </x:c>
    </x:row>
    <x:row r="11" ht="22" customHeight="1">
      <x:c r="A11" s="19" t="n">
        <x:v>6</x:v>
      </x:c>
      <x:c r="B11" s="20" t="n">
        <x:f>'参数'!$B$16^(A11-1)</x:f>
        <x:v>1.1934350185461762</x:v>
      </x:c>
      <x:c r="C11" s="20" t="n">
        <x:f>'参数'!$B$15^(A11-1)</x:f>
        <x:v>1.1876863056468745</x:v>
      </x:c>
      <x:c r="D11" s="20" t="n">
        <x:f>'参数'!$B$17^(A11-1)</x:f>
        <x:v>1.1876863056468745</x:v>
      </x:c>
      <x:c r="E11" s="22" t="n">
        <x:f>IF(A11&gt;40,'参数'!$B$54,0)+IF(A11&gt;80,'参数'!$B$55,0)</x:f>
        <x:v>0</x:v>
      </x:c>
      <x:c r="F11" s="19" t="n">
        <x:f>ROUND('参数'!$H$5*C11*(1+E11),0)</x:f>
        <x:v>148</x:v>
      </x:c>
      <x:c r="G11" s="19" t="n">
        <x:f>ROUND('参数'!$G$5*B11*(1+E11),0)</x:f>
        <x:v>1193</x:v>
      </x:c>
      <x:c r="H11" s="19" t="n">
        <x:f>ROUND('参数'!$I$5*D11*(1+E11),0)</x:f>
        <x:v>42</x:v>
      </x:c>
      <x:c r="I11" s="19" t="n">
        <x:f>ROUND('参数'!$H$6*C11*(1+E11),0)</x:f>
        <x:v>107</x:v>
      </x:c>
      <x:c r="J11" s="19" t="n">
        <x:f>ROUND('参数'!$G$6*B11*(1+E11),0)</x:f>
        <x:v>1790</x:v>
      </x:c>
      <x:c r="K11" s="19" t="n">
        <x:f>ROUND('参数'!$I$6*D11*(1+E11),0)</x:f>
        <x:v>77</x:v>
      </x:c>
      <x:c r="L11" s="19" t="n">
        <x:f>ROUND('参数'!$H$7*C11*(1+E11),0)</x:f>
        <x:v>83</x:v>
      </x:c>
      <x:c r="M11" s="19" t="n">
        <x:f>MAX(1,5*INT(A11/5))</x:f>
        <x:v>5</x:v>
      </x:c>
      <x:c r="N11" s="19" t="n">
        <x:f>'参数'!$B$18*'参数'!$B$19^(M11-1)*'参数'!$B$48*'参数'!$B$49*MIN(1,(A11-1)/19)</x:f>
        <x:v>12.533141824751214</x:v>
      </x:c>
      <x:c r="O11" s="19" t="n">
        <x:f>ROUND(F11+N11*'参数'!$K$21,0)</x:f>
        <x:v>184</x:v>
      </x:c>
      <x:c r="P11" s="19" t="n">
        <x:f>ROUND((J11+N11*'参数'!$L$21)*(1+'参数'!$B$40*MIN(1,(A11-1)/19)),0)</x:f>
        <x:v>2123</x:v>
      </x:c>
      <x:c r="Q11" s="19" t="n">
        <x:f>ROUND((K11+N11*'参数'!$M$21)*(1+'参数'!$B$41*MIN(1,(A11-1)/19)),0)</x:f>
        <x:v>102</x:v>
      </x:c>
      <x:c r="R11" s="22" t="n">
        <x:f>N11*'参数'!$K$21/O11</x:f>
        <x:v>0.19412746848120085</x:v>
      </x:c>
      <x:c r="S11" s="52" t="n">
        <x:f>INDEX('参数'!$I$59:$I$74,'参数'!$B$47+1)</x:f>
        <x:v>0</x:v>
      </x:c>
      <x:c r="T11" s="52" t="n">
        <x:f>INDEX('参数'!$J$59:$J$74,'参数'!$B$47+1)</x:f>
        <x:v>0</x:v>
      </x:c>
    </x:row>
    <x:row r="12" ht="22" customHeight="1">
      <x:c r="A12" s="18" t="n">
        <x:v>7</x:v>
      </x:c>
      <x:c r="B12" s="15" t="n">
        <x:f>'参数'!$B$16^(A12-1)</x:f>
        <x:v>1.2363986792138386</x:v>
      </x:c>
      <x:c r="C12" s="15" t="n">
        <x:f>'参数'!$B$15^(A12-1)</x:f>
        <x:v>1.229255326344515</x:v>
      </x:c>
      <x:c r="D12" s="15" t="n">
        <x:f>'参数'!$B$17^(A12-1)</x:f>
        <x:v>1.229255326344515</x:v>
      </x:c>
      <x:c r="E12" s="21" t="n">
        <x:f>IF(A12&gt;40,'参数'!$B$54,0)+IF(A12&gt;80,'参数'!$B$55,0)</x:f>
        <x:v>0</x:v>
      </x:c>
      <x:c r="F12" s="18" t="n">
        <x:f>ROUND('参数'!$H$5*C12*(1+E12),0)</x:f>
        <x:v>154</x:v>
      </x:c>
      <x:c r="G12" s="18" t="n">
        <x:f>ROUND('参数'!$G$5*B12*(1+E12),0)</x:f>
        <x:v>1236</x:v>
      </x:c>
      <x:c r="H12" s="18" t="n">
        <x:f>ROUND('参数'!$I$5*D12*(1+E12),0)</x:f>
        <x:v>43</x:v>
      </x:c>
      <x:c r="I12" s="18" t="n">
        <x:f>ROUND('参数'!$H$6*C12*(1+E12),0)</x:f>
        <x:v>111</x:v>
      </x:c>
      <x:c r="J12" s="18" t="n">
        <x:f>ROUND('参数'!$G$6*B12*(1+E12),0)</x:f>
        <x:v>1855</x:v>
      </x:c>
      <x:c r="K12" s="18" t="n">
        <x:f>ROUND('参数'!$I$6*D12*(1+E12),0)</x:f>
        <x:v>80</x:v>
      </x:c>
      <x:c r="L12" s="18" t="n">
        <x:f>ROUND('参数'!$H$7*C12*(1+E12),0)</x:f>
        <x:v>86</x:v>
      </x:c>
      <x:c r="M12" s="18" t="n">
        <x:f>MAX(1,5*INT(A12/5))</x:f>
        <x:v>5</x:v>
      </x:c>
      <x:c r="N12" s="18" t="n">
        <x:f>'参数'!$B$18*'参数'!$B$19^(M12-1)*'参数'!$B$48*'参数'!$B$49*MIN(1,(A12-1)/19)</x:f>
        <x:v>15.039770189701457</x:v>
      </x:c>
      <x:c r="O12" s="18" t="n">
        <x:f>ROUND(F12+N12*'参数'!$K$21,0)</x:f>
        <x:v>197</x:v>
      </x:c>
      <x:c r="P12" s="18" t="n">
        <x:f>ROUND((J12+N12*'参数'!$L$21)*(1+'参数'!$B$40*MIN(1,(A12-1)/19)),0)</x:f>
        <x:v>2258</x:v>
      </x:c>
      <x:c r="Q12" s="18" t="n">
        <x:f>ROUND((K12+N12*'参数'!$M$21)*(1+'参数'!$B$41*MIN(1,(A12-1)/19)),0)</x:f>
        <x:v>110</x:v>
      </x:c>
      <x:c r="R12" s="21" t="n">
        <x:f>N12*'参数'!$K$21/O12</x:f>
        <x:v>0.2175804316784221</x:v>
      </x:c>
      <x:c r="S12" s="52" t="n">
        <x:f>INDEX('参数'!$I$59:$I$74,'参数'!$B$47+1)</x:f>
        <x:v>0</x:v>
      </x:c>
      <x:c r="T12" s="52" t="n">
        <x:f>INDEX('参数'!$J$59:$J$74,'参数'!$B$47+1)</x:f>
        <x:v>0</x:v>
      </x:c>
    </x:row>
    <x:row r="13" ht="22" customHeight="1">
      <x:c r="A13" s="19" t="n">
        <x:v>8</x:v>
      </x:c>
      <x:c r="B13" s="20" t="n">
        <x:f>'参数'!$B$16^(A13-1)</x:f>
        <x:v>1.2809090316655367</x:v>
      </x:c>
      <x:c r="C13" s="20" t="n">
        <x:f>'参数'!$B$15^(A13-1)</x:f>
        <x:v>1.2722792627665729</x:v>
      </x:c>
      <x:c r="D13" s="20" t="n">
        <x:f>'参数'!$B$17^(A13-1)</x:f>
        <x:v>1.2722792627665729</x:v>
      </x:c>
      <x:c r="E13" s="22" t="n">
        <x:f>IF(A13&gt;40,'参数'!$B$54,0)+IF(A13&gt;80,'参数'!$B$55,0)</x:f>
        <x:v>0</x:v>
      </x:c>
      <x:c r="F13" s="19" t="n">
        <x:f>ROUND('参数'!$H$5*C13*(1+E13),0)</x:f>
        <x:v>159</x:v>
      </x:c>
      <x:c r="G13" s="19" t="n">
        <x:f>ROUND('参数'!$G$5*B13*(1+E13),0)</x:f>
        <x:v>1281</x:v>
      </x:c>
      <x:c r="H13" s="19" t="n">
        <x:f>ROUND('参数'!$I$5*D13*(1+E13),0)</x:f>
        <x:v>45</x:v>
      </x:c>
      <x:c r="I13" s="19" t="n">
        <x:f>ROUND('参数'!$H$6*C13*(1+E13),0)</x:f>
        <x:v>115</x:v>
      </x:c>
      <x:c r="J13" s="19" t="n">
        <x:f>ROUND('参数'!$G$6*B13*(1+E13),0)</x:f>
        <x:v>1921</x:v>
      </x:c>
      <x:c r="K13" s="19" t="n">
        <x:f>ROUND('参数'!$I$6*D13*(1+E13),0)</x:f>
        <x:v>83</x:v>
      </x:c>
      <x:c r="L13" s="19" t="n">
        <x:f>ROUND('参数'!$H$7*C13*(1+E13),0)</x:f>
        <x:v>89</x:v>
      </x:c>
      <x:c r="M13" s="19" t="n">
        <x:f>MAX(1,5*INT(A13/5))</x:f>
        <x:v>5</x:v>
      </x:c>
      <x:c r="N13" s="19" t="n">
        <x:f>'参数'!$B$18*'参数'!$B$19^(M13-1)*'参数'!$B$48*'参数'!$B$49*MIN(1,(A13-1)/19)</x:f>
        <x:v>17.5463985546517</x:v>
      </x:c>
      <x:c r="O13" s="19" t="n">
        <x:f>ROUND(F13+N13*'参数'!$K$21,0)</x:f>
        <x:v>209</x:v>
      </x:c>
      <x:c r="P13" s="19" t="n">
        <x:f>ROUND((J13+N13*'参数'!$L$21)*(1+'参数'!$B$40*MIN(1,(A13-1)/19)),0)</x:f>
        <x:v>2396</x:v>
      </x:c>
      <x:c r="Q13" s="19" t="n">
        <x:f>ROUND((K13+N13*'参数'!$M$21)*(1+'参数'!$B$41*MIN(1,(A13-1)/19)),0)</x:f>
        <x:v>118</x:v>
      </x:c>
      <x:c r="R13" s="22" t="n">
        <x:f>N13*'参数'!$K$21/O13</x:f>
        <x:v>0.2392690711997959</x:v>
      </x:c>
      <x:c r="S13" s="52" t="n">
        <x:f>INDEX('参数'!$I$59:$I$74,'参数'!$B$47+1)</x:f>
        <x:v>0</x:v>
      </x:c>
      <x:c r="T13" s="52" t="n">
        <x:f>INDEX('参数'!$J$59:$J$74,'参数'!$B$47+1)</x:f>
        <x:v>0</x:v>
      </x:c>
    </x:row>
    <x:row r="14" ht="22" customHeight="1">
      <x:c r="A14" s="18" t="n">
        <x:v>9</x:v>
      </x:c>
      <x:c r="B14" s="15" t="n">
        <x:f>'参数'!$B$16^(A14-1)</x:f>
        <x:v>1.327021756805496</x:v>
      </x:c>
      <x:c r="C14" s="15" t="n">
        <x:f>'参数'!$B$15^(A14-1)</x:f>
        <x:v>1.316809036963403</x:v>
      </x:c>
      <x:c r="D14" s="15" t="n">
        <x:f>'参数'!$B$17^(A14-1)</x:f>
        <x:v>1.316809036963403</x:v>
      </x:c>
      <x:c r="E14" s="21" t="n">
        <x:f>IF(A14&gt;40,'参数'!$B$54,0)+IF(A14&gt;80,'参数'!$B$55,0)</x:f>
        <x:v>0</x:v>
      </x:c>
      <x:c r="F14" s="18" t="n">
        <x:f>ROUND('参数'!$H$5*C14*(1+E14),0)</x:f>
        <x:v>165</x:v>
      </x:c>
      <x:c r="G14" s="18" t="n">
        <x:f>ROUND('参数'!$G$5*B14*(1+E14),0)</x:f>
        <x:v>1327</x:v>
      </x:c>
      <x:c r="H14" s="18" t="n">
        <x:f>ROUND('参数'!$I$5*D14*(1+E14),0)</x:f>
        <x:v>46</x:v>
      </x:c>
      <x:c r="I14" s="18" t="n">
        <x:f>ROUND('参数'!$H$6*C14*(1+E14),0)</x:f>
        <x:v>119</x:v>
      </x:c>
      <x:c r="J14" s="18" t="n">
        <x:f>ROUND('参数'!$G$6*B14*(1+E14),0)</x:f>
        <x:v>1991</x:v>
      </x:c>
      <x:c r="K14" s="18" t="n">
        <x:f>ROUND('参数'!$I$6*D14*(1+E14),0)</x:f>
        <x:v>86</x:v>
      </x:c>
      <x:c r="L14" s="18" t="n">
        <x:f>ROUND('参数'!$H$7*C14*(1+E14),0)</x:f>
        <x:v>92</x:v>
      </x:c>
      <x:c r="M14" s="18" t="n">
        <x:f>MAX(1,5*INT(A14/5))</x:f>
        <x:v>5</x:v>
      </x:c>
      <x:c r="N14" s="18" t="n">
        <x:f>'参数'!$B$18*'参数'!$B$19^(M14-1)*'参数'!$B$48*'参数'!$B$49*MIN(1,(A14-1)/19)</x:f>
        <x:v>20.053026919601944</x:v>
      </x:c>
      <x:c r="O14" s="18" t="n">
        <x:f>ROUND(F14+N14*'参数'!$K$21,0)</x:f>
        <x:v>222</x:v>
      </x:c>
      <x:c r="P14" s="18" t="n">
        <x:f>ROUND((J14+N14*'参数'!$L$21)*(1+'参数'!$B$40*MIN(1,(A14-1)/19)),0)</x:f>
        <x:v>2539</x:v>
      </x:c>
      <x:c r="Q14" s="18" t="n">
        <x:f>ROUND((K14+N14*'参数'!$M$21)*(1+'参数'!$B$41*MIN(1,(A14-1)/19)),0)</x:f>
        <x:v>126</x:v>
      </x:c>
      <x:c r="R14" s="21" t="n">
        <x:f>N14*'参数'!$K$21/O14</x:f>
        <x:v>0.2574375077516466</x:v>
      </x:c>
      <x:c r="S14" s="52" t="n">
        <x:f>INDEX('参数'!$I$59:$I$74,'参数'!$B$47+1)</x:f>
        <x:v>0</x:v>
      </x:c>
      <x:c r="T14" s="52" t="n">
        <x:f>INDEX('参数'!$J$59:$J$74,'参数'!$B$47+1)</x:f>
        <x:v>0</x:v>
      </x:c>
    </x:row>
    <x:row r="15" ht="22" customHeight="1">
      <x:c r="A15" s="19" t="n">
        <x:v>10</x:v>
      </x:c>
      <x:c r="B15" s="20" t="n">
        <x:f>'参数'!$B$16^(A15-1)</x:f>
        <x:v>1.374794540050494</x:v>
      </x:c>
      <x:c r="C15" s="20" t="n">
        <x:f>'参数'!$B$15^(A15-1)</x:f>
        <x:v>1.362897353257122</x:v>
      </x:c>
      <x:c r="D15" s="20" t="n">
        <x:f>'参数'!$B$17^(A15-1)</x:f>
        <x:v>1.362897353257122</x:v>
      </x:c>
      <x:c r="E15" s="22" t="n">
        <x:f>IF(A15&gt;40,'参数'!$B$54,0)+IF(A15&gt;80,'参数'!$B$55,0)</x:f>
        <x:v>0</x:v>
      </x:c>
      <x:c r="F15" s="19" t="n">
        <x:f>ROUND('参数'!$H$5*C15*(1+E15),0)</x:f>
        <x:v>170</x:v>
      </x:c>
      <x:c r="G15" s="19" t="n">
        <x:f>ROUND('参数'!$G$5*B15*(1+E15),0)</x:f>
        <x:v>1375</x:v>
      </x:c>
      <x:c r="H15" s="19" t="n">
        <x:f>ROUND('参数'!$I$5*D15*(1+E15),0)</x:f>
        <x:v>48</x:v>
      </x:c>
      <x:c r="I15" s="19" t="n">
        <x:f>ROUND('参数'!$H$6*C15*(1+E15),0)</x:f>
        <x:v>123</x:v>
      </x:c>
      <x:c r="J15" s="19" t="n">
        <x:f>ROUND('参数'!$G$6*B15*(1+E15),0)</x:f>
        <x:v>2062</x:v>
      </x:c>
      <x:c r="K15" s="19" t="n">
        <x:f>ROUND('参数'!$I$6*D15*(1+E15),0)</x:f>
        <x:v>89</x:v>
      </x:c>
      <x:c r="L15" s="19" t="n">
        <x:f>ROUND('参数'!$H$7*C15*(1+E15),0)</x:f>
        <x:v>95</x:v>
      </x:c>
      <x:c r="M15" s="19" t="n">
        <x:f>MAX(1,5*INT(A15/5))</x:f>
        <x:v>10</x:v>
      </x:c>
      <x:c r="N15" s="19" t="n">
        <x:f>'参数'!$B$18*'参数'!$B$19^(M15-1)*'参数'!$B$48*'参数'!$B$49*MIN(1,(A15-1)/19)</x:f>
        <x:v>27.05367330173744</x:v>
      </x:c>
      <x:c r="O15" s="19" t="n">
        <x:f>ROUND(F15+N15*'参数'!$K$21,0)</x:f>
        <x:v>247</x:v>
      </x:c>
      <x:c r="P15" s="19" t="n">
        <x:f>ROUND((J15+N15*'参数'!$L$21)*(1+'参数'!$B$40*MIN(1,(A15-1)/19)),0)</x:f>
        <x:v>2789</x:v>
      </x:c>
      <x:c r="Q15" s="19" t="n">
        <x:f>ROUND((K15+N15*'参数'!$M$21)*(1+'参数'!$B$41*MIN(1,(A15-1)/19)),0)</x:f>
        <x:v>143</x:v>
      </x:c>
      <x:c r="R15" s="22" t="n">
        <x:f>N15*'参数'!$K$21/O15</x:f>
        <x:v>0.3121577688662013</x:v>
      </x:c>
      <x:c r="S15" s="52" t="n">
        <x:f>INDEX('参数'!$I$59:$I$74,'参数'!$B$47+1)</x:f>
        <x:v>0</x:v>
      </x:c>
      <x:c r="T15" s="52" t="n">
        <x:f>INDEX('参数'!$J$59:$J$74,'参数'!$B$47+1)</x:f>
        <x:v>0</x:v>
      </x:c>
    </x:row>
    <x:row r="16" ht="22" customHeight="1">
      <x:c r="A16" s="18" t="n">
        <x:v>11</x:v>
      </x:c>
      <x:c r="B16" s="15" t="n">
        <x:f>'参数'!$B$16^(A16-1)</x:f>
        <x:v>1.424287143492312</x:v>
      </x:c>
      <x:c r="C16" s="15" t="n">
        <x:f>'参数'!$B$15^(A16-1)</x:f>
        <x:v>1.410598760621121</x:v>
      </x:c>
      <x:c r="D16" s="15" t="n">
        <x:f>'参数'!$B$17^(A16-1)</x:f>
        <x:v>1.410598760621121</x:v>
      </x:c>
      <x:c r="E16" s="21" t="n">
        <x:f>IF(A16&gt;40,'参数'!$B$54,0)+IF(A16&gt;80,'参数'!$B$55,0)</x:f>
        <x:v>0</x:v>
      </x:c>
      <x:c r="F16" s="18" t="n">
        <x:f>ROUND('参数'!$H$5*C16*(1+E16),0)</x:f>
        <x:v>176</x:v>
      </x:c>
      <x:c r="G16" s="18" t="n">
        <x:f>ROUND('参数'!$G$5*B16*(1+E16),0)</x:f>
        <x:v>1424</x:v>
      </x:c>
      <x:c r="H16" s="18" t="n">
        <x:f>ROUND('参数'!$I$5*D16*(1+E16),0)</x:f>
        <x:v>49</x:v>
      </x:c>
      <x:c r="I16" s="18" t="n">
        <x:f>ROUND('参数'!$H$6*C16*(1+E16),0)</x:f>
        <x:v>127</x:v>
      </x:c>
      <x:c r="J16" s="18" t="n">
        <x:f>ROUND('参数'!$G$6*B16*(1+E16),0)</x:f>
        <x:v>2136</x:v>
      </x:c>
      <x:c r="K16" s="18" t="n">
        <x:f>ROUND('参数'!$I$6*D16*(1+E16),0)</x:f>
        <x:v>92</x:v>
      </x:c>
      <x:c r="L16" s="18" t="n">
        <x:f>ROUND('参数'!$H$7*C16*(1+E16),0)</x:f>
        <x:v>99</x:v>
      </x:c>
      <x:c r="M16" s="18" t="n">
        <x:f>MAX(1,5*INT(A16/5))</x:f>
        <x:v>10</x:v>
      </x:c>
      <x:c r="N16" s="18" t="n">
        <x:f>'参数'!$B$18*'参数'!$B$19^(M16-1)*'参数'!$B$48*'参数'!$B$49*MIN(1,(A16-1)/19)</x:f>
        <x:v>30.059637001930486</x:v>
      </x:c>
      <x:c r="O16" s="18" t="n">
        <x:f>ROUND(F16+N16*'参数'!$K$21,0)</x:f>
        <x:v>262</x:v>
      </x:c>
      <x:c r="P16" s="18" t="n">
        <x:f>ROUND((J16+N16*'参数'!$L$21)*(1+'参数'!$B$40*MIN(1,(A16-1)/19)),0)</x:f>
        <x:v>2951</x:v>
      </x:c>
      <x:c r="Q16" s="18" t="n">
        <x:f>ROUND((K16+N16*'参数'!$M$21)*(1+'参数'!$B$41*MIN(1,(A16-1)/19)),0)</x:f>
        <x:v>152</x:v>
      </x:c>
      <x:c r="R16" s="21" t="n">
        <x:f>N16*'参数'!$K$21/O16</x:f>
        <x:v>0.32698460097519805</x:v>
      </x:c>
      <x:c r="S16" s="52" t="n">
        <x:f>INDEX('参数'!$I$59:$I$74,'参数'!$B$47+1)</x:f>
        <x:v>0</x:v>
      </x:c>
      <x:c r="T16" s="52" t="n">
        <x:f>INDEX('参数'!$J$59:$J$74,'参数'!$B$47+1)</x:f>
        <x:v>0</x:v>
      </x:c>
    </x:row>
    <x:row r="17" ht="22" customHeight="1">
      <x:c r="A17" s="19" t="n">
        <x:v>12</x:v>
      </x:c>
      <x:c r="B17" s="20" t="n">
        <x:f>'参数'!$B$16^(A17-1)</x:f>
        <x:v>1.4755614806580353</x:v>
      </x:c>
      <x:c r="C17" s="20" t="n">
        <x:f>'参数'!$B$15^(A17-1)</x:f>
        <x:v>1.4599697172428603</x:v>
      </x:c>
      <x:c r="D17" s="20" t="n">
        <x:f>'参数'!$B$17^(A17-1)</x:f>
        <x:v>1.4599697172428603</x:v>
      </x:c>
      <x:c r="E17" s="22" t="n">
        <x:f>IF(A17&gt;40,'参数'!$B$54,0)+IF(A17&gt;80,'参数'!$B$55,0)</x:f>
        <x:v>0</x:v>
      </x:c>
      <x:c r="F17" s="19" t="n">
        <x:f>ROUND('参数'!$H$5*C17*(1+E17),0)</x:f>
        <x:v>182</x:v>
      </x:c>
      <x:c r="G17" s="19" t="n">
        <x:f>ROUND('参数'!$G$5*B17*(1+E17),0)</x:f>
        <x:v>1476</x:v>
      </x:c>
      <x:c r="H17" s="19" t="n">
        <x:f>ROUND('参数'!$I$5*D17*(1+E17),0)</x:f>
        <x:v>51</x:v>
      </x:c>
      <x:c r="I17" s="19" t="n">
        <x:f>ROUND('参数'!$H$6*C17*(1+E17),0)</x:f>
        <x:v>131</x:v>
      </x:c>
      <x:c r="J17" s="19" t="n">
        <x:f>ROUND('参数'!$G$6*B17*(1+E17),0)</x:f>
        <x:v>2213</x:v>
      </x:c>
      <x:c r="K17" s="19" t="n">
        <x:f>ROUND('参数'!$I$6*D17*(1+E17),0)</x:f>
        <x:v>95</x:v>
      </x:c>
      <x:c r="L17" s="19" t="n">
        <x:f>ROUND('参数'!$H$7*C17*(1+E17),0)</x:f>
        <x:v>102</x:v>
      </x:c>
      <x:c r="M17" s="19" t="n">
        <x:f>MAX(1,5*INT(A17/5))</x:f>
        <x:v>10</x:v>
      </x:c>
      <x:c r="N17" s="19" t="n">
        <x:f>'参数'!$B$18*'参数'!$B$19^(M17-1)*'参数'!$B$48*'参数'!$B$49*MIN(1,(A17-1)/19)</x:f>
        <x:v>33.06560070212354</x:v>
      </x:c>
      <x:c r="O17" s="19" t="n">
        <x:f>ROUND(F17+N17*'参数'!$K$21,0)</x:f>
        <x:v>276</x:v>
      </x:c>
      <x:c r="P17" s="19" t="n">
        <x:f>ROUND((J17+N17*'参数'!$L$21)*(1+'参数'!$B$40*MIN(1,(A17-1)/19)),0)</x:f>
        <x:v>3118</x:v>
      </x:c>
      <x:c r="Q17" s="19" t="n">
        <x:f>ROUND((K17+N17*'参数'!$M$21)*(1+'参数'!$B$41*MIN(1,(A17-1)/19)),0)</x:f>
        <x:v>162</x:v>
      </x:c>
      <x:c r="R17" s="22" t="n">
        <x:f>N17*'参数'!$K$21/O17</x:f>
        <x:v>0.341438268119754</x:v>
      </x:c>
      <x:c r="S17" s="52" t="n">
        <x:f>INDEX('参数'!$I$59:$I$74,'参数'!$B$47+1)</x:f>
        <x:v>0</x:v>
      </x:c>
      <x:c r="T17" s="52" t="n">
        <x:f>INDEX('参数'!$J$59:$J$74,'参数'!$B$47+1)</x:f>
        <x:v>0</x:v>
      </x:c>
    </x:row>
    <x:row r="18" ht="22" customHeight="1">
      <x:c r="A18" s="18" t="n">
        <x:v>13</x:v>
      </x:c>
      <x:c r="B18" s="15" t="n">
        <x:f>'参数'!$B$16^(A18-1)</x:f>
        <x:v>1.5286816939617245</x:v>
      </x:c>
      <x:c r="C18" s="15" t="n">
        <x:f>'参数'!$B$15^(A18-1)</x:f>
        <x:v>1.5110686573463603</x:v>
      </x:c>
      <x:c r="D18" s="15" t="n">
        <x:f>'参数'!$B$17^(A18-1)</x:f>
        <x:v>1.5110686573463603</x:v>
      </x:c>
      <x:c r="E18" s="21" t="n">
        <x:f>IF(A18&gt;40,'参数'!$B$54,0)+IF(A18&gt;80,'参数'!$B$55,0)</x:f>
        <x:v>0</x:v>
      </x:c>
      <x:c r="F18" s="18" t="n">
        <x:f>ROUND('参数'!$H$5*C18*(1+E18),0)</x:f>
        <x:v>189</x:v>
      </x:c>
      <x:c r="G18" s="18" t="n">
        <x:f>ROUND('参数'!$G$5*B18*(1+E18),0)</x:f>
        <x:v>1529</x:v>
      </x:c>
      <x:c r="H18" s="18" t="n">
        <x:f>ROUND('参数'!$I$5*D18*(1+E18),0)</x:f>
        <x:v>53</x:v>
      </x:c>
      <x:c r="I18" s="18" t="n">
        <x:f>ROUND('参数'!$H$6*C18*(1+E18),0)</x:f>
        <x:v>136</x:v>
      </x:c>
      <x:c r="J18" s="18" t="n">
        <x:f>ROUND('参数'!$G$6*B18*(1+E18),0)</x:f>
        <x:v>2293</x:v>
      </x:c>
      <x:c r="K18" s="18" t="n">
        <x:f>ROUND('参数'!$I$6*D18*(1+E18),0)</x:f>
        <x:v>98</x:v>
      </x:c>
      <x:c r="L18" s="18" t="n">
        <x:f>ROUND('参数'!$H$7*C18*(1+E18),0)</x:f>
        <x:v>106</x:v>
      </x:c>
      <x:c r="M18" s="18" t="n">
        <x:f>MAX(1,5*INT(A18/5))</x:f>
        <x:v>10</x:v>
      </x:c>
      <x:c r="N18" s="18" t="n">
        <x:f>'参数'!$B$18*'参数'!$B$19^(M18-1)*'参数'!$B$48*'参数'!$B$49*MIN(1,(A18-1)/19)</x:f>
        <x:v>36.07156440231658</x:v>
      </x:c>
      <x:c r="O18" s="18" t="n">
        <x:f>ROUND(F18+N18*'参数'!$K$21,0)</x:f>
        <x:v>292</x:v>
      </x:c>
      <x:c r="P18" s="18" t="n">
        <x:f>ROUND((J18+N18*'参数'!$L$21)*(1+'参数'!$B$40*MIN(1,(A18-1)/19)),0)</x:f>
        <x:v>3289</x:v>
      </x:c>
      <x:c r="Q18" s="18" t="n">
        <x:f>ROUND((K18+N18*'参数'!$M$21)*(1+'参数'!$B$41*MIN(1,(A18-1)/19)),0)</x:f>
        <x:v>171</x:v>
      </x:c>
      <x:c r="R18" s="21" t="n">
        <x:f>N18*'参数'!$K$21/O18</x:f>
        <x:v>0.35206835118699403</x:v>
      </x:c>
      <x:c r="S18" s="52" t="n">
        <x:f>INDEX('参数'!$I$59:$I$74,'参数'!$B$47+1)</x:f>
        <x:v>0</x:v>
      </x:c>
      <x:c r="T18" s="52" t="n">
        <x:f>INDEX('参数'!$J$59:$J$74,'参数'!$B$47+1)</x:f>
        <x:v>0</x:v>
      </x:c>
    </x:row>
    <x:row r="19" ht="22" customHeight="1">
      <x:c r="A19" s="19" t="n">
        <x:v>14</x:v>
      </x:c>
      <x:c r="B19" s="20" t="n">
        <x:f>'参数'!$B$16^(A19-1)</x:f>
        <x:v>1.5837142349443467</x:v>
      </x:c>
      <x:c r="C19" s="20" t="n">
        <x:f>'参数'!$B$15^(A19-1)</x:f>
        <x:v>1.5639560603534828</x:v>
      </x:c>
      <x:c r="D19" s="20" t="n">
        <x:f>'参数'!$B$17^(A19-1)</x:f>
        <x:v>1.5639560603534828</x:v>
      </x:c>
      <x:c r="E19" s="22" t="n">
        <x:f>IF(A19&gt;40,'参数'!$B$54,0)+IF(A19&gt;80,'参数'!$B$55,0)</x:f>
        <x:v>0</x:v>
      </x:c>
      <x:c r="F19" s="19" t="n">
        <x:f>ROUND('参数'!$H$5*C19*(1+E19),0)</x:f>
        <x:v>195</x:v>
      </x:c>
      <x:c r="G19" s="19" t="n">
        <x:f>ROUND('参数'!$G$5*B19*(1+E19),0)</x:f>
        <x:v>1584</x:v>
      </x:c>
      <x:c r="H19" s="19" t="n">
        <x:f>ROUND('参数'!$I$5*D19*(1+E19),0)</x:f>
        <x:v>55</x:v>
      </x:c>
      <x:c r="I19" s="19" t="n">
        <x:f>ROUND('参数'!$H$6*C19*(1+E19),0)</x:f>
        <x:v>141</x:v>
      </x:c>
      <x:c r="J19" s="19" t="n">
        <x:f>ROUND('参数'!$G$6*B19*(1+E19),0)</x:f>
        <x:v>2376</x:v>
      </x:c>
      <x:c r="K19" s="19" t="n">
        <x:f>ROUND('参数'!$I$6*D19*(1+E19),0)</x:f>
        <x:v>102</x:v>
      </x:c>
      <x:c r="L19" s="19" t="n">
        <x:f>ROUND('参数'!$H$7*C19*(1+E19),0)</x:f>
        <x:v>109</x:v>
      </x:c>
      <x:c r="M19" s="19" t="n">
        <x:f>MAX(1,5*INT(A19/5))</x:f>
        <x:v>10</x:v>
      </x:c>
      <x:c r="N19" s="19" t="n">
        <x:f>'参数'!$B$18*'参数'!$B$19^(M19-1)*'参数'!$B$48*'参数'!$B$49*MIN(1,(A19-1)/19)</x:f>
        <x:v>39.07752810250964</x:v>
      </x:c>
      <x:c r="O19" s="19" t="n">
        <x:f>ROUND(F19+N19*'参数'!$K$21,0)</x:f>
        <x:v>306</x:v>
      </x:c>
      <x:c r="P19" s="19" t="n">
        <x:f>ROUND((J19+N19*'参数'!$L$21)*(1+'参数'!$B$40*MIN(1,(A19-1)/19)),0)</x:f>
        <x:v>3465</x:v>
      </x:c>
      <x:c r="Q19" s="19" t="n">
        <x:f>ROUND((K19+N19*'参数'!$M$21)*(1+'参数'!$B$41*MIN(1,(A19-1)/19)),0)</x:f>
        <x:v>182</x:v>
      </x:c>
      <x:c r="R19" s="22" t="n">
        <x:f>N19*'参数'!$K$21/O19</x:f>
        <x:v>0.3639573695821976</x:v>
      </x:c>
      <x:c r="S19" s="52" t="n">
        <x:f>INDEX('参数'!$I$59:$I$74,'参数'!$B$47+1)</x:f>
        <x:v>0</x:v>
      </x:c>
      <x:c r="T19" s="52" t="n">
        <x:f>INDEX('参数'!$J$59:$J$74,'参数'!$B$47+1)</x:f>
        <x:v>0</x:v>
      </x:c>
    </x:row>
    <x:row r="20" ht="22" customHeight="1">
      <x:c r="A20" s="18" t="n">
        <x:v>15</x:v>
      </x:c>
      <x:c r="B20" s="15" t="n">
        <x:f>'参数'!$B$16^(A20-1)</x:f>
        <x:v>1.640727947402343</x:v>
      </x:c>
      <x:c r="C20" s="15" t="n">
        <x:f>'参数'!$B$15^(A20-1)</x:f>
        <x:v>1.6186945224658544</x:v>
      </x:c>
      <x:c r="D20" s="15" t="n">
        <x:f>'参数'!$B$17^(A20-1)</x:f>
        <x:v>1.6186945224658544</x:v>
      </x:c>
      <x:c r="E20" s="21" t="n">
        <x:f>IF(A20&gt;40,'参数'!$B$54,0)+IF(A20&gt;80,'参数'!$B$55,0)</x:f>
        <x:v>0</x:v>
      </x:c>
      <x:c r="F20" s="18" t="n">
        <x:f>ROUND('参数'!$H$5*C20*(1+E20),0)</x:f>
        <x:v>202</x:v>
      </x:c>
      <x:c r="G20" s="18" t="n">
        <x:f>ROUND('参数'!$G$5*B20*(1+E20),0)</x:f>
        <x:v>1641</x:v>
      </x:c>
      <x:c r="H20" s="18" t="n">
        <x:f>ROUND('参数'!$I$5*D20*(1+E20),0)</x:f>
        <x:v>57</x:v>
      </x:c>
      <x:c r="I20" s="18" t="n">
        <x:f>ROUND('参数'!$H$6*C20*(1+E20),0)</x:f>
        <x:v>146</x:v>
      </x:c>
      <x:c r="J20" s="18" t="n">
        <x:f>ROUND('参数'!$G$6*B20*(1+E20),0)</x:f>
        <x:v>2461</x:v>
      </x:c>
      <x:c r="K20" s="18" t="n">
        <x:f>ROUND('参数'!$I$6*D20*(1+E20),0)</x:f>
        <x:v>105</x:v>
      </x:c>
      <x:c r="L20" s="18" t="n">
        <x:f>ROUND('参数'!$H$7*C20*(1+E20),0)</x:f>
        <x:v>113</x:v>
      </x:c>
      <x:c r="M20" s="18" t="n">
        <x:f>MAX(1,5*INT(A20/5))</x:f>
        <x:v>15</x:v>
      </x:c>
      <x:c r="N20" s="18" t="n">
        <x:f>'参数'!$B$18*'参数'!$B$19^(M20-1)*'参数'!$B$48*'参数'!$B$49*MIN(1,(A20-1)/19)</x:f>
        <x:v>50.46677461451573</x:v>
      </x:c>
      <x:c r="O20" s="18" t="n">
        <x:f>ROUND(F20+N20*'参数'!$K$21,0)</x:f>
        <x:v>346</x:v>
      </x:c>
      <x:c r="P20" s="18" t="n">
        <x:f>ROUND((J20+N20*'参数'!$L$21)*(1+'参数'!$B$40*MIN(1,(A20-1)/19)),0)</x:f>
        <x:v>3845</x:v>
      </x:c>
      <x:c r="Q20" s="18" t="n">
        <x:f>ROUND((K20+N20*'参数'!$M$21)*(1+'参数'!$B$41*MIN(1,(A20-1)/19)),0)</x:f>
        <x:v>208</x:v>
      </x:c>
      <x:c r="R20" s="21" t="n">
        <x:f>N20*'参数'!$K$21/O20</x:f>
        <x:v>0.41569453078430585</x:v>
      </x:c>
      <x:c r="S20" s="52" t="n">
        <x:f>INDEX('参数'!$I$59:$I$74,'参数'!$B$47+1)</x:f>
        <x:v>0</x:v>
      </x:c>
      <x:c r="T20" s="52" t="n">
        <x:f>INDEX('参数'!$J$59:$J$74,'参数'!$B$47+1)</x:f>
        <x:v>0</x:v>
      </x:c>
    </x:row>
    <x:row r="21" ht="22" customHeight="1">
      <x:c r="A21" s="19" t="n">
        <x:v>16</x:v>
      </x:c>
      <x:c r="B21" s="20" t="n">
        <x:f>'参数'!$B$16^(A21-1)</x:f>
        <x:v>1.6997941535088275</x:v>
      </x:c>
      <x:c r="C21" s="20" t="n">
        <x:f>'参数'!$B$15^(A21-1)</x:f>
        <x:v>1.6753488307521593</x:v>
      </x:c>
      <x:c r="D21" s="20" t="n">
        <x:f>'参数'!$B$17^(A21-1)</x:f>
        <x:v>1.6753488307521593</x:v>
      </x:c>
      <x:c r="E21" s="22" t="n">
        <x:f>IF(A21&gt;40,'参数'!$B$54,0)+IF(A21&gt;80,'参数'!$B$55,0)</x:f>
        <x:v>0</x:v>
      </x:c>
      <x:c r="F21" s="19" t="n">
        <x:f>ROUND('参数'!$H$5*C21*(1+E21),0)</x:f>
        <x:v>209</x:v>
      </x:c>
      <x:c r="G21" s="19" t="n">
        <x:f>ROUND('参数'!$G$5*B21*(1+E21),0)</x:f>
        <x:v>1700</x:v>
      </x:c>
      <x:c r="H21" s="19" t="n">
        <x:f>ROUND('参数'!$I$5*D21*(1+E21),0)</x:f>
        <x:v>59</x:v>
      </x:c>
      <x:c r="I21" s="19" t="n">
        <x:f>ROUND('参数'!$H$6*C21*(1+E21),0)</x:f>
        <x:v>151</x:v>
      </x:c>
      <x:c r="J21" s="19" t="n">
        <x:f>ROUND('参数'!$G$6*B21*(1+E21),0)</x:f>
        <x:v>2550</x:v>
      </x:c>
      <x:c r="K21" s="19" t="n">
        <x:f>ROUND('参数'!$I$6*D21*(1+E21),0)</x:f>
        <x:v>109</x:v>
      </x:c>
      <x:c r="L21" s="19" t="n">
        <x:f>ROUND('参数'!$H$7*C21*(1+E21),0)</x:f>
        <x:v>117</x:v>
      </x:c>
      <x:c r="M21" s="19" t="n">
        <x:f>MAX(1,5*INT(A21/5))</x:f>
        <x:v>15</x:v>
      </x:c>
      <x:c r="N21" s="19" t="n">
        <x:f>'参数'!$B$18*'参数'!$B$19^(M21-1)*'参数'!$B$48*'参数'!$B$49*MIN(1,(A21-1)/19)</x:f>
        <x:v>54.07154422983829</x:v>
      </x:c>
      <x:c r="O21" s="19" t="n">
        <x:f>ROUND(F21+N21*'参数'!$K$21,0)</x:f>
        <x:v>363</x:v>
      </x:c>
      <x:c r="P21" s="19" t="n">
        <x:f>ROUND((J21+N21*'参数'!$L$21)*(1+'参数'!$B$40*MIN(1,(A21-1)/19)),0)</x:f>
        <x:v>4046</x:v>
      </x:c>
      <x:c r="Q21" s="19" t="n">
        <x:f>ROUND((K21+N21*'参数'!$M$21)*(1+'参数'!$B$41*MIN(1,(A21-1)/19)),0)</x:f>
        <x:v>220</x:v>
      </x:c>
      <x:c r="R21" s="22" t="n">
        <x:f>N21*'参数'!$K$21/O21</x:f>
        <x:v>0.4245286530441849</x:v>
      </x:c>
      <x:c r="S21" s="52" t="n">
        <x:f>INDEX('参数'!$I$59:$I$74,'参数'!$B$47+1)</x:f>
        <x:v>0</x:v>
      </x:c>
      <x:c r="T21" s="52" t="n">
        <x:f>INDEX('参数'!$J$59:$J$74,'参数'!$B$47+1)</x:f>
        <x:v>0</x:v>
      </x:c>
    </x:row>
    <x:row r="22" ht="22" customHeight="1">
      <x:c r="A22" s="18" t="n">
        <x:v>17</x:v>
      </x:c>
      <x:c r="B22" s="15" t="n">
        <x:f>'参数'!$B$16^(A22-1)</x:f>
        <x:v>1.7609867430351454</x:v>
      </x:c>
      <x:c r="C22" s="15" t="n">
        <x:f>'参数'!$B$15^(A22-1)</x:f>
        <x:v>1.7339860398284848</x:v>
      </x:c>
      <x:c r="D22" s="15" t="n">
        <x:f>'参数'!$B$17^(A22-1)</x:f>
        <x:v>1.7339860398284848</x:v>
      </x:c>
      <x:c r="E22" s="21" t="n">
        <x:f>IF(A22&gt;40,'参数'!$B$54,0)+IF(A22&gt;80,'参数'!$B$55,0)</x:f>
        <x:v>0</x:v>
      </x:c>
      <x:c r="F22" s="18" t="n">
        <x:f>ROUND('参数'!$H$5*C22*(1+E22),0)</x:f>
        <x:v>217</x:v>
      </x:c>
      <x:c r="G22" s="18" t="n">
        <x:f>ROUND('参数'!$G$5*B22*(1+E22),0)</x:f>
        <x:v>1761</x:v>
      </x:c>
      <x:c r="H22" s="18" t="n">
        <x:f>ROUND('参数'!$I$5*D22*(1+E22),0)</x:f>
        <x:v>61</x:v>
      </x:c>
      <x:c r="I22" s="18" t="n">
        <x:f>ROUND('参数'!$H$6*C22*(1+E22),0)</x:f>
        <x:v>156</x:v>
      </x:c>
      <x:c r="J22" s="18" t="n">
        <x:f>ROUND('参数'!$G$6*B22*(1+E22),0)</x:f>
        <x:v>2641</x:v>
      </x:c>
      <x:c r="K22" s="18" t="n">
        <x:f>ROUND('参数'!$I$6*D22*(1+E22),0)</x:f>
        <x:v>113</x:v>
      </x:c>
      <x:c r="L22" s="18" t="n">
        <x:f>ROUND('参数'!$H$7*C22*(1+E22),0)</x:f>
        <x:v>121</x:v>
      </x:c>
      <x:c r="M22" s="18" t="n">
        <x:f>MAX(1,5*INT(A22/5))</x:f>
        <x:v>15</x:v>
      </x:c>
      <x:c r="N22" s="18" t="n">
        <x:f>'参数'!$B$18*'参数'!$B$19^(M22-1)*'参数'!$B$48*'参数'!$B$49*MIN(1,(A22-1)/19)</x:f>
        <x:v>57.676313845160834</x:v>
      </x:c>
      <x:c r="O22" s="18" t="n">
        <x:f>ROUND(F22+N22*'参数'!$K$21,0)</x:f>
        <x:v>381</x:v>
      </x:c>
      <x:c r="P22" s="18" t="n">
        <x:f>ROUND((J22+N22*'参数'!$L$21)*(1+'参数'!$B$40*MIN(1,(A22-1)/19)),0)</x:f>
        <x:v>4252</x:v>
      </x:c>
      <x:c r="Q22" s="18" t="n">
        <x:f>ROUND((K22+N22*'参数'!$M$21)*(1+'参数'!$B$41*MIN(1,(A22-1)/19)),0)</x:f>
        <x:v>232</x:v>
      </x:c>
      <x:c r="R22" s="21" t="n">
        <x:f>N22*'参数'!$K$21/O22</x:f>
        <x:v>0.4314369933299433</x:v>
      </x:c>
      <x:c r="S22" s="52" t="n">
        <x:f>INDEX('参数'!$I$59:$I$74,'参数'!$B$47+1)</x:f>
        <x:v>0</x:v>
      </x:c>
      <x:c r="T22" s="52" t="n">
        <x:f>INDEX('参数'!$J$59:$J$74,'参数'!$B$47+1)</x:f>
        <x:v>0</x:v>
      </x:c>
    </x:row>
    <x:row r="23" ht="22" customHeight="1">
      <x:c r="A23" s="19" t="n">
        <x:v>18</x:v>
      </x:c>
      <x:c r="B23" s="20" t="n">
        <x:f>'参数'!$B$16^(A23-1)</x:f>
        <x:v>1.8243822657844107</x:v>
      </x:c>
      <x:c r="C23" s="20" t="n">
        <x:f>'参数'!$B$15^(A23-1)</x:f>
        <x:v>1.7946755512224815</x:v>
      </x:c>
      <x:c r="D23" s="20" t="n">
        <x:f>'参数'!$B$17^(A23-1)</x:f>
        <x:v>1.7946755512224815</x:v>
      </x:c>
      <x:c r="E23" s="22" t="n">
        <x:f>IF(A23&gt;40,'参数'!$B$54,0)+IF(A23&gt;80,'参数'!$B$55,0)</x:f>
        <x:v>0</x:v>
      </x:c>
      <x:c r="F23" s="19" t="n">
        <x:f>ROUND('参数'!$H$5*C23*(1+E23),0)</x:f>
        <x:v>224</x:v>
      </x:c>
      <x:c r="G23" s="19" t="n">
        <x:f>ROUND('参数'!$G$5*B23*(1+E23),0)</x:f>
        <x:v>1824</x:v>
      </x:c>
      <x:c r="H23" s="19" t="n">
        <x:f>ROUND('参数'!$I$5*D23*(1+E23),0)</x:f>
        <x:v>63</x:v>
      </x:c>
      <x:c r="I23" s="19" t="n">
        <x:f>ROUND('参数'!$H$6*C23*(1+E23),0)</x:f>
        <x:v>162</x:v>
      </x:c>
      <x:c r="J23" s="19" t="n">
        <x:f>ROUND('参数'!$G$6*B23*(1+E23),0)</x:f>
        <x:v>2737</x:v>
      </x:c>
      <x:c r="K23" s="19" t="n">
        <x:f>ROUND('参数'!$I$6*D23*(1+E23),0)</x:f>
        <x:v>117</x:v>
      </x:c>
      <x:c r="L23" s="19" t="n">
        <x:f>ROUND('参数'!$H$7*C23*(1+E23),0)</x:f>
        <x:v>126</x:v>
      </x:c>
      <x:c r="M23" s="19" t="n">
        <x:f>MAX(1,5*INT(A23/5))</x:f>
        <x:v>15</x:v>
      </x:c>
      <x:c r="N23" s="19" t="n">
        <x:f>'参数'!$B$18*'参数'!$B$19^(M23-1)*'参数'!$B$48*'参数'!$B$49*MIN(1,(A23-1)/19)</x:f>
        <x:v>61.28108346048339</x:v>
      </x:c>
      <x:c r="O23" s="19" t="n">
        <x:f>ROUND(F23+N23*'参数'!$K$21,0)</x:f>
        <x:v>399</x:v>
      </x:c>
      <x:c r="P23" s="19" t="n">
        <x:f>ROUND((J23+N23*'参数'!$L$21)*(1+'参数'!$B$40*MIN(1,(A23-1)/19)),0)</x:f>
        <x:v>4464</x:v>
      </x:c>
      <x:c r="Q23" s="19" t="n">
        <x:f>ROUND((K23+N23*'参数'!$M$21)*(1+'参数'!$B$41*MIN(1,(A23-1)/19)),0)</x:f>
        <x:v>244</x:v>
      </x:c>
      <x:c r="R23" s="22" t="n">
        <x:f>N23*'参数'!$K$21/O23</x:f>
        <x:v>0.4377220247177385</x:v>
      </x:c>
      <x:c r="S23" s="52" t="n">
        <x:f>INDEX('参数'!$I$59:$I$74,'参数'!$B$47+1)</x:f>
        <x:v>0</x:v>
      </x:c>
      <x:c r="T23" s="52" t="n">
        <x:f>INDEX('参数'!$J$59:$J$74,'参数'!$B$47+1)</x:f>
        <x:v>0</x:v>
      </x:c>
    </x:row>
    <x:row r="24" ht="22" customHeight="1">
      <x:c r="A24" s="18" t="n">
        <x:v>19</x:v>
      </x:c>
      <x:c r="B24" s="15" t="n">
        <x:f>'参数'!$B$16^(A24-1)</x:f>
        <x:v>1.8900600273526496</x:v>
      </x:c>
      <x:c r="C24" s="15" t="n">
        <x:f>'参数'!$B$15^(A24-1)</x:f>
        <x:v>1.8574891955152681</x:v>
      </x:c>
      <x:c r="D24" s="15" t="n">
        <x:f>'参数'!$B$17^(A24-1)</x:f>
        <x:v>1.8574891955152681</x:v>
      </x:c>
      <x:c r="E24" s="21" t="n">
        <x:f>IF(A24&gt;40,'参数'!$B$54,0)+IF(A24&gt;80,'参数'!$B$55,0)</x:f>
        <x:v>0</x:v>
      </x:c>
      <x:c r="F24" s="18" t="n">
        <x:f>ROUND('参数'!$H$5*C24*(1+E24),0)</x:f>
        <x:v>232</x:v>
      </x:c>
      <x:c r="G24" s="18" t="n">
        <x:f>ROUND('参数'!$G$5*B24*(1+E24),0)</x:f>
        <x:v>1890</x:v>
      </x:c>
      <x:c r="H24" s="18" t="n">
        <x:f>ROUND('参数'!$I$5*D24*(1+E24),0)</x:f>
        <x:v>65</x:v>
      </x:c>
      <x:c r="I24" s="18" t="n">
        <x:f>ROUND('参数'!$H$6*C24*(1+E24),0)</x:f>
        <x:v>167</x:v>
      </x:c>
      <x:c r="J24" s="18" t="n">
        <x:f>ROUND('参数'!$G$6*B24*(1+E24),0)</x:f>
        <x:v>2835</x:v>
      </x:c>
      <x:c r="K24" s="18" t="n">
        <x:f>ROUND('参数'!$I$6*D24*(1+E24),0)</x:f>
        <x:v>121</x:v>
      </x:c>
      <x:c r="L24" s="18" t="n">
        <x:f>ROUND('参数'!$H$7*C24*(1+E24),0)</x:f>
        <x:v>130</x:v>
      </x:c>
      <x:c r="M24" s="18" t="n">
        <x:f>MAX(1,5*INT(A24/5))</x:f>
        <x:v>15</x:v>
      </x:c>
      <x:c r="N24" s="18" t="n">
        <x:f>'参数'!$B$18*'参数'!$B$19^(M24-1)*'参数'!$B$48*'参数'!$B$49*MIN(1,(A24-1)/19)</x:f>
        <x:v>64.88585307580594</x:v>
      </x:c>
      <x:c r="O24" s="18" t="n">
        <x:f>ROUND(F24+N24*'参数'!$K$21,0)</x:f>
        <x:v>417</x:v>
      </x:c>
      <x:c r="P24" s="18" t="n">
        <x:f>ROUND((J24+N24*'参数'!$L$21)*(1+'参数'!$B$40*MIN(1,(A24-1)/19)),0)</x:f>
        <x:v>4681</x:v>
      </x:c>
      <x:c r="Q24" s="18" t="n">
        <x:f>ROUND((K24+N24*'参数'!$M$21)*(1+'参数'!$B$41*MIN(1,(A24-1)/19)),0)</x:f>
        <x:v>257</x:v>
      </x:c>
      <x:c r="R24" s="21" t="n">
        <x:f>N24*'参数'!$K$21/O24</x:f>
        <x:v>0.4434644634677385</x:v>
      </x:c>
      <x:c r="S24" s="52" t="n">
        <x:f>INDEX('参数'!$I$59:$I$74,'参数'!$B$47+1)</x:f>
        <x:v>0</x:v>
      </x:c>
      <x:c r="T24" s="52" t="n">
        <x:f>INDEX('参数'!$J$59:$J$74,'参数'!$B$47+1)</x:f>
        <x:v>0</x:v>
      </x:c>
    </x:row>
    <x:row r="25" ht="22" customHeight="1">
      <x:c r="A25" s="19" t="n">
        <x:v>20</x:v>
      </x:c>
      <x:c r="B25" s="20" t="n">
        <x:f>'参数'!$B$16^(A25-1)</x:f>
        <x:v>1.958102188337345</x:v>
      </x:c>
      <x:c r="C25" s="20" t="n">
        <x:f>'参数'!$B$15^(A25-1)</x:f>
        <x:v>1.9225013173583025</x:v>
      </x:c>
      <x:c r="D25" s="20" t="n">
        <x:f>'参数'!$B$17^(A25-1)</x:f>
        <x:v>1.9225013173583025</x:v>
      </x:c>
      <x:c r="E25" s="22" t="n">
        <x:f>IF(A25&gt;40,'参数'!$B$54,0)+IF(A25&gt;80,'参数'!$B$55,0)</x:f>
        <x:v>0</x:v>
      </x:c>
      <x:c r="F25" s="19" t="n">
        <x:f>ROUND('参数'!$H$5*C25*(1+E25),0)</x:f>
        <x:v>240</x:v>
      </x:c>
      <x:c r="G25" s="19" t="n">
        <x:f>ROUND('参数'!$G$5*B25*(1+E25),0)</x:f>
        <x:v>1958</x:v>
      </x:c>
      <x:c r="H25" s="19" t="n">
        <x:f>ROUND('参数'!$I$5*D25*(1+E25),0)</x:f>
        <x:v>67</x:v>
      </x:c>
      <x:c r="I25" s="19" t="n">
        <x:f>ROUND('参数'!$H$6*C25*(1+E25),0)</x:f>
        <x:v>173</x:v>
      </x:c>
      <x:c r="J25" s="19" t="n">
        <x:f>ROUND('参数'!$G$6*B25*(1+E25),0)</x:f>
        <x:v>2937</x:v>
      </x:c>
      <x:c r="K25" s="19" t="n">
        <x:f>ROUND('参数'!$I$6*D25*(1+E25),0)</x:f>
        <x:v>125</x:v>
      </x:c>
      <x:c r="L25" s="19" t="n">
        <x:f>ROUND('参数'!$H$7*C25*(1+E25),0)</x:f>
        <x:v>135</x:v>
      </x:c>
      <x:c r="M25" s="19" t="n">
        <x:f>MAX(1,5*INT(A25/5))</x:f>
        <x:v>20</x:v>
      </x:c>
      <x:c r="N25" s="19" t="n">
        <x:f>'参数'!$B$18*'参数'!$B$19^(M25-1)*'参数'!$B$48*'参数'!$B$49*MIN(1,(A25-1)/19)</x:f>
        <x:v>82.13436363042088</x:v>
      </x:c>
      <x:c r="O25" s="19" t="n">
        <x:f>ROUND(F25+N25*'参数'!$K$21,0)</x:f>
        <x:v>474</x:v>
      </x:c>
      <x:c r="P25" s="19" t="n">
        <x:f>ROUND((J25+N25*'参数'!$L$21)*(1+'参数'!$B$40*MIN(1,(A25-1)/19)),0)</x:f>
        <x:v>5236</x:v>
      </x:c>
      <x:c r="Q25" s="19" t="n">
        <x:f>ROUND((K25+N25*'参数'!$M$21)*(1+'参数'!$B$41*MIN(1,(A25-1)/19)),0)</x:f>
        <x:v>296</x:v>
      </x:c>
      <x:c r="R25" s="22" t="n">
        <x:f>N25*'参数'!$K$21/O25</x:f>
        <x:v>0.493845857271518</x:v>
      </x:c>
      <x:c r="S25" s="52" t="n">
        <x:f>INDEX('参数'!$I$59:$I$74,'参数'!$B$47+1)</x:f>
        <x:v>0</x:v>
      </x:c>
      <x:c r="T25" s="52" t="n">
        <x:f>INDEX('参数'!$J$59:$J$74,'参数'!$B$47+1)</x:f>
        <x:v>0</x:v>
      </x:c>
    </x:row>
    <x:row r="26" ht="22" customHeight="1">
      <x:c r="A26" s="18" t="n">
        <x:v>21</x:v>
      </x:c>
      <x:c r="B26" s="15" t="n">
        <x:f>'参数'!$B$16^(A26-1)</x:f>
        <x:v>2.0285938671174892</x:v>
      </x:c>
      <x:c r="C26" s="15" t="n">
        <x:f>'参数'!$B$15^(A26-1)</x:f>
        <x:v>1.989788863465843</x:v>
      </x:c>
      <x:c r="D26" s="15" t="n">
        <x:f>'参数'!$B$17^(A26-1)</x:f>
        <x:v>1.989788863465843</x:v>
      </x:c>
      <x:c r="E26" s="21" t="n">
        <x:f>IF(A26&gt;40,'参数'!$B$54,0)+IF(A26&gt;80,'参数'!$B$55,0)</x:f>
        <x:v>0</x:v>
      </x:c>
      <x:c r="F26" s="18" t="n">
        <x:f>ROUND('参数'!$H$5*C26*(1+E26),0)</x:f>
        <x:v>249</x:v>
      </x:c>
      <x:c r="G26" s="18" t="n">
        <x:f>ROUND('参数'!$G$5*B26*(1+E26),0)</x:f>
        <x:v>2029</x:v>
      </x:c>
      <x:c r="H26" s="18" t="n">
        <x:f>ROUND('参数'!$I$5*D26*(1+E26),0)</x:f>
        <x:v>70</x:v>
      </x:c>
      <x:c r="I26" s="18" t="n">
        <x:f>ROUND('参数'!$H$6*C26*(1+E26),0)</x:f>
        <x:v>179</x:v>
      </x:c>
      <x:c r="J26" s="18" t="n">
        <x:f>ROUND('参数'!$G$6*B26*(1+E26),0)</x:f>
        <x:v>3043</x:v>
      </x:c>
      <x:c r="K26" s="18" t="n">
        <x:f>ROUND('参数'!$I$6*D26*(1+E26),0)</x:f>
        <x:v>129</x:v>
      </x:c>
      <x:c r="L26" s="18" t="n">
        <x:f>ROUND('参数'!$H$7*C26*(1+E26),0)</x:f>
        <x:v>139</x:v>
      </x:c>
      <x:c r="M26" s="18" t="n">
        <x:f>MAX(1,5*INT(A26/5))</x:f>
        <x:v>20</x:v>
      </x:c>
      <x:c r="N26" s="18" t="n">
        <x:f>'参数'!$B$18*'参数'!$B$19^(M26-1)*'参数'!$B$48*'参数'!$B$49*MIN(1,(A26-1)/19)</x:f>
        <x:v>82.13436363042088</x:v>
      </x:c>
      <x:c r="O26" s="18" t="n">
        <x:f>ROUND(F26+N26*'参数'!$K$21,0)</x:f>
        <x:v>483</x:v>
      </x:c>
      <x:c r="P26" s="18" t="n">
        <x:f>ROUND((J26+N26*'参数'!$L$21)*(1+'参数'!$B$40*MIN(1,(A26-1)/19)),0)</x:f>
        <x:v>5353</x:v>
      </x:c>
      <x:c r="Q26" s="18" t="n">
        <x:f>ROUND((K26+N26*'参数'!$M$21)*(1+'参数'!$B$41*MIN(1,(A26-1)/19)),0)</x:f>
        <x:v>300</x:v>
      </x:c>
      <x:c r="R26" s="21" t="n">
        <x:f>N26*'参数'!$K$21/O26</x:f>
        <x:v>0.4846437605521729</x:v>
      </x:c>
      <x:c r="S26" s="52" t="n">
        <x:f>INDEX('参数'!$I$59:$I$74,'参数'!$B$47+1)</x:f>
        <x:v>0</x:v>
      </x:c>
      <x:c r="T26" s="52" t="n">
        <x:f>INDEX('参数'!$J$59:$J$74,'参数'!$B$47+1)</x:f>
        <x:v>0</x:v>
      </x:c>
    </x:row>
    <x:row r="27" ht="22" customHeight="1">
      <x:c r="A27" s="19" t="n">
        <x:v>22</x:v>
      </x:c>
      <x:c r="B27" s="20" t="n">
        <x:f>'参数'!$B$16^(A27-1)</x:f>
        <x:v>2.101623246333719</x:v>
      </x:c>
      <x:c r="C27" s="20" t="n">
        <x:f>'参数'!$B$15^(A27-1)</x:f>
        <x:v>2.0594314736871473</x:v>
      </x:c>
      <x:c r="D27" s="20" t="n">
        <x:f>'参数'!$B$17^(A27-1)</x:f>
        <x:v>2.0594314736871473</x:v>
      </x:c>
      <x:c r="E27" s="22" t="n">
        <x:f>IF(A27&gt;40,'参数'!$B$54,0)+IF(A27&gt;80,'参数'!$B$55,0)</x:f>
        <x:v>0</x:v>
      </x:c>
      <x:c r="F27" s="19" t="n">
        <x:f>ROUND('参数'!$H$5*C27*(1+E27),0)</x:f>
        <x:v>257</x:v>
      </x:c>
      <x:c r="G27" s="19" t="n">
        <x:f>ROUND('参数'!$G$5*B27*(1+E27),0)</x:f>
        <x:v>2102</x:v>
      </x:c>
      <x:c r="H27" s="19" t="n">
        <x:f>ROUND('参数'!$I$5*D27*(1+E27),0)</x:f>
        <x:v>72</x:v>
      </x:c>
      <x:c r="I27" s="19" t="n">
        <x:f>ROUND('参数'!$H$6*C27*(1+E27),0)</x:f>
        <x:v>185</x:v>
      </x:c>
      <x:c r="J27" s="19" t="n">
        <x:f>ROUND('参数'!$G$6*B27*(1+E27),0)</x:f>
        <x:v>3152</x:v>
      </x:c>
      <x:c r="K27" s="19" t="n">
        <x:f>ROUND('参数'!$I$6*D27*(1+E27),0)</x:f>
        <x:v>134</x:v>
      </x:c>
      <x:c r="L27" s="19" t="n">
        <x:f>ROUND('参数'!$H$7*C27*(1+E27),0)</x:f>
        <x:v>144</x:v>
      </x:c>
      <x:c r="M27" s="19" t="n">
        <x:f>MAX(1,5*INT(A27/5))</x:f>
        <x:v>20</x:v>
      </x:c>
      <x:c r="N27" s="19" t="n">
        <x:f>'参数'!$B$18*'参数'!$B$19^(M27-1)*'参数'!$B$48*'参数'!$B$49*MIN(1,(A27-1)/19)</x:f>
        <x:v>82.13436363042088</x:v>
      </x:c>
      <x:c r="O27" s="19" t="n">
        <x:f>ROUND(F27+N27*'参数'!$K$21,0)</x:f>
        <x:v>491</x:v>
      </x:c>
      <x:c r="P27" s="19" t="n">
        <x:f>ROUND((J27+N27*'参数'!$L$21)*(1+'参数'!$B$40*MIN(1,(A27-1)/19)),0)</x:f>
        <x:v>5473</x:v>
      </x:c>
      <x:c r="Q27" s="19" t="n">
        <x:f>ROUND((K27+N27*'参数'!$M$21)*(1+'参数'!$B$41*MIN(1,(A27-1)/19)),0)</x:f>
        <x:v>306</x:v>
      </x:c>
      <x:c r="R27" s="22" t="n">
        <x:f>N27*'参数'!$K$21/O27</x:f>
        <x:v>0.47674732453502955</x:v>
      </x:c>
      <x:c r="S27" s="52" t="n">
        <x:f>INDEX('参数'!$I$59:$I$74,'参数'!$B$47+1)</x:f>
        <x:v>0</x:v>
      </x:c>
      <x:c r="T27" s="52" t="n">
        <x:f>INDEX('参数'!$J$59:$J$74,'参数'!$B$47+1)</x:f>
        <x:v>0</x:v>
      </x:c>
    </x:row>
    <x:row r="28" ht="22" customHeight="1">
      <x:c r="A28" s="18" t="n">
        <x:v>23</x:v>
      </x:c>
      <x:c r="B28" s="15" t="n">
        <x:f>'参数'!$B$16^(A28-1)</x:f>
        <x:v>2.177281683201733</x:v>
      </x:c>
      <x:c r="C28" s="15" t="n">
        <x:f>'参数'!$B$15^(A28-1)</x:f>
        <x:v>2.131511575266197</x:v>
      </x:c>
      <x:c r="D28" s="15" t="n">
        <x:f>'参数'!$B$17^(A28-1)</x:f>
        <x:v>2.131511575266197</x:v>
      </x:c>
      <x:c r="E28" s="21" t="n">
        <x:f>IF(A28&gt;40,'参数'!$B$54,0)+IF(A28&gt;80,'参数'!$B$55,0)</x:f>
        <x:v>0</x:v>
      </x:c>
      <x:c r="F28" s="18" t="n">
        <x:f>ROUND('参数'!$H$5*C28*(1+E28),0)</x:f>
        <x:v>266</x:v>
      </x:c>
      <x:c r="G28" s="18" t="n">
        <x:f>ROUND('参数'!$G$5*B28*(1+E28),0)</x:f>
        <x:v>2177</x:v>
      </x:c>
      <x:c r="H28" s="18" t="n">
        <x:f>ROUND('参数'!$I$5*D28*(1+E28),0)</x:f>
        <x:v>75</x:v>
      </x:c>
      <x:c r="I28" s="18" t="n">
        <x:f>ROUND('参数'!$H$6*C28*(1+E28),0)</x:f>
        <x:v>192</x:v>
      </x:c>
      <x:c r="J28" s="18" t="n">
        <x:f>ROUND('参数'!$G$6*B28*(1+E28),0)</x:f>
        <x:v>3266</x:v>
      </x:c>
      <x:c r="K28" s="18" t="n">
        <x:f>ROUND('参数'!$I$6*D28*(1+E28),0)</x:f>
        <x:v>139</x:v>
      </x:c>
      <x:c r="L28" s="18" t="n">
        <x:f>ROUND('参数'!$H$7*C28*(1+E28),0)</x:f>
        <x:v>149</x:v>
      </x:c>
      <x:c r="M28" s="18" t="n">
        <x:f>MAX(1,5*INT(A28/5))</x:f>
        <x:v>20</x:v>
      </x:c>
      <x:c r="N28" s="18" t="n">
        <x:f>'参数'!$B$18*'参数'!$B$19^(M28-1)*'参数'!$B$48*'参数'!$B$49*MIN(1,(A28-1)/19)</x:f>
        <x:v>82.13436363042088</x:v>
      </x:c>
      <x:c r="O28" s="18" t="n">
        <x:f>ROUND(F28+N28*'参数'!$K$21,0)</x:f>
        <x:v>500</x:v>
      </x:c>
      <x:c r="P28" s="18" t="n">
        <x:f>ROUND((J28+N28*'参数'!$L$21)*(1+'参数'!$B$40*MIN(1,(A28-1)/19)),0)</x:f>
        <x:v>5598</x:v>
      </x:c>
      <x:c r="Q28" s="18" t="n">
        <x:f>ROUND((K28+N28*'参数'!$M$21)*(1+'参数'!$B$41*MIN(1,(A28-1)/19)),0)</x:f>
        <x:v>311</x:v>
      </x:c>
      <x:c r="R28" s="21" t="n">
        <x:f>N28*'参数'!$K$21/O28</x:f>
        <x:v>0.46816587269339904</x:v>
      </x:c>
      <x:c r="S28" s="52" t="n">
        <x:f>INDEX('参数'!$I$59:$I$74,'参数'!$B$47+1)</x:f>
        <x:v>0</x:v>
      </x:c>
      <x:c r="T28" s="52" t="n">
        <x:f>INDEX('参数'!$J$59:$J$74,'参数'!$B$47+1)</x:f>
        <x:v>0</x:v>
      </x:c>
    </x:row>
    <x:row r="29" ht="22" customHeight="1">
      <x:c r="A29" s="19" t="n">
        <x:v>24</x:v>
      </x:c>
      <x:c r="B29" s="20" t="n">
        <x:f>'参数'!$B$16^(A29-1)</x:f>
        <x:v>2.2556638237969957</x:v>
      </x:c>
      <x:c r="C29" s="20" t="n">
        <x:f>'参数'!$B$15^(A29-1)</x:f>
        <x:v>2.206114480400514</x:v>
      </x:c>
      <x:c r="D29" s="20" t="n">
        <x:f>'参数'!$B$17^(A29-1)</x:f>
        <x:v>2.206114480400514</x:v>
      </x:c>
      <x:c r="E29" s="22" t="n">
        <x:f>IF(A29&gt;40,'参数'!$B$54,0)+IF(A29&gt;80,'参数'!$B$55,0)</x:f>
        <x:v>0</x:v>
      </x:c>
      <x:c r="F29" s="19" t="n">
        <x:f>ROUND('参数'!$H$5*C29*(1+E29),0)</x:f>
        <x:v>276</x:v>
      </x:c>
      <x:c r="G29" s="19" t="n">
        <x:f>ROUND('参数'!$G$5*B29*(1+E29),0)</x:f>
        <x:v>2256</x:v>
      </x:c>
      <x:c r="H29" s="19" t="n">
        <x:f>ROUND('参数'!$I$5*D29*(1+E29),0)</x:f>
        <x:v>77</x:v>
      </x:c>
      <x:c r="I29" s="19" t="n">
        <x:f>ROUND('参数'!$H$6*C29*(1+E29),0)</x:f>
        <x:v>199</x:v>
      </x:c>
      <x:c r="J29" s="19" t="n">
        <x:f>ROUND('参数'!$G$6*B29*(1+E29),0)</x:f>
        <x:v>3383</x:v>
      </x:c>
      <x:c r="K29" s="19" t="n">
        <x:f>ROUND('参数'!$I$6*D29*(1+E29),0)</x:f>
        <x:v>143</x:v>
      </x:c>
      <x:c r="L29" s="19" t="n">
        <x:f>ROUND('参数'!$H$7*C29*(1+E29),0)</x:f>
        <x:v>154</x:v>
      </x:c>
      <x:c r="M29" s="19" t="n">
        <x:f>MAX(1,5*INT(A29/5))</x:f>
        <x:v>20</x:v>
      </x:c>
      <x:c r="N29" s="19" t="n">
        <x:f>'参数'!$B$18*'参数'!$B$19^(M29-1)*'参数'!$B$48*'参数'!$B$49*MIN(1,(A29-1)/19)</x:f>
        <x:v>82.13436363042088</x:v>
      </x:c>
      <x:c r="O29" s="19" t="n">
        <x:f>ROUND(F29+N29*'参数'!$K$21,0)</x:f>
        <x:v>510</x:v>
      </x:c>
      <x:c r="P29" s="19" t="n">
        <x:f>ROUND((J29+N29*'参数'!$L$21)*(1+'参数'!$B$40*MIN(1,(A29-1)/19)),0)</x:f>
        <x:v>5727</x:v>
      </x:c>
      <x:c r="Q29" s="19" t="n">
        <x:f>ROUND((K29+N29*'参数'!$M$21)*(1+'参数'!$B$41*MIN(1,(A29-1)/19)),0)</x:f>
        <x:v>315</x:v>
      </x:c>
      <x:c r="R29" s="22" t="n">
        <x:f>N29*'参数'!$K$21/O29</x:f>
        <x:v>0.4589861496994108</x:v>
      </x:c>
      <x:c r="S29" s="52" t="n">
        <x:f>INDEX('参数'!$I$59:$I$74,'参数'!$B$47+1)</x:f>
        <x:v>0</x:v>
      </x:c>
      <x:c r="T29" s="52" t="n">
        <x:f>INDEX('参数'!$J$59:$J$74,'参数'!$B$47+1)</x:f>
        <x:v>0</x:v>
      </x:c>
    </x:row>
    <x:row r="30" ht="22" customHeight="1">
      <x:c r="A30" s="18" t="n">
        <x:v>25</x:v>
      </x:c>
      <x:c r="B30" s="15" t="n">
        <x:f>'参数'!$B$16^(A30-1)</x:f>
        <x:v>2.3368677214536873</x:v>
      </x:c>
      <x:c r="C30" s="15" t="n">
        <x:f>'参数'!$B$15^(A30-1)</x:f>
        <x:v>2.283328487214532</x:v>
      </x:c>
      <x:c r="D30" s="15" t="n">
        <x:f>'参数'!$B$17^(A30-1)</x:f>
        <x:v>2.283328487214532</x:v>
      </x:c>
      <x:c r="E30" s="21" t="n">
        <x:f>IF(A30&gt;40,'参数'!$B$54,0)+IF(A30&gt;80,'参数'!$B$55,0)</x:f>
        <x:v>0</x:v>
      </x:c>
      <x:c r="F30" s="18" t="n">
        <x:f>ROUND('参数'!$H$5*C30*(1+E30),0)</x:f>
        <x:v>285</x:v>
      </x:c>
      <x:c r="G30" s="18" t="n">
        <x:f>ROUND('参数'!$G$5*B30*(1+E30),0)</x:f>
        <x:v>2337</x:v>
      </x:c>
      <x:c r="H30" s="18" t="n">
        <x:f>ROUND('参数'!$I$5*D30*(1+E30),0)</x:f>
        <x:v>80</x:v>
      </x:c>
      <x:c r="I30" s="18" t="n">
        <x:f>ROUND('参数'!$H$6*C30*(1+E30),0)</x:f>
        <x:v>205</x:v>
      </x:c>
      <x:c r="J30" s="18" t="n">
        <x:f>ROUND('参数'!$G$6*B30*(1+E30),0)</x:f>
        <x:v>3505</x:v>
      </x:c>
      <x:c r="K30" s="18" t="n">
        <x:f>ROUND('参数'!$I$6*D30*(1+E30),0)</x:f>
        <x:v>148</x:v>
      </x:c>
      <x:c r="L30" s="18" t="n">
        <x:f>ROUND('参数'!$H$7*C30*(1+E30),0)</x:f>
        <x:v>160</x:v>
      </x:c>
      <x:c r="M30" s="18" t="n">
        <x:f>MAX(1,5*INT(A30/5))</x:f>
        <x:v>25</x:v>
      </x:c>
      <x:c r="N30" s="18" t="n">
        <x:f>'参数'!$B$18*'参数'!$B$19^(M30-1)*'参数'!$B$48*'参数'!$B$49*MIN(1,(A30-1)/19)</x:f>
        <x:v>98.49601921998604</x:v>
      </x:c>
      <x:c r="O30" s="18" t="n">
        <x:f>ROUND(F30+N30*'参数'!$K$21,0)</x:f>
        <x:v>566</x:v>
      </x:c>
      <x:c r="P30" s="18" t="n">
        <x:f>ROUND((J30+N30*'参数'!$L$21)*(1+'参数'!$B$40*MIN(1,(A30-1)/19)),0)</x:f>
        <x:v>6261</x:v>
      </x:c>
      <x:c r="Q30" s="18" t="n">
        <x:f>ROUND((K30+N30*'参数'!$M$21)*(1+'参数'!$B$41*MIN(1,(A30-1)/19)),0)</x:f>
        <x:v>352</x:v>
      </x:c>
      <x:c r="R30" s="21" t="n">
        <x:f>N30*'参数'!$K$21/O30</x:f>
        <x:v>0.49596052080735015</x:v>
      </x:c>
      <x:c r="S30" s="52" t="n">
        <x:f>INDEX('参数'!$I$59:$I$74,'参数'!$B$47+1)</x:f>
        <x:v>0</x:v>
      </x:c>
      <x:c r="T30" s="52" t="n">
        <x:f>INDEX('参数'!$J$59:$J$74,'参数'!$B$47+1)</x:f>
        <x:v>0</x:v>
      </x:c>
    </x:row>
    <x:row r="31" ht="22" customHeight="1">
      <x:c r="A31" s="19" t="n">
        <x:v>26</x:v>
      </x:c>
      <x:c r="B31" s="20" t="n">
        <x:f>'参数'!$B$16^(A31-1)</x:f>
        <x:v>2.4209949594260203</x:v>
      </x:c>
      <x:c r="C31" s="20" t="n">
        <x:f>'参数'!$B$15^(A31-1)</x:f>
        <x:v>2.36324498426704</x:v>
      </x:c>
      <x:c r="D31" s="20" t="n">
        <x:f>'参数'!$B$17^(A31-1)</x:f>
        <x:v>2.36324498426704</x:v>
      </x:c>
      <x:c r="E31" s="22" t="n">
        <x:f>IF(A31&gt;40,'参数'!$B$54,0)+IF(A31&gt;80,'参数'!$B$55,0)</x:f>
        <x:v>0</x:v>
      </x:c>
      <x:c r="F31" s="19" t="n">
        <x:f>ROUND('参数'!$H$5*C31*(1+E31),0)</x:f>
        <x:v>295</x:v>
      </x:c>
      <x:c r="G31" s="19" t="n">
        <x:f>ROUND('参数'!$G$5*B31*(1+E31),0)</x:f>
        <x:v>2421</x:v>
      </x:c>
      <x:c r="H31" s="19" t="n">
        <x:f>ROUND('参数'!$I$5*D31*(1+E31),0)</x:f>
        <x:v>83</x:v>
      </x:c>
      <x:c r="I31" s="19" t="n">
        <x:f>ROUND('参数'!$H$6*C31*(1+E31),0)</x:f>
        <x:v>213</x:v>
      </x:c>
      <x:c r="J31" s="19" t="n">
        <x:f>ROUND('参数'!$G$6*B31*(1+E31),0)</x:f>
        <x:v>3631</x:v>
      </x:c>
      <x:c r="K31" s="19" t="n">
        <x:f>ROUND('参数'!$I$6*D31*(1+E31),0)</x:f>
        <x:v>154</x:v>
      </x:c>
      <x:c r="L31" s="19" t="n">
        <x:f>ROUND('参数'!$H$7*C31*(1+E31),0)</x:f>
        <x:v>165</x:v>
      </x:c>
      <x:c r="M31" s="19" t="n">
        <x:f>MAX(1,5*INT(A31/5))</x:f>
        <x:v>25</x:v>
      </x:c>
      <x:c r="N31" s="19" t="n">
        <x:f>'参数'!$B$18*'参数'!$B$19^(M31-1)*'参数'!$B$48*'参数'!$B$49*MIN(1,(A31-1)/19)</x:f>
        <x:v>98.49601921998604</x:v>
      </x:c>
      <x:c r="O31" s="19" t="n">
        <x:f>ROUND(F31+N31*'参数'!$K$21,0)</x:f>
        <x:v>576</x:v>
      </x:c>
      <x:c r="P31" s="19" t="n">
        <x:f>ROUND((J31+N31*'参数'!$L$21)*(1+'参数'!$B$40*MIN(1,(A31-1)/19)),0)</x:f>
        <x:v>6399</x:v>
      </x:c>
      <x:c r="Q31" s="19" t="n">
        <x:f>ROUND((K31+N31*'参数'!$M$21)*(1+'参数'!$B$41*MIN(1,(A31-1)/19)),0)</x:f>
        <x:v>359</x:v>
      </x:c>
      <x:c r="R31" s="22" t="n">
        <x:f>N31*'参数'!$K$21/O31</x:f>
        <x:v>0.4873500950988892</x:v>
      </x:c>
      <x:c r="S31" s="52" t="n">
        <x:f>INDEX('参数'!$I$59:$I$74,'参数'!$B$47+1)</x:f>
        <x:v>0</x:v>
      </x:c>
      <x:c r="T31" s="52" t="n">
        <x:f>INDEX('参数'!$J$59:$J$74,'参数'!$B$47+1)</x:f>
        <x:v>0</x:v>
      </x:c>
    </x:row>
    <x:row r="32" ht="22" customHeight="1">
      <x:c r="A32" s="18" t="n">
        <x:v>27</x:v>
      </x:c>
      <x:c r="B32" s="15" t="n">
        <x:f>'参数'!$B$16^(A32-1)</x:f>
        <x:v>2.508150777965357</x:v>
      </x:c>
      <x:c r="C32" s="15" t="n">
        <x:f>'参数'!$B$15^(A32-1)</x:f>
        <x:v>2.4459585587163866</x:v>
      </x:c>
      <x:c r="D32" s="15" t="n">
        <x:f>'参数'!$B$17^(A32-1)</x:f>
        <x:v>2.4459585587163866</x:v>
      </x:c>
      <x:c r="E32" s="21" t="n">
        <x:f>IF(A32&gt;40,'参数'!$B$54,0)+IF(A32&gt;80,'参数'!$B$55,0)</x:f>
        <x:v>0</x:v>
      </x:c>
      <x:c r="F32" s="18" t="n">
        <x:f>ROUND('参数'!$H$5*C32*(1+E32),0)</x:f>
        <x:v>306</x:v>
      </x:c>
      <x:c r="G32" s="18" t="n">
        <x:f>ROUND('参数'!$G$5*B32*(1+E32),0)</x:f>
        <x:v>2508</x:v>
      </x:c>
      <x:c r="H32" s="18" t="n">
        <x:f>ROUND('参数'!$I$5*D32*(1+E32),0)</x:f>
        <x:v>86</x:v>
      </x:c>
      <x:c r="I32" s="18" t="n">
        <x:f>ROUND('参数'!$H$6*C32*(1+E32),0)</x:f>
        <x:v>220</x:v>
      </x:c>
      <x:c r="J32" s="18" t="n">
        <x:f>ROUND('参数'!$G$6*B32*(1+E32),0)</x:f>
        <x:v>3762</x:v>
      </x:c>
      <x:c r="K32" s="18" t="n">
        <x:f>ROUND('参数'!$I$6*D32*(1+E32),0)</x:f>
        <x:v>159</x:v>
      </x:c>
      <x:c r="L32" s="18" t="n">
        <x:f>ROUND('参数'!$H$7*C32*(1+E32),0)</x:f>
        <x:v>171</x:v>
      </x:c>
      <x:c r="M32" s="18" t="n">
        <x:f>MAX(1,5*INT(A32/5))</x:f>
        <x:v>25</x:v>
      </x:c>
      <x:c r="N32" s="18" t="n">
        <x:f>'参数'!$B$18*'参数'!$B$19^(M32-1)*'参数'!$B$48*'参数'!$B$49*MIN(1,(A32-1)/19)</x:f>
        <x:v>98.49601921998604</x:v>
      </x:c>
      <x:c r="O32" s="18" t="n">
        <x:f>ROUND(F32+N32*'参数'!$K$21,0)</x:f>
        <x:v>587</x:v>
      </x:c>
      <x:c r="P32" s="18" t="n">
        <x:f>ROUND((J32+N32*'参数'!$L$21)*(1+'参数'!$B$40*MIN(1,(A32-1)/19)),0)</x:f>
        <x:v>6543</x:v>
      </x:c>
      <x:c r="Q32" s="18" t="n">
        <x:f>ROUND((K32+N32*'参数'!$M$21)*(1+'参数'!$B$41*MIN(1,(A32-1)/19)),0)</x:f>
        <x:v>365</x:v>
      </x:c>
      <x:c r="R32" s="21" t="n">
        <x:f>N32*'参数'!$K$21/O32</x:f>
        <x:v>0.4782174698074279</x:v>
      </x:c>
      <x:c r="S32" s="52" t="n">
        <x:f>INDEX('参数'!$I$59:$I$74,'参数'!$B$47+1)</x:f>
        <x:v>0</x:v>
      </x:c>
      <x:c r="T32" s="52" t="n">
        <x:f>INDEX('参数'!$J$59:$J$74,'参数'!$B$47+1)</x:f>
        <x:v>0</x:v>
      </x:c>
    </x:row>
    <x:row r="33" ht="22" customHeight="1">
      <x:c r="A33" s="19" t="n">
        <x:v>28</x:v>
      </x:c>
      <x:c r="B33" s="20" t="n">
        <x:f>'参数'!$B$16^(A33-1)</x:f>
        <x:v>2.5984442059721102</x:v>
      </x:c>
      <x:c r="C33" s="20" t="n">
        <x:f>'参数'!$B$15^(A33-1)</x:f>
        <x:v>2.5315671082714597</x:v>
      </x:c>
      <x:c r="D33" s="20" t="n">
        <x:f>'参数'!$B$17^(A33-1)</x:f>
        <x:v>2.5315671082714597</x:v>
      </x:c>
      <x:c r="E33" s="22" t="n">
        <x:f>IF(A33&gt;40,'参数'!$B$54,0)+IF(A33&gt;80,'参数'!$B$55,0)</x:f>
        <x:v>0</x:v>
      </x:c>
      <x:c r="F33" s="19" t="n">
        <x:f>ROUND('参数'!$H$5*C33*(1+E33),0)</x:f>
        <x:v>316</x:v>
      </x:c>
      <x:c r="G33" s="19" t="n">
        <x:f>ROUND('参数'!$G$5*B33*(1+E33),0)</x:f>
        <x:v>2598</x:v>
      </x:c>
      <x:c r="H33" s="19" t="n">
        <x:f>ROUND('参数'!$I$5*D33*(1+E33),0)</x:f>
        <x:v>89</x:v>
      </x:c>
      <x:c r="I33" s="19" t="n">
        <x:f>ROUND('参数'!$H$6*C33*(1+E33),0)</x:f>
        <x:v>228</x:v>
      </x:c>
      <x:c r="J33" s="19" t="n">
        <x:f>ROUND('参数'!$G$6*B33*(1+E33),0)</x:f>
        <x:v>3898</x:v>
      </x:c>
      <x:c r="K33" s="19" t="n">
        <x:f>ROUND('参数'!$I$6*D33*(1+E33),0)</x:f>
        <x:v>165</x:v>
      </x:c>
      <x:c r="L33" s="19" t="n">
        <x:f>ROUND('参数'!$H$7*C33*(1+E33),0)</x:f>
        <x:v>177</x:v>
      </x:c>
      <x:c r="M33" s="19" t="n">
        <x:f>MAX(1,5*INT(A33/5))</x:f>
        <x:v>25</x:v>
      </x:c>
      <x:c r="N33" s="19" t="n">
        <x:f>'参数'!$B$18*'参数'!$B$19^(M33-1)*'参数'!$B$48*'参数'!$B$49*MIN(1,(A33-1)/19)</x:f>
        <x:v>98.49601921998604</x:v>
      </x:c>
      <x:c r="O33" s="19" t="n">
        <x:f>ROUND(F33+N33*'参数'!$K$21,0)</x:f>
        <x:v>597</x:v>
      </x:c>
      <x:c r="P33" s="19" t="n">
        <x:f>ROUND((J33+N33*'参数'!$L$21)*(1+'参数'!$B$40*MIN(1,(A33-1)/19)),0)</x:f>
        <x:v>6693</x:v>
      </x:c>
      <x:c r="Q33" s="19" t="n">
        <x:f>ROUND((K33+N33*'参数'!$M$21)*(1+'参数'!$B$41*MIN(1,(A33-1)/19)),0)</x:f>
        <x:v>371</x:v>
      </x:c>
      <x:c r="R33" s="22" t="n">
        <x:f>N33*'参数'!$K$21/O33</x:f>
        <x:v>0.47020712692958155</x:v>
      </x:c>
      <x:c r="S33" s="52" t="n">
        <x:f>INDEX('参数'!$I$59:$I$74,'参数'!$B$47+1)</x:f>
        <x:v>0</x:v>
      </x:c>
      <x:c r="T33" s="52" t="n">
        <x:f>INDEX('参数'!$J$59:$J$74,'参数'!$B$47+1)</x:f>
        <x:v>0</x:v>
      </x:c>
    </x:row>
    <x:row r="34" ht="22" customHeight="1">
      <x:c r="A34" s="18" t="n">
        <x:v>29</x:v>
      </x:c>
      <x:c r="B34" s="15" t="n">
        <x:f>'参数'!$B$16^(A34-1)</x:f>
        <x:v>2.691988197387106</x:v>
      </x:c>
      <x:c r="C34" s="15" t="n">
        <x:f>'参数'!$B$15^(A34-1)</x:f>
        <x:v>2.6201719570609607</x:v>
      </x:c>
      <x:c r="D34" s="15" t="n">
        <x:f>'参数'!$B$17^(A34-1)</x:f>
        <x:v>2.6201719570609607</x:v>
      </x:c>
      <x:c r="E34" s="21" t="n">
        <x:f>IF(A34&gt;40,'参数'!$B$54,0)+IF(A34&gt;80,'参数'!$B$55,0)</x:f>
        <x:v>0</x:v>
      </x:c>
      <x:c r="F34" s="18" t="n">
        <x:f>ROUND('参数'!$H$5*C34*(1+E34),0)</x:f>
        <x:v>328</x:v>
      </x:c>
      <x:c r="G34" s="18" t="n">
        <x:f>ROUND('参数'!$G$5*B34*(1+E34),0)</x:f>
        <x:v>2692</x:v>
      </x:c>
      <x:c r="H34" s="18" t="n">
        <x:f>ROUND('参数'!$I$5*D34*(1+E34),0)</x:f>
        <x:v>92</x:v>
      </x:c>
      <x:c r="I34" s="18" t="n">
        <x:f>ROUND('参数'!$H$6*C34*(1+E34),0)</x:f>
        <x:v>236</x:v>
      </x:c>
      <x:c r="J34" s="18" t="n">
        <x:f>ROUND('参数'!$G$6*B34*(1+E34),0)</x:f>
        <x:v>4038</x:v>
      </x:c>
      <x:c r="K34" s="18" t="n">
        <x:f>ROUND('参数'!$I$6*D34*(1+E34),0)</x:f>
        <x:v>170</x:v>
      </x:c>
      <x:c r="L34" s="18" t="n">
        <x:f>ROUND('参数'!$H$7*C34*(1+E34),0)</x:f>
        <x:v>183</x:v>
      </x:c>
      <x:c r="M34" s="18" t="n">
        <x:f>MAX(1,5*INT(A34/5))</x:f>
        <x:v>25</x:v>
      </x:c>
      <x:c r="N34" s="18" t="n">
        <x:f>'参数'!$B$18*'参数'!$B$19^(M34-1)*'参数'!$B$48*'参数'!$B$49*MIN(1,(A34-1)/19)</x:f>
        <x:v>98.49601921998604</x:v>
      </x:c>
      <x:c r="O34" s="18" t="n">
        <x:f>ROUND(F34+N34*'参数'!$K$21,0)</x:f>
        <x:v>609</x:v>
      </x:c>
      <x:c r="P34" s="18" t="n">
        <x:f>ROUND((J34+N34*'参数'!$L$21)*(1+'参数'!$B$40*MIN(1,(A34-1)/19)),0)</x:f>
        <x:v>6847</x:v>
      </x:c>
      <x:c r="Q34" s="18" t="n">
        <x:f>ROUND((K34+N34*'参数'!$M$21)*(1+'参数'!$B$41*MIN(1,(A34-1)/19)),0)</x:f>
        <x:v>377</x:v>
      </x:c>
      <x:c r="R34" s="21" t="n">
        <x:f>N34*'参数'!$K$21/O34</x:f>
        <x:v>0.4609419618669297</x:v>
      </x:c>
      <x:c r="S34" s="52" t="n">
        <x:f>INDEX('参数'!$I$59:$I$74,'参数'!$B$47+1)</x:f>
        <x:v>0</x:v>
      </x:c>
      <x:c r="T34" s="52" t="n">
        <x:f>INDEX('参数'!$J$59:$J$74,'参数'!$B$47+1)</x:f>
        <x:v>0</x:v>
      </x:c>
    </x:row>
    <x:row r="35" ht="22" customHeight="1">
      <x:c r="A35" s="19" t="n">
        <x:v>30</x:v>
      </x:c>
      <x:c r="B35" s="20" t="n">
        <x:f>'参数'!$B$16^(A35-1)</x:f>
        <x:v>2.7888997724930418</x:v>
      </x:c>
      <x:c r="C35" s="20" t="n">
        <x:f>'参数'!$B$15^(A35-1)</x:f>
        <x:v>2.711877975558094</x:v>
      </x:c>
      <x:c r="D35" s="20" t="n">
        <x:f>'参数'!$B$17^(A35-1)</x:f>
        <x:v>2.711877975558094</x:v>
      </x:c>
      <x:c r="E35" s="22" t="n">
        <x:f>IF(A35&gt;40,'参数'!$B$54,0)+IF(A35&gt;80,'参数'!$B$55,0)</x:f>
        <x:v>0</x:v>
      </x:c>
      <x:c r="F35" s="19" t="n">
        <x:f>ROUND('参数'!$H$5*C35*(1+E35),0)</x:f>
        <x:v>339</x:v>
      </x:c>
      <x:c r="G35" s="19" t="n">
        <x:f>ROUND('参数'!$G$5*B35*(1+E35),0)</x:f>
        <x:v>2789</x:v>
      </x:c>
      <x:c r="H35" s="19" t="n">
        <x:f>ROUND('参数'!$I$5*D35*(1+E35),0)</x:f>
        <x:v>95</x:v>
      </x:c>
      <x:c r="I35" s="19" t="n">
        <x:f>ROUND('参数'!$H$6*C35*(1+E35),0)</x:f>
        <x:v>244</x:v>
      </x:c>
      <x:c r="J35" s="19" t="n">
        <x:f>ROUND('参数'!$G$6*B35*(1+E35),0)</x:f>
        <x:v>4183</x:v>
      </x:c>
      <x:c r="K35" s="19" t="n">
        <x:f>ROUND('参数'!$I$6*D35*(1+E35),0)</x:f>
        <x:v>176</x:v>
      </x:c>
      <x:c r="L35" s="19" t="n">
        <x:f>ROUND('参数'!$H$7*C35*(1+E35),0)</x:f>
        <x:v>190</x:v>
      </x:c>
      <x:c r="M35" s="19" t="n">
        <x:f>MAX(1,5*INT(A35/5))</x:f>
        <x:v>30</x:v>
      </x:c>
      <x:c r="N35" s="19" t="n">
        <x:f>'参数'!$B$18*'参数'!$B$19^(M35-1)*'参数'!$B$48*'参数'!$B$49*MIN(1,(A35-1)/19)</x:f>
        <x:v>118.11701428451364</x:v>
      </x:c>
      <x:c r="O35" s="19" t="n">
        <x:f>ROUND(F35+N35*'参数'!$K$21,0)</x:f>
        <x:v>676</x:v>
      </x:c>
      <x:c r="P35" s="19" t="n">
        <x:f>ROUND((J35+N35*'参数'!$L$21)*(1+'参数'!$B$40*MIN(1,(A35-1)/19)),0)</x:f>
        <x:v>7486</x:v>
      </x:c>
      <x:c r="Q35" s="19" t="n">
        <x:f>ROUND((K35+N35*'参数'!$M$21)*(1+'参数'!$B$41*MIN(1,(A35-1)/19)),0)</x:f>
        <x:v>421</x:v>
      </x:c>
      <x:c r="R35" s="22" t="n">
        <x:f>N35*'参数'!$K$21/O35</x:f>
        <x:v>0.4979785365545324</x:v>
      </x:c>
      <x:c r="S35" s="52" t="n">
        <x:f>INDEX('参数'!$I$59:$I$74,'参数'!$B$47+1)</x:f>
        <x:v>0</x:v>
      </x:c>
      <x:c r="T35" s="52" t="n">
        <x:f>INDEX('参数'!$J$59:$J$74,'参数'!$B$47+1)</x:f>
        <x:v>0</x:v>
      </x:c>
    </x:row>
    <x:row r="36" ht="22" customHeight="1">
      <x:c r="A36" s="18" t="n">
        <x:v>31</x:v>
      </x:c>
      <x:c r="B36" s="15" t="n">
        <x:f>'参数'!$B$16^(A36-1)</x:f>
        <x:v>2.889300164302792</x:v>
      </x:c>
      <x:c r="C36" s="15" t="n">
        <x:f>'参数'!$B$15^(A36-1)</x:f>
        <x:v>2.8067937047026272</x:v>
      </x:c>
      <x:c r="D36" s="15" t="n">
        <x:f>'参数'!$B$17^(A36-1)</x:f>
        <x:v>2.8067937047026272</x:v>
      </x:c>
      <x:c r="E36" s="21" t="n">
        <x:f>IF(A36&gt;40,'参数'!$B$54,0)+IF(A36&gt;80,'参数'!$B$55,0)</x:f>
        <x:v>0</x:v>
      </x:c>
      <x:c r="F36" s="18" t="n">
        <x:f>ROUND('参数'!$H$5*C36*(1+E36),0)</x:f>
        <x:v>351</x:v>
      </x:c>
      <x:c r="G36" s="18" t="n">
        <x:f>ROUND('参数'!$G$5*B36*(1+E36),0)</x:f>
        <x:v>2889</x:v>
      </x:c>
      <x:c r="H36" s="18" t="n">
        <x:f>ROUND('参数'!$I$5*D36*(1+E36),0)</x:f>
        <x:v>98</x:v>
      </x:c>
      <x:c r="I36" s="18" t="n">
        <x:f>ROUND('参数'!$H$6*C36*(1+E36),0)</x:f>
        <x:v>253</x:v>
      </x:c>
      <x:c r="J36" s="18" t="n">
        <x:f>ROUND('参数'!$G$6*B36*(1+E36),0)</x:f>
        <x:v>4334</x:v>
      </x:c>
      <x:c r="K36" s="18" t="n">
        <x:f>ROUND('参数'!$I$6*D36*(1+E36),0)</x:f>
        <x:v>182</x:v>
      </x:c>
      <x:c r="L36" s="18" t="n">
        <x:f>ROUND('参数'!$H$7*C36*(1+E36),0)</x:f>
        <x:v>196</x:v>
      </x:c>
      <x:c r="M36" s="18" t="n">
        <x:f>MAX(1,5*INT(A36/5))</x:f>
        <x:v>30</x:v>
      </x:c>
      <x:c r="N36" s="18" t="n">
        <x:f>'参数'!$B$18*'参数'!$B$19^(M36-1)*'参数'!$B$48*'参数'!$B$49*MIN(1,(A36-1)/19)</x:f>
        <x:v>118.11701428451364</x:v>
      </x:c>
      <x:c r="O36" s="18" t="n">
        <x:f>ROUND(F36+N36*'参数'!$K$21,0)</x:f>
        <x:v>688</x:v>
      </x:c>
      <x:c r="P36" s="18" t="n">
        <x:f>ROUND((J36+N36*'参数'!$L$21)*(1+'参数'!$B$40*MIN(1,(A36-1)/19)),0)</x:f>
        <x:v>7652</x:v>
      </x:c>
      <x:c r="Q36" s="18" t="n">
        <x:f>ROUND((K36+N36*'参数'!$M$21)*(1+'参数'!$B$41*MIN(1,(A36-1)/19)),0)</x:f>
        <x:v>428</x:v>
      </x:c>
      <x:c r="R36" s="21" t="n">
        <x:f>N36*'参数'!$K$21/O36</x:f>
        <x:v>0.48929286440532543</x:v>
      </x:c>
      <x:c r="S36" s="52" t="n">
        <x:f>INDEX('参数'!$I$59:$I$74,'参数'!$B$47+1)</x:f>
        <x:v>0</x:v>
      </x:c>
      <x:c r="T36" s="52" t="n">
        <x:f>INDEX('参数'!$J$59:$J$74,'参数'!$B$47+1)</x:f>
        <x:v>0</x:v>
      </x:c>
    </x:row>
    <x:row r="37" ht="22" customHeight="1">
      <x:c r="A37" s="19" t="n">
        <x:v>32</x:v>
      </x:c>
      <x:c r="B37" s="20" t="n">
        <x:f>'参数'!$B$16^(A37-1)</x:f>
        <x:v>2.993314970217692</x:v>
      </x:c>
      <x:c r="C37" s="20" t="n">
        <x:f>'参数'!$B$15^(A37-1)</x:f>
        <x:v>2.905031484367219</x:v>
      </x:c>
      <x:c r="D37" s="20" t="n">
        <x:f>'参数'!$B$17^(A37-1)</x:f>
        <x:v>2.905031484367219</x:v>
      </x:c>
      <x:c r="E37" s="22" t="n">
        <x:f>IF(A37&gt;40,'参数'!$B$54,0)+IF(A37&gt;80,'参数'!$B$55,0)</x:f>
        <x:v>0</x:v>
      </x:c>
      <x:c r="F37" s="19" t="n">
        <x:f>ROUND('参数'!$H$5*C37*(1+E37),0)</x:f>
        <x:v>363</x:v>
      </x:c>
      <x:c r="G37" s="19" t="n">
        <x:f>ROUND('参数'!$G$5*B37*(1+E37),0)</x:f>
        <x:v>2993</x:v>
      </x:c>
      <x:c r="H37" s="19" t="n">
        <x:f>ROUND('参数'!$I$5*D37*(1+E37),0)</x:f>
        <x:v>102</x:v>
      </x:c>
      <x:c r="I37" s="19" t="n">
        <x:f>ROUND('参数'!$H$6*C37*(1+E37),0)</x:f>
        <x:v>261</x:v>
      </x:c>
      <x:c r="J37" s="19" t="n">
        <x:f>ROUND('参数'!$G$6*B37*(1+E37),0)</x:f>
        <x:v>4490</x:v>
      </x:c>
      <x:c r="K37" s="19" t="n">
        <x:f>ROUND('参数'!$I$6*D37*(1+E37),0)</x:f>
        <x:v>189</x:v>
      </x:c>
      <x:c r="L37" s="19" t="n">
        <x:f>ROUND('参数'!$H$7*C37*(1+E37),0)</x:f>
        <x:v>203</x:v>
      </x:c>
      <x:c r="M37" s="19" t="n">
        <x:f>MAX(1,5*INT(A37/5))</x:f>
        <x:v>30</x:v>
      </x:c>
      <x:c r="N37" s="19" t="n">
        <x:f>'参数'!$B$18*'参数'!$B$19^(M37-1)*'参数'!$B$48*'参数'!$B$49*MIN(1,(A37-1)/19)</x:f>
        <x:v>118.11701428451364</x:v>
      </x:c>
      <x:c r="O37" s="19" t="n">
        <x:f>ROUND(F37+N37*'参数'!$K$21,0)</x:f>
        <x:v>700</x:v>
      </x:c>
      <x:c r="P37" s="19" t="n">
        <x:f>ROUND((J37+N37*'参数'!$L$21)*(1+'参数'!$B$40*MIN(1,(A37-1)/19)),0)</x:f>
        <x:v>7823</x:v>
      </x:c>
      <x:c r="Q37" s="19" t="n">
        <x:f>ROUND((K37+N37*'参数'!$M$21)*(1+'参数'!$B$41*MIN(1,(A37-1)/19)),0)</x:f>
        <x:v>435</x:v>
      </x:c>
      <x:c r="R37" s="22" t="n">
        <x:f>N37*'参数'!$K$21/O37</x:f>
        <x:v>0.4809049867298056</x:v>
      </x:c>
      <x:c r="S37" s="52" t="n">
        <x:f>INDEX('参数'!$I$59:$I$74,'参数'!$B$47+1)</x:f>
        <x:v>0</x:v>
      </x:c>
      <x:c r="T37" s="52" t="n">
        <x:f>INDEX('参数'!$J$59:$J$74,'参数'!$B$47+1)</x:f>
        <x:v>0</x:v>
      </x:c>
    </x:row>
    <x:row r="38" ht="22" customHeight="1">
      <x:c r="A38" s="18" t="n">
        <x:v>33</x:v>
      </x:c>
      <x:c r="B38" s="15" t="n">
        <x:f>'参数'!$B$16^(A38-1)</x:f>
        <x:v>3.1010743091455293</x:v>
      </x:c>
      <x:c r="C38" s="15" t="n">
        <x:f>'参数'!$B$15^(A38-1)</x:f>
        <x:v>3.006707586320071</x:v>
      </x:c>
      <x:c r="D38" s="15" t="n">
        <x:f>'参数'!$B$17^(A38-1)</x:f>
        <x:v>3.006707586320071</x:v>
      </x:c>
      <x:c r="E38" s="21" t="n">
        <x:f>IF(A38&gt;40,'参数'!$B$54,0)+IF(A38&gt;80,'参数'!$B$55,0)</x:f>
        <x:v>0</x:v>
      </x:c>
      <x:c r="F38" s="18" t="n">
        <x:f>ROUND('参数'!$H$5*C38*(1+E38),0)</x:f>
        <x:v>376</x:v>
      </x:c>
      <x:c r="G38" s="18" t="n">
        <x:f>ROUND('参数'!$G$5*B38*(1+E38),0)</x:f>
        <x:v>3101</x:v>
      </x:c>
      <x:c r="H38" s="18" t="n">
        <x:f>ROUND('参数'!$I$5*D38*(1+E38),0)</x:f>
        <x:v>105</x:v>
      </x:c>
      <x:c r="I38" s="18" t="n">
        <x:f>ROUND('参数'!$H$6*C38*(1+E38),0)</x:f>
        <x:v>271</x:v>
      </x:c>
      <x:c r="J38" s="18" t="n">
        <x:f>ROUND('参数'!$G$6*B38*(1+E38),0)</x:f>
        <x:v>4652</x:v>
      </x:c>
      <x:c r="K38" s="18" t="n">
        <x:f>ROUND('参数'!$I$6*D38*(1+E38),0)</x:f>
        <x:v>195</x:v>
      </x:c>
      <x:c r="L38" s="18" t="n">
        <x:f>ROUND('参数'!$H$7*C38*(1+E38),0)</x:f>
        <x:v>210</x:v>
      </x:c>
      <x:c r="M38" s="18" t="n">
        <x:f>MAX(1,5*INT(A38/5))</x:f>
        <x:v>30</x:v>
      </x:c>
      <x:c r="N38" s="18" t="n">
        <x:f>'参数'!$B$18*'参数'!$B$19^(M38-1)*'参数'!$B$48*'参数'!$B$49*MIN(1,(A38-1)/19)</x:f>
        <x:v>118.11701428451364</x:v>
      </x:c>
      <x:c r="O38" s="18" t="n">
        <x:f>ROUND(F38+N38*'参数'!$K$21,0)</x:f>
        <x:v>713</x:v>
      </x:c>
      <x:c r="P38" s="18" t="n">
        <x:f>ROUND((J38+N38*'参数'!$L$21)*(1+'参数'!$B$40*MIN(1,(A38-1)/19)),0)</x:f>
        <x:v>8002</x:v>
      </x:c>
      <x:c r="Q38" s="18" t="n">
        <x:f>ROUND((K38+N38*'参数'!$M$21)*(1+'参数'!$B$41*MIN(1,(A38-1)/19)),0)</x:f>
        <x:v>442</x:v>
      </x:c>
      <x:c r="R38" s="21" t="n">
        <x:f>N38*'参数'!$K$21/O38</x:f>
        <x:v>0.47213673311481613</x:v>
      </x:c>
      <x:c r="S38" s="52" t="n">
        <x:f>INDEX('参数'!$I$59:$I$74,'参数'!$B$47+1)</x:f>
        <x:v>0</x:v>
      </x:c>
      <x:c r="T38" s="52" t="n">
        <x:f>INDEX('参数'!$J$59:$J$74,'参数'!$B$47+1)</x:f>
        <x:v>0</x:v>
      </x:c>
    </x:row>
    <x:row r="39" ht="22" customHeight="1">
      <x:c r="A39" s="19" t="n">
        <x:v>34</x:v>
      </x:c>
      <x:c r="B39" s="20" t="n">
        <x:f>'参数'!$B$16^(A39-1)</x:f>
        <x:v>3.212712984274768</x:v>
      </x:c>
      <x:c r="C39" s="20" t="n">
        <x:f>'参数'!$B$15^(A39-1)</x:f>
        <x:v>3.1119423518412734</x:v>
      </x:c>
      <x:c r="D39" s="20" t="n">
        <x:f>'参数'!$B$17^(A39-1)</x:f>
        <x:v>3.1119423518412734</x:v>
      </x:c>
      <x:c r="E39" s="22" t="n">
        <x:f>IF(A39&gt;40,'参数'!$B$54,0)+IF(A39&gt;80,'参数'!$B$55,0)</x:f>
        <x:v>0</x:v>
      </x:c>
      <x:c r="F39" s="19" t="n">
        <x:f>ROUND('参数'!$H$5*C39*(1+E39),0)</x:f>
        <x:v>389</x:v>
      </x:c>
      <x:c r="G39" s="19" t="n">
        <x:f>ROUND('参数'!$G$5*B39*(1+E39),0)</x:f>
        <x:v>3213</x:v>
      </x:c>
      <x:c r="H39" s="19" t="n">
        <x:f>ROUND('参数'!$I$5*D39*(1+E39),0)</x:f>
        <x:v>109</x:v>
      </x:c>
      <x:c r="I39" s="19" t="n">
        <x:f>ROUND('参数'!$H$6*C39*(1+E39),0)</x:f>
        <x:v>280</x:v>
      </x:c>
      <x:c r="J39" s="19" t="n">
        <x:f>ROUND('参数'!$G$6*B39*(1+E39),0)</x:f>
        <x:v>4819</x:v>
      </x:c>
      <x:c r="K39" s="19" t="n">
        <x:f>ROUND('参数'!$I$6*D39*(1+E39),0)</x:f>
        <x:v>202</x:v>
      </x:c>
      <x:c r="L39" s="19" t="n">
        <x:f>ROUND('参数'!$H$7*C39*(1+E39),0)</x:f>
        <x:v>218</x:v>
      </x:c>
      <x:c r="M39" s="19" t="n">
        <x:f>MAX(1,5*INT(A39/5))</x:f>
        <x:v>30</x:v>
      </x:c>
      <x:c r="N39" s="19" t="n">
        <x:f>'参数'!$B$18*'参数'!$B$19^(M39-1)*'参数'!$B$48*'参数'!$B$49*MIN(1,(A39-1)/19)</x:f>
        <x:v>118.11701428451364</x:v>
      </x:c>
      <x:c r="O39" s="19" t="n">
        <x:f>ROUND(F39+N39*'参数'!$K$21,0)</x:f>
        <x:v>726</x:v>
      </x:c>
      <x:c r="P39" s="19" t="n">
        <x:f>ROUND((J39+N39*'参数'!$L$21)*(1+'参数'!$B$40*MIN(1,(A39-1)/19)),0)</x:f>
        <x:v>8185</x:v>
      </x:c>
      <x:c r="Q39" s="19" t="n">
        <x:f>ROUND((K39+N39*'参数'!$M$21)*(1+'参数'!$B$41*MIN(1,(A39-1)/19)),0)</x:f>
        <x:v>450</x:v>
      </x:c>
      <x:c r="R39" s="22" t="n">
        <x:f>N39*'参数'!$K$21/O39</x:f>
        <x:v>0.46368249409209905</x:v>
      </x:c>
      <x:c r="S39" s="52" t="n">
        <x:f>INDEX('参数'!$I$59:$I$74,'参数'!$B$47+1)</x:f>
        <x:v>0</x:v>
      </x:c>
      <x:c r="T39" s="52" t="n">
        <x:f>INDEX('参数'!$J$59:$J$74,'参数'!$B$47+1)</x:f>
        <x:v>0</x:v>
      </x:c>
    </x:row>
    <x:row r="40" ht="22" customHeight="1">
      <x:c r="A40" s="18" t="n">
        <x:v>35</x:v>
      </x:c>
      <x:c r="B40" s="15" t="n">
        <x:f>'参数'!$B$16^(A40-1)</x:f>
        <x:v>3.32837065170866</x:v>
      </x:c>
      <x:c r="C40" s="15" t="n">
        <x:f>'参数'!$B$15^(A40-1)</x:f>
        <x:v>3.220860334155718</x:v>
      </x:c>
      <x:c r="D40" s="15" t="n">
        <x:f>'参数'!$B$17^(A40-1)</x:f>
        <x:v>3.220860334155718</x:v>
      </x:c>
      <x:c r="E40" s="21" t="n">
        <x:f>IF(A40&gt;40,'参数'!$B$54,0)+IF(A40&gt;80,'参数'!$B$55,0)</x:f>
        <x:v>0</x:v>
      </x:c>
      <x:c r="F40" s="18" t="n">
        <x:f>ROUND('参数'!$H$5*C40*(1+E40),0)</x:f>
        <x:v>403</x:v>
      </x:c>
      <x:c r="G40" s="18" t="n">
        <x:f>ROUND('参数'!$G$5*B40*(1+E40),0)</x:f>
        <x:v>3328</x:v>
      </x:c>
      <x:c r="H40" s="18" t="n">
        <x:f>ROUND('参数'!$I$5*D40*(1+E40),0)</x:f>
        <x:v>113</x:v>
      </x:c>
      <x:c r="I40" s="18" t="n">
        <x:f>ROUND('参数'!$H$6*C40*(1+E40),0)</x:f>
        <x:v>290</x:v>
      </x:c>
      <x:c r="J40" s="18" t="n">
        <x:f>ROUND('参数'!$G$6*B40*(1+E40),0)</x:f>
        <x:v>4993</x:v>
      </x:c>
      <x:c r="K40" s="18" t="n">
        <x:f>ROUND('参数'!$I$6*D40*(1+E40),0)</x:f>
        <x:v>209</x:v>
      </x:c>
      <x:c r="L40" s="18" t="n">
        <x:f>ROUND('参数'!$H$7*C40*(1+E40),0)</x:f>
        <x:v>225</x:v>
      </x:c>
      <x:c r="M40" s="18" t="n">
        <x:f>MAX(1,5*INT(A40/5))</x:f>
        <x:v>35</x:v>
      </x:c>
      <x:c r="N40" s="18" t="n">
        <x:f>'参数'!$B$18*'参数'!$B$19^(M40-1)*'参数'!$B$48*'参数'!$B$49*MIN(1,(A40-1)/19)</x:f>
        <x:v>141.64662870615834</x:v>
      </x:c>
      <x:c r="O40" s="18" t="n">
        <x:f>ROUND(F40+N40*'参数'!$K$21,0)</x:f>
        <x:v>807</x:v>
      </x:c>
      <x:c r="P40" s="18" t="n">
        <x:f>ROUND((J40+N40*'参数'!$L$21)*(1+'参数'!$B$40*MIN(1,(A40-1)/19)),0)</x:f>
        <x:v>8951</x:v>
      </x:c>
      <x:c r="Q40" s="18" t="n">
        <x:f>ROUND((K40+N40*'参数'!$M$21)*(1+'参数'!$B$41*MIN(1,(A40-1)/19)),0)</x:f>
        <x:v>503</x:v>
      </x:c>
      <x:c r="R40" s="21" t="n">
        <x:f>N40*'参数'!$K$21/O40</x:f>
        <x:v>0.5002390233117117</x:v>
      </x:c>
      <x:c r="S40" s="52" t="n">
        <x:f>INDEX('参数'!$I$59:$I$74,'参数'!$B$47+1)</x:f>
        <x:v>0</x:v>
      </x:c>
      <x:c r="T40" s="52" t="n">
        <x:f>INDEX('参数'!$J$59:$J$74,'参数'!$B$47+1)</x:f>
        <x:v>0</x:v>
      </x:c>
    </x:row>
    <x:row r="41" ht="22" customHeight="1">
      <x:c r="A41" s="19" t="n">
        <x:v>36</x:v>
      </x:c>
      <x:c r="B41" s="20" t="n">
        <x:f>'参数'!$B$16^(A41-1)</x:f>
        <x:v>3.448191995170172</x:v>
      </x:c>
      <x:c r="C41" s="20" t="n">
        <x:f>'参数'!$B$15^(A41-1)</x:f>
        <x:v>3.3335904458511676</x:v>
      </x:c>
      <x:c r="D41" s="20" t="n">
        <x:f>'参数'!$B$17^(A41-1)</x:f>
        <x:v>3.3335904458511676</x:v>
      </x:c>
      <x:c r="E41" s="22" t="n">
        <x:f>IF(A41&gt;40,'参数'!$B$54,0)+IF(A41&gt;80,'参数'!$B$55,0)</x:f>
        <x:v>0</x:v>
      </x:c>
      <x:c r="F41" s="19" t="n">
        <x:f>ROUND('参数'!$H$5*C41*(1+E41),0)</x:f>
        <x:v>417</x:v>
      </x:c>
      <x:c r="G41" s="19" t="n">
        <x:f>ROUND('参数'!$G$5*B41*(1+E41),0)</x:f>
        <x:v>3448</x:v>
      </x:c>
      <x:c r="H41" s="19" t="n">
        <x:f>ROUND('参数'!$I$5*D41*(1+E41),0)</x:f>
        <x:v>117</x:v>
      </x:c>
      <x:c r="I41" s="19" t="n">
        <x:f>ROUND('参数'!$H$6*C41*(1+E41),0)</x:f>
        <x:v>300</x:v>
      </x:c>
      <x:c r="J41" s="19" t="n">
        <x:f>ROUND('参数'!$G$6*B41*(1+E41),0)</x:f>
        <x:v>5172</x:v>
      </x:c>
      <x:c r="K41" s="19" t="n">
        <x:f>ROUND('参数'!$I$6*D41*(1+E41),0)</x:f>
        <x:v>217</x:v>
      </x:c>
      <x:c r="L41" s="19" t="n">
        <x:f>ROUND('参数'!$H$7*C41*(1+E41),0)</x:f>
        <x:v>233</x:v>
      </x:c>
      <x:c r="M41" s="19" t="n">
        <x:f>MAX(1,5*INT(A41/5))</x:f>
        <x:v>35</x:v>
      </x:c>
      <x:c r="N41" s="19" t="n">
        <x:f>'参数'!$B$18*'参数'!$B$19^(M41-1)*'参数'!$B$48*'参数'!$B$49*MIN(1,(A41-1)/19)</x:f>
        <x:v>141.64662870615834</x:v>
      </x:c>
      <x:c r="O41" s="19" t="n">
        <x:f>ROUND(F41+N41*'参数'!$K$21,0)</x:f>
        <x:v>821</x:v>
      </x:c>
      <x:c r="P41" s="19" t="n">
        <x:f>ROUND((J41+N41*'参数'!$L$21)*(1+'参数'!$B$40*MIN(1,(A41-1)/19)),0)</x:f>
        <x:v>9148</x:v>
      </x:c>
      <x:c r="Q41" s="19" t="n">
        <x:f>ROUND((K41+N41*'参数'!$M$21)*(1+'参数'!$B$41*MIN(1,(A41-1)/19)),0)</x:f>
        <x:v>511</x:v>
      </x:c>
      <x:c r="R41" s="22" t="n">
        <x:f>N41*'参数'!$K$21/O41</x:f>
        <x:v>0.4917087598204035</x:v>
      </x:c>
      <x:c r="S41" s="52" t="n">
        <x:f>INDEX('参数'!$I$59:$I$74,'参数'!$B$47+1)</x:f>
        <x:v>0</x:v>
      </x:c>
      <x:c r="T41" s="52" t="n">
        <x:f>INDEX('参数'!$J$59:$J$74,'参数'!$B$47+1)</x:f>
        <x:v>0</x:v>
      </x:c>
    </x:row>
    <x:row r="42" ht="22" customHeight="1">
      <x:c r="A42" s="18" t="n">
        <x:v>37</x:v>
      </x:c>
      <x:c r="B42" s="15" t="n">
        <x:f>'参数'!$B$16^(A42-1)</x:f>
        <x:v>3.5723269069962984</x:v>
      </x:c>
      <x:c r="C42" s="15" t="n">
        <x:f>'参数'!$B$15^(A42-1)</x:f>
        <x:v>3.4502661114559583</x:v>
      </x:c>
      <x:c r="D42" s="15" t="n">
        <x:f>'参数'!$B$17^(A42-1)</x:f>
        <x:v>3.4502661114559583</x:v>
      </x:c>
      <x:c r="E42" s="21" t="n">
        <x:f>IF(A42&gt;40,'参数'!$B$54,0)+IF(A42&gt;80,'参数'!$B$55,0)</x:f>
        <x:v>0</x:v>
      </x:c>
      <x:c r="F42" s="18" t="n">
        <x:f>ROUND('参数'!$H$5*C42*(1+E42),0)</x:f>
        <x:v>431</x:v>
      </x:c>
      <x:c r="G42" s="18" t="n">
        <x:f>ROUND('参数'!$G$5*B42*(1+E42),0)</x:f>
        <x:v>3572</x:v>
      </x:c>
      <x:c r="H42" s="18" t="n">
        <x:f>ROUND('参数'!$I$5*D42*(1+E42),0)</x:f>
        <x:v>121</x:v>
      </x:c>
      <x:c r="I42" s="18" t="n">
        <x:f>ROUND('参数'!$H$6*C42*(1+E42),0)</x:f>
        <x:v>311</x:v>
      </x:c>
      <x:c r="J42" s="18" t="n">
        <x:f>ROUND('参数'!$G$6*B42*(1+E42),0)</x:f>
        <x:v>5358</x:v>
      </x:c>
      <x:c r="K42" s="18" t="n">
        <x:f>ROUND('参数'!$I$6*D42*(1+E42),0)</x:f>
        <x:v>224</x:v>
      </x:c>
      <x:c r="L42" s="18" t="n">
        <x:f>ROUND('参数'!$H$7*C42*(1+E42),0)</x:f>
        <x:v>242</x:v>
      </x:c>
      <x:c r="M42" s="18" t="n">
        <x:f>MAX(1,5*INT(A42/5))</x:f>
        <x:v>35</x:v>
      </x:c>
      <x:c r="N42" s="18" t="n">
        <x:f>'参数'!$B$18*'参数'!$B$19^(M42-1)*'参数'!$B$48*'参数'!$B$49*MIN(1,(A42-1)/19)</x:f>
        <x:v>141.64662870615834</x:v>
      </x:c>
      <x:c r="O42" s="18" t="n">
        <x:f>ROUND(F42+N42*'参数'!$K$21,0)</x:f>
        <x:v>835</x:v>
      </x:c>
      <x:c r="P42" s="18" t="n">
        <x:f>ROUND((J42+N42*'参数'!$L$21)*(1+'参数'!$B$40*MIN(1,(A42-1)/19)),0)</x:f>
        <x:v>9353</x:v>
      </x:c>
      <x:c r="Q42" s="18" t="n">
        <x:f>ROUND((K42+N42*'参数'!$M$21)*(1+'参数'!$B$41*MIN(1,(A42-1)/19)),0)</x:f>
        <x:v>519</x:v>
      </x:c>
      <x:c r="R42" s="21" t="n">
        <x:f>N42*'参数'!$K$21/O42</x:f>
        <x:v>0.4834645410928758</x:v>
      </x:c>
      <x:c r="S42" s="52" t="n">
        <x:f>INDEX('参数'!$I$59:$I$74,'参数'!$B$47+1)</x:f>
        <x:v>0</x:v>
      </x:c>
      <x:c r="T42" s="52" t="n">
        <x:f>INDEX('参数'!$J$59:$J$74,'参数'!$B$47+1)</x:f>
        <x:v>0</x:v>
      </x:c>
    </x:row>
    <x:row r="43" ht="22" customHeight="1">
      <x:c r="A43" s="19" t="n">
        <x:v>38</x:v>
      </x:c>
      <x:c r="B43" s="20" t="n">
        <x:f>'参数'!$B$16^(A43-1)</x:f>
        <x:v>3.700930675648165</x:v>
      </x:c>
      <x:c r="C43" s="20" t="n">
        <x:f>'参数'!$B$15^(A43-1)</x:f>
        <x:v>3.5710254253569165</x:v>
      </x:c>
      <x:c r="D43" s="20" t="n">
        <x:f>'参数'!$B$17^(A43-1)</x:f>
        <x:v>3.5710254253569165</x:v>
      </x:c>
      <x:c r="E43" s="22" t="n">
        <x:f>IF(A43&gt;40,'参数'!$B$54,0)+IF(A43&gt;80,'参数'!$B$55,0)</x:f>
        <x:v>0</x:v>
      </x:c>
      <x:c r="F43" s="19" t="n">
        <x:f>ROUND('参数'!$H$5*C43*(1+E43),0)</x:f>
        <x:v>446</x:v>
      </x:c>
      <x:c r="G43" s="19" t="n">
        <x:f>ROUND('参数'!$G$5*B43*(1+E43),0)</x:f>
        <x:v>3701</x:v>
      </x:c>
      <x:c r="H43" s="19" t="n">
        <x:f>ROUND('参数'!$I$5*D43*(1+E43),0)</x:f>
        <x:v>125</x:v>
      </x:c>
      <x:c r="I43" s="19" t="n">
        <x:f>ROUND('参数'!$H$6*C43*(1+E43),0)</x:f>
        <x:v>321</x:v>
      </x:c>
      <x:c r="J43" s="19" t="n">
        <x:f>ROUND('参数'!$G$6*B43*(1+E43),0)</x:f>
        <x:v>5551</x:v>
      </x:c>
      <x:c r="K43" s="19" t="n">
        <x:f>ROUND('参数'!$I$6*D43*(1+E43),0)</x:f>
        <x:v>232</x:v>
      </x:c>
      <x:c r="L43" s="19" t="n">
        <x:f>ROUND('参数'!$H$7*C43*(1+E43),0)</x:f>
        <x:v>250</x:v>
      </x:c>
      <x:c r="M43" s="19" t="n">
        <x:f>MAX(1,5*INT(A43/5))</x:f>
        <x:v>35</x:v>
      </x:c>
      <x:c r="N43" s="19" t="n">
        <x:f>'参数'!$B$18*'参数'!$B$19^(M43-1)*'参数'!$B$48*'参数'!$B$49*MIN(1,(A43-1)/19)</x:f>
        <x:v>141.64662870615834</x:v>
      </x:c>
      <x:c r="O43" s="19" t="n">
        <x:f>ROUND(F43+N43*'参数'!$K$21,0)</x:f>
        <x:v>850</x:v>
      </x:c>
      <x:c r="P43" s="19" t="n">
        <x:f>ROUND((J43+N43*'参数'!$L$21)*(1+'参数'!$B$40*MIN(1,(A43-1)/19)),0)</x:f>
        <x:v>9565</x:v>
      </x:c>
      <x:c r="Q43" s="19" t="n">
        <x:f>ROUND((K43+N43*'参数'!$M$21)*(1+'参数'!$B$41*MIN(1,(A43-1)/19)),0)</x:f>
        <x:v>528</x:v>
      </x:c>
      <x:c r="R43" s="22" t="n">
        <x:f>N43*'参数'!$K$21/O43</x:f>
        <x:v>0.47493281389711917</x:v>
      </x:c>
      <x:c r="S43" s="52" t="n">
        <x:f>INDEX('参数'!$I$59:$I$74,'参数'!$B$47+1)</x:f>
        <x:v>0</x:v>
      </x:c>
      <x:c r="T43" s="52" t="n">
        <x:f>INDEX('参数'!$J$59:$J$74,'参数'!$B$47+1)</x:f>
        <x:v>0</x:v>
      </x:c>
    </x:row>
    <x:row r="44" ht="22" customHeight="1">
      <x:c r="A44" s="18" t="n">
        <x:v>39</x:v>
      </x:c>
      <x:c r="B44" s="15" t="n">
        <x:f>'参数'!$B$16^(A44-1)</x:f>
        <x:v>3.8341641799714994</x:v>
      </x:c>
      <x:c r="C44" s="15" t="n">
        <x:f>'参数'!$B$15^(A44-1)</x:f>
        <x:v>3.6960113152444083</x:v>
      </x:c>
      <x:c r="D44" s="15" t="n">
        <x:f>'参数'!$B$17^(A44-1)</x:f>
        <x:v>3.6960113152444083</x:v>
      </x:c>
      <x:c r="E44" s="21" t="n">
        <x:f>IF(A44&gt;40,'参数'!$B$54,0)+IF(A44&gt;80,'参数'!$B$55,0)</x:f>
        <x:v>0</x:v>
      </x:c>
      <x:c r="F44" s="18" t="n">
        <x:f>ROUND('参数'!$H$5*C44*(1+E44),0)</x:f>
        <x:v>462</x:v>
      </x:c>
      <x:c r="G44" s="18" t="n">
        <x:f>ROUND('参数'!$G$5*B44*(1+E44),0)</x:f>
        <x:v>3834</x:v>
      </x:c>
      <x:c r="H44" s="18" t="n">
        <x:f>ROUND('参数'!$I$5*D44*(1+E44),0)</x:f>
        <x:v>129</x:v>
      </x:c>
      <x:c r="I44" s="18" t="n">
        <x:f>ROUND('参数'!$H$6*C44*(1+E44),0)</x:f>
        <x:v>333</x:v>
      </x:c>
      <x:c r="J44" s="18" t="n">
        <x:f>ROUND('参数'!$G$6*B44*(1+E44),0)</x:f>
        <x:v>5751</x:v>
      </x:c>
      <x:c r="K44" s="18" t="n">
        <x:f>ROUND('参数'!$I$6*D44*(1+E44),0)</x:f>
        <x:v>240</x:v>
      </x:c>
      <x:c r="L44" s="18" t="n">
        <x:f>ROUND('参数'!$H$7*C44*(1+E44),0)</x:f>
        <x:v>259</x:v>
      </x:c>
      <x:c r="M44" s="18" t="n">
        <x:f>MAX(1,5*INT(A44/5))</x:f>
        <x:v>35</x:v>
      </x:c>
      <x:c r="N44" s="18" t="n">
        <x:f>'参数'!$B$18*'参数'!$B$19^(M44-1)*'参数'!$B$48*'参数'!$B$49*MIN(1,(A44-1)/19)</x:f>
        <x:v>141.64662870615834</x:v>
      </x:c>
      <x:c r="O44" s="18" t="n">
        <x:f>ROUND(F44+N44*'参数'!$K$21,0)</x:f>
        <x:v>866</x:v>
      </x:c>
      <x:c r="P44" s="18" t="n">
        <x:f>ROUND((J44+N44*'参数'!$L$21)*(1+'参数'!$B$40*MIN(1,(A44-1)/19)),0)</x:f>
        <x:v>9785</x:v>
      </x:c>
      <x:c r="Q44" s="18" t="n">
        <x:f>ROUND((K44+N44*'参数'!$M$21)*(1+'参数'!$B$41*MIN(1,(A44-1)/19)),0)</x:f>
        <x:v>537</x:v>
      </x:c>
      <x:c r="R44" s="21" t="n">
        <x:f>N44*'参数'!$K$21/O44</x:f>
        <x:v>0.4661580736865488</x:v>
      </x:c>
      <x:c r="S44" s="52" t="n">
        <x:f>INDEX('参数'!$I$59:$I$74,'参数'!$B$47+1)</x:f>
        <x:v>0</x:v>
      </x:c>
      <x:c r="T44" s="52" t="n">
        <x:f>INDEX('参数'!$J$59:$J$74,'参数'!$B$47+1)</x:f>
        <x:v>0</x:v>
      </x:c>
    </x:row>
    <x:row r="45" ht="22" customHeight="1">
      <x:c r="A45" s="19" t="n">
        <x:v>40</x:v>
      </x:c>
      <x:c r="B45" s="20" t="n">
        <x:f>'参数'!$B$16^(A45-1)</x:f>
        <x:v>3.9721940904504733</x:v>
      </x:c>
      <x:c r="C45" s="20" t="n">
        <x:f>'参数'!$B$15^(A45-1)</x:f>
        <x:v>3.8253717112779624</x:v>
      </x:c>
      <x:c r="D45" s="20" t="n">
        <x:f>'参数'!$B$17^(A45-1)</x:f>
        <x:v>3.8253717112779624</x:v>
      </x:c>
      <x:c r="E45" s="22" t="n">
        <x:f>IF(A45&gt;40,'参数'!$B$54,0)+IF(A45&gt;80,'参数'!$B$55,0)</x:f>
        <x:v>0</x:v>
      </x:c>
      <x:c r="F45" s="19" t="n">
        <x:f>ROUND('参数'!$H$5*C45*(1+E45),0)</x:f>
        <x:v>478</x:v>
      </x:c>
      <x:c r="G45" s="19" t="n">
        <x:f>ROUND('参数'!$G$5*B45*(1+E45),0)</x:f>
        <x:v>3972</x:v>
      </x:c>
      <x:c r="H45" s="19" t="n">
        <x:f>ROUND('参数'!$I$5*D45*(1+E45),0)</x:f>
        <x:v>134</x:v>
      </x:c>
      <x:c r="I45" s="19" t="n">
        <x:f>ROUND('参数'!$H$6*C45*(1+E45),0)</x:f>
        <x:v>344</x:v>
      </x:c>
      <x:c r="J45" s="19" t="n">
        <x:f>ROUND('参数'!$G$6*B45*(1+E45),0)</x:f>
        <x:v>5958</x:v>
      </x:c>
      <x:c r="K45" s="19" t="n">
        <x:f>ROUND('参数'!$I$6*D45*(1+E45),0)</x:f>
        <x:v>249</x:v>
      </x:c>
      <x:c r="L45" s="19" t="n">
        <x:f>ROUND('参数'!$H$7*C45*(1+E45),0)</x:f>
        <x:v>268</x:v>
      </x:c>
      <x:c r="M45" s="19" t="n">
        <x:f>MAX(1,5*INT(A45/5))</x:f>
        <x:v>40</x:v>
      </x:c>
      <x:c r="N45" s="19" t="n">
        <x:f>'参数'!$B$18*'参数'!$B$19^(M45-1)*'参数'!$B$48*'参数'!$B$49*MIN(1,(A45-1)/19)</x:f>
        <x:v>169.86348279589765</x:v>
      </x:c>
      <x:c r="O45" s="19" t="n">
        <x:f>ROUND(F45+N45*'参数'!$K$21,0)</x:f>
        <x:v>962</x:v>
      </x:c>
      <x:c r="P45" s="19" t="n">
        <x:f>ROUND((J45+N45*'参数'!$L$21)*(1+'参数'!$B$40*MIN(1,(A45-1)/19)),0)</x:f>
        <x:v>10702</x:v>
      </x:c>
      <x:c r="Q45" s="19" t="n">
        <x:f>ROUND((K45+N45*'参数'!$M$21)*(1+'参数'!$B$41*MIN(1,(A45-1)/19)),0)</x:f>
        <x:v>601</x:v>
      </x:c>
      <x:c r="R45" s="22" t="n">
        <x:f>N45*'参数'!$K$21/O45</x:f>
        <x:v>0.5032338107778673</x:v>
      </x:c>
      <x:c r="S45" s="52" t="n">
        <x:f>INDEX('参数'!$I$59:$I$74,'参数'!$B$47+1)</x:f>
        <x:v>0</x:v>
      </x:c>
      <x:c r="T45" s="52" t="n">
        <x:f>INDEX('参数'!$J$59:$J$74,'参数'!$B$47+1)</x:f>
        <x:v>0</x:v>
      </x:c>
    </x:row>
    <x:row r="46" ht="22" customHeight="1">
      <x:c r="A46" s="18" t="n">
        <x:v>41</x:v>
      </x:c>
      <x:c r="B46" s="15" t="n">
        <x:f>'参数'!$B$16^(A46-1)</x:f>
        <x:v>4.1151930777066905</x:v>
      </x:c>
      <x:c r="C46" s="15" t="n">
        <x:f>'参数'!$B$15^(A46-1)</x:f>
        <x:v>3.9592597211726908</x:v>
      </x:c>
      <x:c r="D46" s="15" t="n">
        <x:f>'参数'!$B$17^(A46-1)</x:f>
        <x:v>3.9592597211726908</x:v>
      </x:c>
      <x:c r="E46" s="21" t="n">
        <x:f>IF(A46&gt;40,'参数'!$B$54,0)+IF(A46&gt;80,'参数'!$B$55,0)</x:f>
        <x:v>0.08</x:v>
      </x:c>
      <x:c r="F46" s="18" t="n">
        <x:f>ROUND('参数'!$H$5*C46*(1+E46),0)</x:f>
        <x:v>535</x:v>
      </x:c>
      <x:c r="G46" s="18" t="n">
        <x:f>ROUND('参数'!$G$5*B46*(1+E46),0)</x:f>
        <x:v>4444</x:v>
      </x:c>
      <x:c r="H46" s="18" t="n">
        <x:f>ROUND('参数'!$I$5*D46*(1+E46),0)</x:f>
        <x:v>150</x:v>
      </x:c>
      <x:c r="I46" s="18" t="n">
        <x:f>ROUND('参数'!$H$6*C46*(1+E46),0)</x:f>
        <x:v>385</x:v>
      </x:c>
      <x:c r="J46" s="18" t="n">
        <x:f>ROUND('参数'!$G$6*B46*(1+E46),0)</x:f>
        <x:v>6667</x:v>
      </x:c>
      <x:c r="K46" s="18" t="n">
        <x:f>ROUND('参数'!$I$6*D46*(1+E46),0)</x:f>
        <x:v>278</x:v>
      </x:c>
      <x:c r="L46" s="18" t="n">
        <x:f>ROUND('参数'!$H$7*C46*(1+E46),0)</x:f>
        <x:v>299</x:v>
      </x:c>
      <x:c r="M46" s="18" t="n">
        <x:f>MAX(1,5*INT(A46/5))</x:f>
        <x:v>40</x:v>
      </x:c>
      <x:c r="N46" s="18" t="n">
        <x:f>'参数'!$B$18*'参数'!$B$19^(M46-1)*'参数'!$B$48*'参数'!$B$49*MIN(1,(A46-1)/19)</x:f>
        <x:v>169.86348279589765</x:v>
      </x:c>
      <x:c r="O46" s="18" t="n">
        <x:f>ROUND(F46+N46*'参数'!$K$21,0)</x:f>
        <x:v>1019</x:v>
      </x:c>
      <x:c r="P46" s="18" t="n">
        <x:f>ROUND((J46+N46*'参数'!$L$21)*(1+'参数'!$B$40*MIN(1,(A46-1)/19)),0)</x:f>
        <x:v>11482</x:v>
      </x:c>
      <x:c r="Q46" s="18" t="n">
        <x:f>ROUND((K46+N46*'参数'!$M$21)*(1+'参数'!$B$41*MIN(1,(A46-1)/19)),0)</x:f>
        <x:v>633</x:v>
      </x:c>
      <x:c r="R46" s="21" t="n">
        <x:f>N46*'参数'!$K$21/O46</x:f>
        <x:v>0.47508432381580795</x:v>
      </x:c>
      <x:c r="S46" s="52" t="n">
        <x:f>INDEX('参数'!$I$59:$I$74,'参数'!$B$47+1)</x:f>
        <x:v>0</x:v>
      </x:c>
      <x:c r="T46" s="52" t="n">
        <x:f>INDEX('参数'!$J$59:$J$74,'参数'!$B$47+1)</x:f>
        <x:v>0</x:v>
      </x:c>
    </x:row>
    <x:row r="47" ht="22" customHeight="1">
      <x:c r="A47" s="19" t="n">
        <x:v>42</x:v>
      </x:c>
      <x:c r="B47" s="20" t="n">
        <x:f>'参数'!$B$16^(A47-1)</x:f>
        <x:v>4.263340028504132</x:v>
      </x:c>
      <x:c r="C47" s="20" t="n">
        <x:f>'参数'!$B$15^(A47-1)</x:f>
        <x:v>4.097833811413735</x:v>
      </x:c>
      <x:c r="D47" s="20" t="n">
        <x:f>'参数'!$B$17^(A47-1)</x:f>
        <x:v>4.097833811413735</x:v>
      </x:c>
      <x:c r="E47" s="22" t="n">
        <x:f>IF(A47&gt;40,'参数'!$B$54,0)+IF(A47&gt;80,'参数'!$B$55,0)</x:f>
        <x:v>0.08</x:v>
      </x:c>
      <x:c r="F47" s="19" t="n">
        <x:f>ROUND('参数'!$H$5*C47*(1+E47),0)</x:f>
        <x:v>553</x:v>
      </x:c>
      <x:c r="G47" s="19" t="n">
        <x:f>ROUND('参数'!$G$5*B47*(1+E47),0)</x:f>
        <x:v>4604</x:v>
      </x:c>
      <x:c r="H47" s="19" t="n">
        <x:f>ROUND('参数'!$I$5*D47*(1+E47),0)</x:f>
        <x:v>155</x:v>
      </x:c>
      <x:c r="I47" s="19" t="n">
        <x:f>ROUND('参数'!$H$6*C47*(1+E47),0)</x:f>
        <x:v>398</x:v>
      </x:c>
      <x:c r="J47" s="19" t="n">
        <x:f>ROUND('参数'!$G$6*B47*(1+E47),0)</x:f>
        <x:v>6907</x:v>
      </x:c>
      <x:c r="K47" s="19" t="n">
        <x:f>ROUND('参数'!$I$6*D47*(1+E47),0)</x:f>
        <x:v>288</x:v>
      </x:c>
      <x:c r="L47" s="19" t="n">
        <x:f>ROUND('参数'!$H$7*C47*(1+E47),0)</x:f>
        <x:v>310</x:v>
      </x:c>
      <x:c r="M47" s="19" t="n">
        <x:f>MAX(1,5*INT(A47/5))</x:f>
        <x:v>40</x:v>
      </x:c>
      <x:c r="N47" s="19" t="n">
        <x:f>'参数'!$B$18*'参数'!$B$19^(M47-1)*'参数'!$B$48*'参数'!$B$49*MIN(1,(A47-1)/19)</x:f>
        <x:v>169.86348279589765</x:v>
      </x:c>
      <x:c r="O47" s="19" t="n">
        <x:f>ROUND(F47+N47*'参数'!$K$21,0)</x:f>
        <x:v>1037</x:v>
      </x:c>
      <x:c r="P47" s="19" t="n">
        <x:f>ROUND((J47+N47*'参数'!$L$21)*(1+'参数'!$B$40*MIN(1,(A47-1)/19)),0)</x:f>
        <x:v>11746</x:v>
      </x:c>
      <x:c r="Q47" s="19" t="n">
        <x:f>ROUND((K47+N47*'参数'!$M$21)*(1+'参数'!$B$41*MIN(1,(A47-1)/19)),0)</x:f>
        <x:v>644</x:v>
      </x:c>
      <x:c r="R47" s="22" t="n">
        <x:f>N47*'参数'!$K$21/O47</x:f>
        <x:v>0.46683792282382675</x:v>
      </x:c>
      <x:c r="S47" s="52" t="n">
        <x:f>INDEX('参数'!$I$59:$I$74,'参数'!$B$47+1)</x:f>
        <x:v>0</x:v>
      </x:c>
      <x:c r="T47" s="52" t="n">
        <x:f>INDEX('参数'!$J$59:$J$74,'参数'!$B$47+1)</x:f>
        <x:v>0</x:v>
      </x:c>
    </x:row>
    <x:row r="48" ht="22" customHeight="1">
      <x:c r="A48" s="18" t="n">
        <x:v>43</x:v>
      </x:c>
      <x:c r="B48" s="15" t="n">
        <x:f>'参数'!$B$16^(A48-1)</x:f>
        <x:v>4.41682026953028</x:v>
      </x:c>
      <x:c r="C48" s="15" t="n">
        <x:f>'参数'!$B$15^(A48-1)</x:f>
        <x:v>4.241257994813215</x:v>
      </x:c>
      <x:c r="D48" s="15" t="n">
        <x:f>'参数'!$B$17^(A48-1)</x:f>
        <x:v>4.241257994813215</x:v>
      </x:c>
      <x:c r="E48" s="21" t="n">
        <x:f>IF(A48&gt;40,'参数'!$B$54,0)+IF(A48&gt;80,'参数'!$B$55,0)</x:f>
        <x:v>0.08</x:v>
      </x:c>
      <x:c r="F48" s="18" t="n">
        <x:f>ROUND('参数'!$H$5*C48*(1+E48),0)</x:f>
        <x:v>573</x:v>
      </x:c>
      <x:c r="G48" s="18" t="n">
        <x:f>ROUND('参数'!$G$5*B48*(1+E48),0)</x:f>
        <x:v>4770</x:v>
      </x:c>
      <x:c r="H48" s="18" t="n">
        <x:f>ROUND('参数'!$I$5*D48*(1+E48),0)</x:f>
        <x:v>160</x:v>
      </x:c>
      <x:c r="I48" s="18" t="n">
        <x:f>ROUND('参数'!$H$6*C48*(1+E48),0)</x:f>
        <x:v>412</x:v>
      </x:c>
      <x:c r="J48" s="18" t="n">
        <x:f>ROUND('参数'!$G$6*B48*(1+E48),0)</x:f>
        <x:v>7155</x:v>
      </x:c>
      <x:c r="K48" s="18" t="n">
        <x:f>ROUND('参数'!$I$6*D48*(1+E48),0)</x:f>
        <x:v>298</x:v>
      </x:c>
      <x:c r="L48" s="18" t="n">
        <x:f>ROUND('参数'!$H$7*C48*(1+E48),0)</x:f>
        <x:v>321</x:v>
      </x:c>
      <x:c r="M48" s="18" t="n">
        <x:f>MAX(1,5*INT(A48/5))</x:f>
        <x:v>40</x:v>
      </x:c>
      <x:c r="N48" s="18" t="n">
        <x:f>'参数'!$B$18*'参数'!$B$19^(M48-1)*'参数'!$B$48*'参数'!$B$49*MIN(1,(A48-1)/19)</x:f>
        <x:v>169.86348279589765</x:v>
      </x:c>
      <x:c r="O48" s="18" t="n">
        <x:f>ROUND(F48+N48*'参数'!$K$21,0)</x:f>
        <x:v>1057</x:v>
      </x:c>
      <x:c r="P48" s="18" t="n">
        <x:f>ROUND((J48+N48*'参数'!$L$21)*(1+'参数'!$B$40*MIN(1,(A48-1)/19)),0)</x:f>
        <x:v>12019</x:v>
      </x:c>
      <x:c r="Q48" s="18" t="n">
        <x:f>ROUND((K48+N48*'参数'!$M$21)*(1+'参数'!$B$41*MIN(1,(A48-1)/19)),0)</x:f>
        <x:v>655</x:v>
      </x:c>
      <x:c r="R48" s="21" t="n">
        <x:f>N48*'参数'!$K$21/O48</x:f>
        <x:v>0.45800466032952536</x:v>
      </x:c>
      <x:c r="S48" s="52" t="n">
        <x:f>INDEX('参数'!$I$59:$I$74,'参数'!$B$47+1)</x:f>
        <x:v>0</x:v>
      </x:c>
      <x:c r="T48" s="52" t="n">
        <x:f>INDEX('参数'!$J$59:$J$74,'参数'!$B$47+1)</x:f>
        <x:v>0</x:v>
      </x:c>
    </x:row>
    <x:row r="49" ht="22" customHeight="1">
      <x:c r="A49" s="19" t="n">
        <x:v>44</x:v>
      </x:c>
      <x:c r="B49" s="20" t="n">
        <x:f>'参数'!$B$16^(A49-1)</x:f>
        <x:v>4.57582579923337</x:v>
      </x:c>
      <x:c r="C49" s="20" t="n">
        <x:f>'参数'!$B$15^(A49-1)</x:f>
        <x:v>4.389702024631677</x:v>
      </x:c>
      <x:c r="D49" s="20" t="n">
        <x:f>'参数'!$B$17^(A49-1)</x:f>
        <x:v>4.389702024631677</x:v>
      </x:c>
      <x:c r="E49" s="22" t="n">
        <x:f>IF(A49&gt;40,'参数'!$B$54,0)+IF(A49&gt;80,'参数'!$B$55,0)</x:f>
        <x:v>0.08</x:v>
      </x:c>
      <x:c r="F49" s="19" t="n">
        <x:f>ROUND('参数'!$H$5*C49*(1+E49),0)</x:f>
        <x:v>593</x:v>
      </x:c>
      <x:c r="G49" s="19" t="n">
        <x:f>ROUND('参数'!$G$5*B49*(1+E49),0)</x:f>
        <x:v>4942</x:v>
      </x:c>
      <x:c r="H49" s="19" t="n">
        <x:f>ROUND('参数'!$I$5*D49*(1+E49),0)</x:f>
        <x:v>166</x:v>
      </x:c>
      <x:c r="I49" s="19" t="n">
        <x:f>ROUND('参数'!$H$6*C49*(1+E49),0)</x:f>
        <x:v>427</x:v>
      </x:c>
      <x:c r="J49" s="19" t="n">
        <x:f>ROUND('参数'!$G$6*B49*(1+E49),0)</x:f>
        <x:v>7413</x:v>
      </x:c>
      <x:c r="K49" s="19" t="n">
        <x:f>ROUND('参数'!$I$6*D49*(1+E49),0)</x:f>
        <x:v>308</x:v>
      </x:c>
      <x:c r="L49" s="19" t="n">
        <x:f>ROUND('参数'!$H$7*C49*(1+E49),0)</x:f>
        <x:v>332</x:v>
      </x:c>
      <x:c r="M49" s="19" t="n">
        <x:f>MAX(1,5*INT(A49/5))</x:f>
        <x:v>40</x:v>
      </x:c>
      <x:c r="N49" s="19" t="n">
        <x:f>'参数'!$B$18*'参数'!$B$19^(M49-1)*'参数'!$B$48*'参数'!$B$49*MIN(1,(A49-1)/19)</x:f>
        <x:v>169.86348279589765</x:v>
      </x:c>
      <x:c r="O49" s="19" t="n">
        <x:f>ROUND(F49+N49*'参数'!$K$21,0)</x:f>
        <x:v>1077</x:v>
      </x:c>
      <x:c r="P49" s="19" t="n">
        <x:f>ROUND((J49+N49*'参数'!$L$21)*(1+'参数'!$B$40*MIN(1,(A49-1)/19)),0)</x:f>
        <x:v>12302</x:v>
      </x:c>
      <x:c r="Q49" s="19" t="n">
        <x:f>ROUND((K49+N49*'参数'!$M$21)*(1+'参数'!$B$41*MIN(1,(A49-1)/19)),0)</x:f>
        <x:v>666</x:v>
      </x:c>
      <x:c r="R49" s="22" t="n">
        <x:f>N49*'参数'!$K$21/O49</x:f>
        <x:v>0.44949946700864285</x:v>
      </x:c>
      <x:c r="S49" s="52" t="n">
        <x:f>INDEX('参数'!$I$59:$I$74,'参数'!$B$47+1)</x:f>
        <x:v>0</x:v>
      </x:c>
      <x:c r="T49" s="52" t="n">
        <x:f>INDEX('参数'!$J$59:$J$74,'参数'!$B$47+1)</x:f>
        <x:v>0</x:v>
      </x:c>
    </x:row>
    <x:row r="50" ht="22" customHeight="1">
      <x:c r="A50" s="18" t="n">
        <x:v>45</x:v>
      </x:c>
      <x:c r="B50" s="15" t="n">
        <x:f>'参数'!$B$16^(A50-1)</x:f>
        <x:v>4.740555528005772</x:v>
      </x:c>
      <x:c r="C50" s="15" t="n">
        <x:f>'参数'!$B$15^(A50-1)</x:f>
        <x:v>4.543341595493786</x:v>
      </x:c>
      <x:c r="D50" s="15" t="n">
        <x:f>'参数'!$B$17^(A50-1)</x:f>
        <x:v>4.543341595493786</x:v>
      </x:c>
      <x:c r="E50" s="21" t="n">
        <x:f>IF(A50&gt;40,'参数'!$B$54,0)+IF(A50&gt;80,'参数'!$B$55,0)</x:f>
        <x:v>0.08</x:v>
      </x:c>
      <x:c r="F50" s="18" t="n">
        <x:f>ROUND('参数'!$H$5*C50*(1+E50),0)</x:f>
        <x:v>613</x:v>
      </x:c>
      <x:c r="G50" s="18" t="n">
        <x:f>ROUND('参数'!$G$5*B50*(1+E50),0)</x:f>
        <x:v>5120</x:v>
      </x:c>
      <x:c r="H50" s="18" t="n">
        <x:f>ROUND('参数'!$I$5*D50*(1+E50),0)</x:f>
        <x:v>172</x:v>
      </x:c>
      <x:c r="I50" s="18" t="n">
        <x:f>ROUND('参数'!$H$6*C50*(1+E50),0)</x:f>
        <x:v>442</x:v>
      </x:c>
      <x:c r="J50" s="18" t="n">
        <x:f>ROUND('参数'!$G$6*B50*(1+E50),0)</x:f>
        <x:v>7680</x:v>
      </x:c>
      <x:c r="K50" s="18" t="n">
        <x:f>ROUND('参数'!$I$6*D50*(1+E50),0)</x:f>
        <x:v>319</x:v>
      </x:c>
      <x:c r="L50" s="18" t="n">
        <x:f>ROUND('参数'!$H$7*C50*(1+E50),0)</x:f>
        <x:v>343</x:v>
      </x:c>
      <x:c r="M50" s="18" t="n">
        <x:f>MAX(1,5*INT(A50/5))</x:f>
        <x:v>45</x:v>
      </x:c>
      <x:c r="N50" s="18" t="n">
        <x:f>'参数'!$B$18*'参数'!$B$19^(M50-1)*'参数'!$B$48*'参数'!$B$49*MIN(1,(A50-1)/19)</x:f>
        <x:v>203.701302679135</x:v>
      </x:c>
      <x:c r="O50" s="18" t="n">
        <x:f>ROUND(F50+N50*'参数'!$K$21,0)</x:f>
        <x:v>1194</x:v>
      </x:c>
      <x:c r="P50" s="18" t="n">
        <x:f>ROUND((J50+N50*'参数'!$L$21)*(1+'参数'!$B$40*MIN(1,(A50-1)/19)),0)</x:f>
        <x:v>13422</x:v>
      </x:c>
      <x:c r="Q50" s="18" t="n">
        <x:f>ROUND((K50+N50*'参数'!$M$21)*(1+'参数'!$B$41*MIN(1,(A50-1)/19)),0)</x:f>
        <x:v>743</x:v>
      </x:c>
      <x:c r="R50" s="21" t="n">
        <x:f>N50*'参数'!$K$21/O50</x:f>
        <x:v>0.48622170237481976</x:v>
      </x:c>
      <x:c r="S50" s="52" t="n">
        <x:f>INDEX('参数'!$I$59:$I$74,'参数'!$B$47+1)</x:f>
        <x:v>0</x:v>
      </x:c>
      <x:c r="T50" s="52" t="n">
        <x:f>INDEX('参数'!$J$59:$J$74,'参数'!$B$47+1)</x:f>
        <x:v>0</x:v>
      </x:c>
    </x:row>
    <x:row r="51" ht="22" customHeight="1">
      <x:c r="A51" s="19" t="n">
        <x:v>46</x:v>
      </x:c>
      <x:c r="B51" s="20" t="n">
        <x:f>'参数'!$B$16^(A51-1)</x:f>
        <x:v>4.91121552701398</x:v>
      </x:c>
      <x:c r="C51" s="20" t="n">
        <x:f>'参数'!$B$15^(A51-1)</x:f>
        <x:v>4.702358551336068</x:v>
      </x:c>
      <x:c r="D51" s="20" t="n">
        <x:f>'参数'!$B$17^(A51-1)</x:f>
        <x:v>4.702358551336068</x:v>
      </x:c>
      <x:c r="E51" s="22" t="n">
        <x:f>IF(A51&gt;40,'参数'!$B$54,0)+IF(A51&gt;80,'参数'!$B$55,0)</x:f>
        <x:v>0.08</x:v>
      </x:c>
      <x:c r="F51" s="19" t="n">
        <x:f>ROUND('参数'!$H$5*C51*(1+E51),0)</x:f>
        <x:v>635</x:v>
      </x:c>
      <x:c r="G51" s="19" t="n">
        <x:f>ROUND('参数'!$G$5*B51*(1+E51),0)</x:f>
        <x:v>5304</x:v>
      </x:c>
      <x:c r="H51" s="19" t="n">
        <x:f>ROUND('参数'!$I$5*D51*(1+E51),0)</x:f>
        <x:v>178</x:v>
      </x:c>
      <x:c r="I51" s="19" t="n">
        <x:f>ROUND('参数'!$H$6*C51*(1+E51),0)</x:f>
        <x:v>457</x:v>
      </x:c>
      <x:c r="J51" s="19" t="n">
        <x:f>ROUND('参数'!$G$6*B51*(1+E51),0)</x:f>
        <x:v>7956</x:v>
      </x:c>
      <x:c r="K51" s="19" t="n">
        <x:f>ROUND('参数'!$I$6*D51*(1+E51),0)</x:f>
        <x:v>330</x:v>
      </x:c>
      <x:c r="L51" s="19" t="n">
        <x:f>ROUND('参数'!$H$7*C51*(1+E51),0)</x:f>
        <x:v>355</x:v>
      </x:c>
      <x:c r="M51" s="19" t="n">
        <x:f>MAX(1,5*INT(A51/5))</x:f>
        <x:v>45</x:v>
      </x:c>
      <x:c r="N51" s="19" t="n">
        <x:f>'参数'!$B$18*'参数'!$B$19^(M51-1)*'参数'!$B$48*'参数'!$B$49*MIN(1,(A51-1)/19)</x:f>
        <x:v>203.701302679135</x:v>
      </x:c>
      <x:c r="O51" s="19" t="n">
        <x:f>ROUND(F51+N51*'参数'!$K$21,0)</x:f>
        <x:v>1216</x:v>
      </x:c>
      <x:c r="P51" s="19" t="n">
        <x:f>ROUND((J51+N51*'参数'!$L$21)*(1+'参数'!$B$40*MIN(1,(A51-1)/19)),0)</x:f>
        <x:v>13726</x:v>
      </x:c>
      <x:c r="Q51" s="19" t="n">
        <x:f>ROUND((K51+N51*'参数'!$M$21)*(1+'参数'!$B$41*MIN(1,(A51-1)/19)),0)</x:f>
        <x:v>755</x:v>
      </x:c>
      <x:c r="R51" s="22" t="n">
        <x:f>N51*'参数'!$K$21/O51</x:f>
        <x:v>0.4774249281542227</x:v>
      </x:c>
      <x:c r="S51" s="52" t="n">
        <x:f>INDEX('参数'!$I$59:$I$74,'参数'!$B$47+1)</x:f>
        <x:v>0</x:v>
      </x:c>
      <x:c r="T51" s="52" t="n">
        <x:f>INDEX('参数'!$J$59:$J$74,'参数'!$B$47+1)</x:f>
        <x:v>0</x:v>
      </x:c>
    </x:row>
    <x:row r="52" ht="22" customHeight="1">
      <x:c r="A52" s="18" t="n">
        <x:v>47</x:v>
      </x:c>
      <x:c r="B52" s="15" t="n">
        <x:f>'参数'!$B$16^(A52-1)</x:f>
        <x:v>5.0880192859864835</x:v>
      </x:c>
      <x:c r="C52" s="15" t="n">
        <x:f>'参数'!$B$15^(A52-1)</x:f>
        <x:v>4.86694110063283</x:v>
      </x:c>
      <x:c r="D52" s="15" t="n">
        <x:f>'参数'!$B$17^(A52-1)</x:f>
        <x:v>4.86694110063283</x:v>
      </x:c>
      <x:c r="E52" s="21" t="n">
        <x:f>IF(A52&gt;40,'参数'!$B$54,0)+IF(A52&gt;80,'参数'!$B$55,0)</x:f>
        <x:v>0.08</x:v>
      </x:c>
      <x:c r="F52" s="18" t="n">
        <x:f>ROUND('参数'!$H$5*C52*(1+E52),0)</x:f>
        <x:v>657</x:v>
      </x:c>
      <x:c r="G52" s="18" t="n">
        <x:f>ROUND('参数'!$G$5*B52*(1+E52),0)</x:f>
        <x:v>5495</x:v>
      </x:c>
      <x:c r="H52" s="18" t="n">
        <x:f>ROUND('参数'!$I$5*D52*(1+E52),0)</x:f>
        <x:v>184</x:v>
      </x:c>
      <x:c r="I52" s="18" t="n">
        <x:f>ROUND('参数'!$H$6*C52*(1+E52),0)</x:f>
        <x:v>473</x:v>
      </x:c>
      <x:c r="J52" s="18" t="n">
        <x:f>ROUND('参数'!$G$6*B52*(1+E52),0)</x:f>
        <x:v>8243</x:v>
      </x:c>
      <x:c r="K52" s="18" t="n">
        <x:f>ROUND('参数'!$I$6*D52*(1+E52),0)</x:f>
        <x:v>342</x:v>
      </x:c>
      <x:c r="L52" s="18" t="n">
        <x:f>ROUND('参数'!$H$7*C52*(1+E52),0)</x:f>
        <x:v>368</x:v>
      </x:c>
      <x:c r="M52" s="18" t="n">
        <x:f>MAX(1,5*INT(A52/5))</x:f>
        <x:v>45</x:v>
      </x:c>
      <x:c r="N52" s="18" t="n">
        <x:f>'参数'!$B$18*'参数'!$B$19^(M52-1)*'参数'!$B$48*'参数'!$B$49*MIN(1,(A52-1)/19)</x:f>
        <x:v>203.701302679135</x:v>
      </x:c>
      <x:c r="O52" s="18" t="n">
        <x:f>ROUND(F52+N52*'参数'!$K$21,0)</x:f>
        <x:v>1238</x:v>
      </x:c>
      <x:c r="P52" s="18" t="n">
        <x:f>ROUND((J52+N52*'参数'!$L$21)*(1+'参数'!$B$40*MIN(1,(A52-1)/19)),0)</x:f>
        <x:v>14042</x:v>
      </x:c>
      <x:c r="Q52" s="18" t="n">
        <x:f>ROUND((K52+N52*'参数'!$M$21)*(1+'参数'!$B$41*MIN(1,(A52-1)/19)),0)</x:f>
        <x:v>768</x:v>
      </x:c>
      <x:c r="R52" s="21" t="n">
        <x:f>N52*'参数'!$K$21/O52</x:f>
        <x:v>0.46894080180576314</x:v>
      </x:c>
      <x:c r="S52" s="52" t="n">
        <x:f>INDEX('参数'!$I$59:$I$74,'参数'!$B$47+1)</x:f>
        <x:v>0</x:v>
      </x:c>
      <x:c r="T52" s="52" t="n">
        <x:f>INDEX('参数'!$J$59:$J$74,'参数'!$B$47+1)</x:f>
        <x:v>0</x:v>
      </x:c>
    </x:row>
    <x:row r="53" ht="22" customHeight="1">
      <x:c r="A53" s="19" t="n">
        <x:v>48</x:v>
      </x:c>
      <x:c r="B53" s="20" t="n">
        <x:f>'参数'!$B$16^(A53-1)</x:f>
        <x:v>5.271187980281997</x:v>
      </x:c>
      <x:c r="C53" s="20" t="n">
        <x:f>'参数'!$B$15^(A53-1)</x:f>
        <x:v>5.0372840391549785</x:v>
      </x:c>
      <x:c r="D53" s="20" t="n">
        <x:f>'参数'!$B$17^(A53-1)</x:f>
        <x:v>5.0372840391549785</x:v>
      </x:c>
      <x:c r="E53" s="22" t="n">
        <x:f>IF(A53&gt;40,'参数'!$B$54,0)+IF(A53&gt;80,'参数'!$B$55,0)</x:f>
        <x:v>0.08</x:v>
      </x:c>
      <x:c r="F53" s="19" t="n">
        <x:f>ROUND('参数'!$H$5*C53*(1+E53),0)</x:f>
        <x:v>680</x:v>
      </x:c>
      <x:c r="G53" s="19" t="n">
        <x:f>ROUND('参数'!$G$5*B53*(1+E53),0)</x:f>
        <x:v>5693</x:v>
      </x:c>
      <x:c r="H53" s="19" t="n">
        <x:f>ROUND('参数'!$I$5*D53*(1+E53),0)</x:f>
        <x:v>190</x:v>
      </x:c>
      <x:c r="I53" s="19" t="n">
        <x:f>ROUND('参数'!$H$6*C53*(1+E53),0)</x:f>
        <x:v>490</x:v>
      </x:c>
      <x:c r="J53" s="19" t="n">
        <x:f>ROUND('参数'!$G$6*B53*(1+E53),0)</x:f>
        <x:v>8539</x:v>
      </x:c>
      <x:c r="K53" s="19" t="n">
        <x:f>ROUND('参数'!$I$6*D53*(1+E53),0)</x:f>
        <x:v>354</x:v>
      </x:c>
      <x:c r="L53" s="19" t="n">
        <x:f>ROUND('参数'!$H$7*C53*(1+E53),0)</x:f>
        <x:v>381</x:v>
      </x:c>
      <x:c r="M53" s="19" t="n">
        <x:f>MAX(1,5*INT(A53/5))</x:f>
        <x:v>45</x:v>
      </x:c>
      <x:c r="N53" s="19" t="n">
        <x:f>'参数'!$B$18*'参数'!$B$19^(M53-1)*'参数'!$B$48*'参数'!$B$49*MIN(1,(A53-1)/19)</x:f>
        <x:v>203.701302679135</x:v>
      </x:c>
      <x:c r="O53" s="19" t="n">
        <x:f>ROUND(F53+N53*'参数'!$K$21,0)</x:f>
        <x:v>1261</x:v>
      </x:c>
      <x:c r="P53" s="19" t="n">
        <x:f>ROUND((J53+N53*'参数'!$L$21)*(1+'参数'!$B$40*MIN(1,(A53-1)/19)),0)</x:f>
        <x:v>14367</x:v>
      </x:c>
      <x:c r="Q53" s="19" t="n">
        <x:f>ROUND((K53+N53*'参数'!$M$21)*(1+'参数'!$B$41*MIN(1,(A53-1)/19)),0)</x:f>
        <x:v>782</x:v>
      </x:c>
      <x:c r="R53" s="22" t="n">
        <x:f>N53*'参数'!$K$21/O53</x:f>
        <x:v>0.4603875595840879</x:v>
      </x:c>
      <x:c r="S53" s="52" t="n">
        <x:f>INDEX('参数'!$I$59:$I$74,'参数'!$B$47+1)</x:f>
        <x:v>0</x:v>
      </x:c>
      <x:c r="T53" s="52" t="n">
        <x:f>INDEX('参数'!$J$59:$J$74,'参数'!$B$47+1)</x:f>
        <x:v>0</x:v>
      </x:c>
    </x:row>
    <x:row r="54" ht="22" customHeight="1">
      <x:c r="A54" s="18" t="n">
        <x:v>49</x:v>
      </x:c>
      <x:c r="B54" s="15" t="n">
        <x:f>'参数'!$B$16^(A54-1)</x:f>
        <x:v>5.460950747572149</x:v>
      </x:c>
      <x:c r="C54" s="15" t="n">
        <x:f>'参数'!$B$15^(A54-1)</x:f>
        <x:v>5.213588980525402</x:v>
      </x:c>
      <x:c r="D54" s="15" t="n">
        <x:f>'参数'!$B$17^(A54-1)</x:f>
        <x:v>5.213588980525402</x:v>
      </x:c>
      <x:c r="E54" s="21" t="n">
        <x:f>IF(A54&gt;40,'参数'!$B$54,0)+IF(A54&gt;80,'参数'!$B$55,0)</x:f>
        <x:v>0.08</x:v>
      </x:c>
      <x:c r="F54" s="18" t="n">
        <x:f>ROUND('参数'!$H$5*C54*(1+E54),0)</x:f>
        <x:v>704</x:v>
      </x:c>
      <x:c r="G54" s="18" t="n">
        <x:f>ROUND('参数'!$G$5*B54*(1+E54),0)</x:f>
        <x:v>5898</x:v>
      </x:c>
      <x:c r="H54" s="18" t="n">
        <x:f>ROUND('参数'!$I$5*D54*(1+E54),0)</x:f>
        <x:v>197</x:v>
      </x:c>
      <x:c r="I54" s="18" t="n">
        <x:f>ROUND('参数'!$H$6*C54*(1+E54),0)</x:f>
        <x:v>507</x:v>
      </x:c>
      <x:c r="J54" s="18" t="n">
        <x:f>ROUND('参数'!$G$6*B54*(1+E54),0)</x:f>
        <x:v>8847</x:v>
      </x:c>
      <x:c r="K54" s="18" t="n">
        <x:f>ROUND('参数'!$I$6*D54*(1+E54),0)</x:f>
        <x:v>366</x:v>
      </x:c>
      <x:c r="L54" s="18" t="n">
        <x:f>ROUND('参数'!$H$7*C54*(1+E54),0)</x:f>
        <x:v>394</x:v>
      </x:c>
      <x:c r="M54" s="18" t="n">
        <x:f>MAX(1,5*INT(A54/5))</x:f>
        <x:v>45</x:v>
      </x:c>
      <x:c r="N54" s="18" t="n">
        <x:f>'参数'!$B$18*'参数'!$B$19^(M54-1)*'参数'!$B$48*'参数'!$B$49*MIN(1,(A54-1)/19)</x:f>
        <x:v>203.701302679135</x:v>
      </x:c>
      <x:c r="O54" s="18" t="n">
        <x:f>ROUND(F54+N54*'参数'!$K$21,0)</x:f>
        <x:v>1285</x:v>
      </x:c>
      <x:c r="P54" s="18" t="n">
        <x:f>ROUND((J54+N54*'参数'!$L$21)*(1+'参数'!$B$40*MIN(1,(A54-1)/19)),0)</x:f>
        <x:v>14706</x:v>
      </x:c>
      <x:c r="Q54" s="18" t="n">
        <x:f>ROUND((K54+N54*'参数'!$M$21)*(1+'参数'!$B$41*MIN(1,(A54-1)/19)),0)</x:f>
        <x:v>795</x:v>
      </x:c>
      <x:c r="R54" s="21" t="n">
        <x:f>N54*'参数'!$K$21/O54</x:f>
        <x:v>0.45178888142843177</x:v>
      </x:c>
      <x:c r="S54" s="52" t="n">
        <x:f>INDEX('参数'!$I$59:$I$74,'参数'!$B$47+1)</x:f>
        <x:v>0</x:v>
      </x:c>
      <x:c r="T54" s="52" t="n">
        <x:f>INDEX('参数'!$J$59:$J$74,'参数'!$B$47+1)</x:f>
        <x:v>0</x:v>
      </x:c>
    </x:row>
    <x:row r="55" ht="22" customHeight="1">
      <x:c r="A55" s="19" t="n">
        <x:v>50</x:v>
      </x:c>
      <x:c r="B55" s="20" t="n">
        <x:f>'参数'!$B$16^(A55-1)</x:f>
        <x:v>5.657544974484747</x:v>
      </x:c>
      <x:c r="C55" s="20" t="n">
        <x:f>'参数'!$B$15^(A55-1)</x:f>
        <x:v>5.396064594843791</x:v>
      </x:c>
      <x:c r="D55" s="20" t="n">
        <x:f>'参数'!$B$17^(A55-1)</x:f>
        <x:v>5.396064594843791</x:v>
      </x:c>
      <x:c r="E55" s="22" t="n">
        <x:f>IF(A55&gt;40,'参数'!$B$54,0)+IF(A55&gt;80,'参数'!$B$55,0)</x:f>
        <x:v>0.08</x:v>
      </x:c>
      <x:c r="F55" s="19" t="n">
        <x:f>ROUND('参数'!$H$5*C55*(1+E55),0)</x:f>
        <x:v>728</x:v>
      </x:c>
      <x:c r="G55" s="19" t="n">
        <x:f>ROUND('参数'!$G$5*B55*(1+E55),0)</x:f>
        <x:v>6110</x:v>
      </x:c>
      <x:c r="H55" s="19" t="n">
        <x:f>ROUND('参数'!$I$5*D55*(1+E55),0)</x:f>
        <x:v>204</x:v>
      </x:c>
      <x:c r="I55" s="19" t="n">
        <x:f>ROUND('参数'!$H$6*C55*(1+E55),0)</x:f>
        <x:v>524</x:v>
      </x:c>
      <x:c r="J55" s="19" t="n">
        <x:f>ROUND('参数'!$G$6*B55*(1+E55),0)</x:f>
        <x:v>9165</x:v>
      </x:c>
      <x:c r="K55" s="19" t="n">
        <x:f>ROUND('参数'!$I$6*D55*(1+E55),0)</x:f>
        <x:v>379</x:v>
      </x:c>
      <x:c r="L55" s="19" t="n">
        <x:f>ROUND('参数'!$H$7*C55*(1+E55),0)</x:f>
        <x:v>408</x:v>
      </x:c>
      <x:c r="M55" s="19" t="n">
        <x:f>MAX(1,5*INT(A55/5))</x:f>
        <x:v>50</x:v>
      </x:c>
      <x:c r="N55" s="19" t="n">
        <x:f>'参数'!$B$18*'参数'!$B$19^(M55-1)*'参数'!$B$48*'参数'!$B$49*MIN(1,(A55-1)/19)</x:f>
        <x:v>244.27981829993834</x:v>
      </x:c>
      <x:c r="O55" s="19" t="n">
        <x:f>ROUND(F55+N55*'参数'!$K$21,0)</x:f>
        <x:v>1424</x:v>
      </x:c>
      <x:c r="P55" s="19" t="n">
        <x:f>ROUND((J55+N55*'参数'!$L$21)*(1+'参数'!$B$40*MIN(1,(A55-1)/19)),0)</x:f>
        <x:v>16047</x:v>
      </x:c>
      <x:c r="Q55" s="19" t="n">
        <x:f>ROUND((K55+N55*'参数'!$M$21)*(1+'参数'!$B$41*MIN(1,(A55-1)/19)),0)</x:f>
        <x:v>887</x:v>
      </x:c>
      <x:c r="R55" s="22" t="n">
        <x:f>N55*'参数'!$K$21/O55</x:f>
        <x:v>0.48890272623232045</x:v>
      </x:c>
      <x:c r="S55" s="52" t="n">
        <x:f>INDEX('参数'!$I$59:$I$74,'参数'!$B$47+1)</x:f>
        <x:v>0</x:v>
      </x:c>
      <x:c r="T55" s="52" t="n">
        <x:f>INDEX('参数'!$J$59:$J$74,'参数'!$B$47+1)</x:f>
        <x:v>0</x:v>
      </x:c>
    </x:row>
    <x:row r="56" ht="22" customHeight="1">
      <x:c r="A56" s="18" t="n">
        <x:v>51</x:v>
      </x:c>
      <x:c r="B56" s="15" t="n">
        <x:f>'参数'!$B$16^(A56-1)</x:f>
        <x:v>5.861216593566198</x:v>
      </x:c>
      <x:c r="C56" s="15" t="n">
        <x:f>'参数'!$B$15^(A56-1)</x:f>
        <x:v>5.584926855663323</x:v>
      </x:c>
      <x:c r="D56" s="15" t="n">
        <x:f>'参数'!$B$17^(A56-1)</x:f>
        <x:v>5.584926855663323</x:v>
      </x:c>
      <x:c r="E56" s="21" t="n">
        <x:f>IF(A56&gt;40,'参数'!$B$54,0)+IF(A56&gt;80,'参数'!$B$55,0)</x:f>
        <x:v>0.08</x:v>
      </x:c>
      <x:c r="F56" s="18" t="n">
        <x:f>ROUND('参数'!$H$5*C56*(1+E56),0)</x:f>
        <x:v>754</x:v>
      </x:c>
      <x:c r="G56" s="18" t="n">
        <x:f>ROUND('参数'!$G$5*B56*(1+E56),0)</x:f>
        <x:v>6330</x:v>
      </x:c>
      <x:c r="H56" s="18" t="n">
        <x:f>ROUND('参数'!$I$5*D56*(1+E56),0)</x:f>
        <x:v>211</x:v>
      </x:c>
      <x:c r="I56" s="18" t="n">
        <x:f>ROUND('参数'!$H$6*C56*(1+E56),0)</x:f>
        <x:v>543</x:v>
      </x:c>
      <x:c r="J56" s="18" t="n">
        <x:f>ROUND('参数'!$G$6*B56*(1+E56),0)</x:f>
        <x:v>9495</x:v>
      </x:c>
      <x:c r="K56" s="18" t="n">
        <x:f>ROUND('参数'!$I$6*D56*(1+E56),0)</x:f>
        <x:v>392</x:v>
      </x:c>
      <x:c r="L56" s="18" t="n">
        <x:f>ROUND('参数'!$H$7*C56*(1+E56),0)</x:f>
        <x:v>422</x:v>
      </x:c>
      <x:c r="M56" s="18" t="n">
        <x:f>MAX(1,5*INT(A56/5))</x:f>
        <x:v>50</x:v>
      </x:c>
      <x:c r="N56" s="18" t="n">
        <x:f>'参数'!$B$18*'参数'!$B$19^(M56-1)*'参数'!$B$48*'参数'!$B$49*MIN(1,(A56-1)/19)</x:f>
        <x:v>244.27981829993834</x:v>
      </x:c>
      <x:c r="O56" s="18" t="n">
        <x:f>ROUND(F56+N56*'参数'!$K$21,0)</x:f>
        <x:v>1450</x:v>
      </x:c>
      <x:c r="P56" s="18" t="n">
        <x:f>ROUND((J56+N56*'参数'!$L$21)*(1+'参数'!$B$40*MIN(1,(A56-1)/19)),0)</x:f>
        <x:v>16410</x:v>
      </x:c>
      <x:c r="Q56" s="18" t="n">
        <x:f>ROUND((K56+N56*'参数'!$M$21)*(1+'参数'!$B$41*MIN(1,(A56-1)/19)),0)</x:f>
        <x:v>901</x:v>
      </x:c>
      <x:c r="R56" s="21" t="n">
        <x:f>N56*'参数'!$K$21/O56</x:f>
        <x:v>0.48013619458953405</x:v>
      </x:c>
      <x:c r="S56" s="52" t="n">
        <x:f>INDEX('参数'!$I$59:$I$74,'参数'!$B$47+1)</x:f>
        <x:v>0</x:v>
      </x:c>
      <x:c r="T56" s="52" t="n">
        <x:f>INDEX('参数'!$J$59:$J$74,'参数'!$B$47+1)</x:f>
        <x:v>0</x:v>
      </x:c>
    </x:row>
    <x:row r="57" ht="22" customHeight="1">
      <x:c r="A57" s="19" t="n">
        <x:v>52</x:v>
      </x:c>
      <x:c r="B57" s="20" t="n">
        <x:f>'参数'!$B$16^(A57-1)</x:f>
        <x:v>6.072220390934581</x:v>
      </x:c>
      <x:c r="C57" s="20" t="n">
        <x:f>'参数'!$B$15^(A57-1)</x:f>
        <x:v>5.780399295611539</x:v>
      </x:c>
      <x:c r="D57" s="20" t="n">
        <x:f>'参数'!$B$17^(A57-1)</x:f>
        <x:v>5.780399295611539</x:v>
      </x:c>
      <x:c r="E57" s="22" t="n">
        <x:f>IF(A57&gt;40,'参数'!$B$54,0)+IF(A57&gt;80,'参数'!$B$55,0)</x:f>
        <x:v>0.08</x:v>
      </x:c>
      <x:c r="F57" s="19" t="n">
        <x:f>ROUND('参数'!$H$5*C57*(1+E57),0)</x:f>
        <x:v>780</x:v>
      </x:c>
      <x:c r="G57" s="19" t="n">
        <x:f>ROUND('参数'!$G$5*B57*(1+E57),0)</x:f>
        <x:v>6558</x:v>
      </x:c>
      <x:c r="H57" s="19" t="n">
        <x:f>ROUND('参数'!$I$5*D57*(1+E57),0)</x:f>
        <x:v>218</x:v>
      </x:c>
      <x:c r="I57" s="19" t="n">
        <x:f>ROUND('参数'!$H$6*C57*(1+E57),0)</x:f>
        <x:v>562</x:v>
      </x:c>
      <x:c r="J57" s="19" t="n">
        <x:f>ROUND('参数'!$G$6*B57*(1+E57),0)</x:f>
        <x:v>9837</x:v>
      </x:c>
      <x:c r="K57" s="19" t="n">
        <x:f>ROUND('参数'!$I$6*D57*(1+E57),0)</x:f>
        <x:v>406</x:v>
      </x:c>
      <x:c r="L57" s="19" t="n">
        <x:f>ROUND('参数'!$H$7*C57*(1+E57),0)</x:f>
        <x:v>437</x:v>
      </x:c>
      <x:c r="M57" s="19" t="n">
        <x:f>MAX(1,5*INT(A57/5))</x:f>
        <x:v>50</x:v>
      </x:c>
      <x:c r="N57" s="19" t="n">
        <x:f>'参数'!$B$18*'参数'!$B$19^(M57-1)*'参数'!$B$48*'参数'!$B$49*MIN(1,(A57-1)/19)</x:f>
        <x:v>244.27981829993834</x:v>
      </x:c>
      <x:c r="O57" s="19" t="n">
        <x:f>ROUND(F57+N57*'参数'!$K$21,0)</x:f>
        <x:v>1476</x:v>
      </x:c>
      <x:c r="P57" s="19" t="n">
        <x:f>ROUND((J57+N57*'参数'!$L$21)*(1+'参数'!$B$40*MIN(1,(A57-1)/19)),0)</x:f>
        <x:v>16786</x:v>
      </x:c>
      <x:c r="Q57" s="19" t="n">
        <x:f>ROUND((K57+N57*'参数'!$M$21)*(1+'参数'!$B$41*MIN(1,(A57-1)/19)),0)</x:f>
        <x:v>917</x:v>
      </x:c>
      <x:c r="R57" s="22" t="n">
        <x:f>N57*'参数'!$K$21/O57</x:f>
        <x:v>0.47167851094500296</x:v>
      </x:c>
      <x:c r="S57" s="52" t="n">
        <x:f>INDEX('参数'!$I$59:$I$74,'参数'!$B$47+1)</x:f>
        <x:v>0</x:v>
      </x:c>
      <x:c r="T57" s="52" t="n">
        <x:f>INDEX('参数'!$J$59:$J$74,'参数'!$B$47+1)</x:f>
        <x:v>0</x:v>
      </x:c>
    </x:row>
    <x:row r="58" ht="22" customHeight="1">
      <x:c r="A58" s="18" t="n">
        <x:v>53</x:v>
      </x:c>
      <x:c r="B58" s="15" t="n">
        <x:f>'参数'!$B$16^(A58-1)</x:f>
        <x:v>6.290820325008226</x:v>
      </x:c>
      <x:c r="C58" s="15" t="n">
        <x:f>'参数'!$B$15^(A58-1)</x:f>
        <x:v>5.982713270957943</x:v>
      </x:c>
      <x:c r="D58" s="15" t="n">
        <x:f>'参数'!$B$17^(A58-1)</x:f>
        <x:v>5.982713270957943</x:v>
      </x:c>
      <x:c r="E58" s="21" t="n">
        <x:f>IF(A58&gt;40,'参数'!$B$54,0)+IF(A58&gt;80,'参数'!$B$55,0)</x:f>
        <x:v>0.08</x:v>
      </x:c>
      <x:c r="F58" s="18" t="n">
        <x:f>ROUND('参数'!$H$5*C58*(1+E58),0)</x:f>
        <x:v>808</x:v>
      </x:c>
      <x:c r="G58" s="18" t="n">
        <x:f>ROUND('参数'!$G$5*B58*(1+E58),0)</x:f>
        <x:v>6794</x:v>
      </x:c>
      <x:c r="H58" s="18" t="n">
        <x:f>ROUND('参数'!$I$5*D58*(1+E58),0)</x:f>
        <x:v>226</x:v>
      </x:c>
      <x:c r="I58" s="18" t="n">
        <x:f>ROUND('参数'!$H$6*C58*(1+E58),0)</x:f>
        <x:v>582</x:v>
      </x:c>
      <x:c r="J58" s="18" t="n">
        <x:f>ROUND('参数'!$G$6*B58*(1+E58),0)</x:f>
        <x:v>10191</x:v>
      </x:c>
      <x:c r="K58" s="18" t="n">
        <x:f>ROUND('参数'!$I$6*D58*(1+E58),0)</x:f>
        <x:v>420</x:v>
      </x:c>
      <x:c r="L58" s="18" t="n">
        <x:f>ROUND('参数'!$H$7*C58*(1+E58),0)</x:f>
        <x:v>452</x:v>
      </x:c>
      <x:c r="M58" s="18" t="n">
        <x:f>MAX(1,5*INT(A58/5))</x:f>
        <x:v>50</x:v>
      </x:c>
      <x:c r="N58" s="18" t="n">
        <x:f>'参数'!$B$18*'参数'!$B$19^(M58-1)*'参数'!$B$48*'参数'!$B$49*MIN(1,(A58-1)/19)</x:f>
        <x:v>244.27981829993834</x:v>
      </x:c>
      <x:c r="O58" s="18" t="n">
        <x:f>ROUND(F58+N58*'参数'!$K$21,0)</x:f>
        <x:v>1504</x:v>
      </x:c>
      <x:c r="P58" s="18" t="n">
        <x:f>ROUND((J58+N58*'参数'!$L$21)*(1+'参数'!$B$40*MIN(1,(A58-1)/19)),0)</x:f>
        <x:v>17175</x:v>
      </x:c>
      <x:c r="Q58" s="18" t="n">
        <x:f>ROUND((K58+N58*'参数'!$M$21)*(1+'参数'!$B$41*MIN(1,(A58-1)/19)),0)</x:f>
        <x:v>932</x:v>
      </x:c>
      <x:c r="R58" s="21" t="n">
        <x:f>N58*'参数'!$K$21/O58</x:f>
        <x:v>0.4628972620710268</x:v>
      </x:c>
      <x:c r="S58" s="52" t="n">
        <x:f>INDEX('参数'!$I$59:$I$74,'参数'!$B$47+1)</x:f>
        <x:v>0</x:v>
      </x:c>
      <x:c r="T58" s="52" t="n">
        <x:f>INDEX('参数'!$J$59:$J$74,'参数'!$B$47+1)</x:f>
        <x:v>0</x:v>
      </x:c>
    </x:row>
    <x:row r="59" ht="22" customHeight="1">
      <x:c r="A59" s="19" t="n">
        <x:v>54</x:v>
      </x:c>
      <x:c r="B59" s="20" t="n">
        <x:f>'参数'!$B$16^(A59-1)</x:f>
        <x:v>6.517289856708523</x:v>
      </x:c>
      <x:c r="C59" s="20" t="n">
        <x:f>'参数'!$B$15^(A59-1)</x:f>
        <x:v>6.19210823544147</x:v>
      </x:c>
      <x:c r="D59" s="20" t="n">
        <x:f>'参数'!$B$17^(A59-1)</x:f>
        <x:v>6.19210823544147</x:v>
      </x:c>
      <x:c r="E59" s="22" t="n">
        <x:f>IF(A59&gt;40,'参数'!$B$54,0)+IF(A59&gt;80,'参数'!$B$55,0)</x:f>
        <x:v>0.08</x:v>
      </x:c>
      <x:c r="F59" s="19" t="n">
        <x:f>ROUND('参数'!$H$5*C59*(1+E59),0)</x:f>
        <x:v>836</x:v>
      </x:c>
      <x:c r="G59" s="19" t="n">
        <x:f>ROUND('参数'!$G$5*B59*(1+E59),0)</x:f>
        <x:v>7039</x:v>
      </x:c>
      <x:c r="H59" s="19" t="n">
        <x:f>ROUND('参数'!$I$5*D59*(1+E59),0)</x:f>
        <x:v>234</x:v>
      </x:c>
      <x:c r="I59" s="19" t="n">
        <x:f>ROUND('参数'!$H$6*C59*(1+E59),0)</x:f>
        <x:v>602</x:v>
      </x:c>
      <x:c r="J59" s="19" t="n">
        <x:f>ROUND('参数'!$G$6*B59*(1+E59),0)</x:f>
        <x:v>10558</x:v>
      </x:c>
      <x:c r="K59" s="19" t="n">
        <x:f>ROUND('参数'!$I$6*D59*(1+E59),0)</x:f>
        <x:v>435</x:v>
      </x:c>
      <x:c r="L59" s="19" t="n">
        <x:f>ROUND('参数'!$H$7*C59*(1+E59),0)</x:f>
        <x:v>468</x:v>
      </x:c>
      <x:c r="M59" s="19" t="n">
        <x:f>MAX(1,5*INT(A59/5))</x:f>
        <x:v>50</x:v>
      </x:c>
      <x:c r="N59" s="19" t="n">
        <x:f>'参数'!$B$18*'参数'!$B$19^(M59-1)*'参数'!$B$48*'参数'!$B$49*MIN(1,(A59-1)/19)</x:f>
        <x:v>244.27981829993834</x:v>
      </x:c>
      <x:c r="O59" s="19" t="n">
        <x:f>ROUND(F59+N59*'参数'!$K$21,0)</x:f>
        <x:v>1532</x:v>
      </x:c>
      <x:c r="P59" s="19" t="n">
        <x:f>ROUND((J59+N59*'参数'!$L$21)*(1+'参数'!$B$40*MIN(1,(A59-1)/19)),0)</x:f>
        <x:v>17579</x:v>
      </x:c>
      <x:c r="Q59" s="19" t="n">
        <x:f>ROUND((K59+N59*'参数'!$M$21)*(1+'参数'!$B$41*MIN(1,(A59-1)/19)),0)</x:f>
        <x:v>949</x:v>
      </x:c>
      <x:c r="R59" s="22" t="n">
        <x:f>N59*'参数'!$K$21/O59</x:f>
        <x:v>0.45443699879557725</x:v>
      </x:c>
      <x:c r="S59" s="52" t="n">
        <x:f>INDEX('参数'!$I$59:$I$74,'参数'!$B$47+1)</x:f>
        <x:v>0</x:v>
      </x:c>
      <x:c r="T59" s="52" t="n">
        <x:f>INDEX('参数'!$J$59:$J$74,'参数'!$B$47+1)</x:f>
        <x:v>0</x:v>
      </x:c>
    </x:row>
    <x:row r="60" ht="22" customHeight="1">
      <x:c r="A60" s="18" t="n">
        <x:v>55</x:v>
      </x:c>
      <x:c r="B60" s="15" t="n">
        <x:f>'参数'!$B$16^(A60-1)</x:f>
        <x:v>6.751912291550029</x:v>
      </x:c>
      <x:c r="C60" s="15" t="n">
        <x:f>'参数'!$B$15^(A60-1)</x:f>
        <x:v>6.408832023681921</x:v>
      </x:c>
      <x:c r="D60" s="15" t="n">
        <x:f>'参数'!$B$17^(A60-1)</x:f>
        <x:v>6.408832023681921</x:v>
      </x:c>
      <x:c r="E60" s="21" t="n">
        <x:f>IF(A60&gt;40,'参数'!$B$54,0)+IF(A60&gt;80,'参数'!$B$55,0)</x:f>
        <x:v>0.08</x:v>
      </x:c>
      <x:c r="F60" s="18" t="n">
        <x:f>ROUND('参数'!$H$5*C60*(1+E60),0)</x:f>
        <x:v>865</x:v>
      </x:c>
      <x:c r="G60" s="18" t="n">
        <x:f>ROUND('参数'!$G$5*B60*(1+E60),0)</x:f>
        <x:v>7292</x:v>
      </x:c>
      <x:c r="H60" s="18" t="n">
        <x:f>ROUND('参数'!$I$5*D60*(1+E60),0)</x:f>
        <x:v>242</x:v>
      </x:c>
      <x:c r="I60" s="18" t="n">
        <x:f>ROUND('参数'!$H$6*C60*(1+E60),0)</x:f>
        <x:v>623</x:v>
      </x:c>
      <x:c r="J60" s="18" t="n">
        <x:f>ROUND('参数'!$G$6*B60*(1+E60),0)</x:f>
        <x:v>10938</x:v>
      </x:c>
      <x:c r="K60" s="18" t="n">
        <x:f>ROUND('参数'!$I$6*D60*(1+E60),0)</x:f>
        <x:v>450</x:v>
      </x:c>
      <x:c r="L60" s="18" t="n">
        <x:f>ROUND('参数'!$H$7*C60*(1+E60),0)</x:f>
        <x:v>485</x:v>
      </x:c>
      <x:c r="M60" s="18" t="n">
        <x:f>MAX(1,5*INT(A60/5))</x:f>
        <x:v>55</x:v>
      </x:c>
      <x:c r="N60" s="18" t="n">
        <x:f>'参数'!$B$18*'参数'!$B$19^(M60-1)*'参数'!$B$48*'参数'!$B$49*MIN(1,(A60-1)/19)</x:f>
        <x:v>292.9418164921884</x:v>
      </x:c>
      <x:c r="O60" s="18" t="n">
        <x:f>ROUND(F60+N60*'参数'!$K$21,0)</x:f>
        <x:v>1700</x:v>
      </x:c>
      <x:c r="P60" s="18" t="n">
        <x:f>ROUND((J60+N60*'参数'!$L$21)*(1+'参数'!$B$40*MIN(1,(A60-1)/19)),0)</x:f>
        <x:v>19185</x:v>
      </x:c>
      <x:c r="Q60" s="18" t="n">
        <x:f>ROUND((K60+N60*'参数'!$M$21)*(1+'参数'!$B$41*MIN(1,(A60-1)/19)),0)</x:f>
        <x:v>1059</x:v>
      </x:c>
      <x:c r="R60" s="21" t="n">
        <x:f>N60*'参数'!$K$21/O60</x:f>
        <x:v>0.49110833941337473</x:v>
      </x:c>
      <x:c r="S60" s="52" t="n">
        <x:f>INDEX('参数'!$I$59:$I$74,'参数'!$B$47+1)</x:f>
        <x:v>0</x:v>
      </x:c>
      <x:c r="T60" s="52" t="n">
        <x:f>INDEX('参数'!$J$59:$J$74,'参数'!$B$47+1)</x:f>
        <x:v>0</x:v>
      </x:c>
    </x:row>
    <x:row r="61" ht="22" customHeight="1">
      <x:c r="A61" s="19" t="n">
        <x:v>56</x:v>
      </x:c>
      <x:c r="B61" s="20" t="n">
        <x:f>'参数'!$B$16^(A61-1)</x:f>
        <x:v>6.9949811340458306</x:v>
      </x:c>
      <x:c r="C61" s="20" t="n">
        <x:f>'参数'!$B$15^(A61-1)</x:f>
        <x:v>6.6331411445107875</x:v>
      </x:c>
      <x:c r="D61" s="20" t="n">
        <x:f>'参数'!$B$17^(A61-1)</x:f>
        <x:v>6.6331411445107875</x:v>
      </x:c>
      <x:c r="E61" s="22" t="n">
        <x:f>IF(A61&gt;40,'参数'!$B$54,0)+IF(A61&gt;80,'参数'!$B$55,0)</x:f>
        <x:v>0.08</x:v>
      </x:c>
      <x:c r="F61" s="19" t="n">
        <x:f>ROUND('参数'!$H$5*C61*(1+E61),0)</x:f>
        <x:v>895</x:v>
      </x:c>
      <x:c r="G61" s="19" t="n">
        <x:f>ROUND('参数'!$G$5*B61*(1+E61),0)</x:f>
        <x:v>7555</x:v>
      </x:c>
      <x:c r="H61" s="19" t="n">
        <x:f>ROUND('参数'!$I$5*D61*(1+E61),0)</x:f>
        <x:v>251</x:v>
      </x:c>
      <x:c r="I61" s="19" t="n">
        <x:f>ROUND('参数'!$H$6*C61*(1+E61),0)</x:f>
        <x:v>645</x:v>
      </x:c>
      <x:c r="J61" s="19" t="n">
        <x:f>ROUND('参数'!$G$6*B61*(1+E61),0)</x:f>
        <x:v>11332</x:v>
      </x:c>
      <x:c r="K61" s="19" t="n">
        <x:f>ROUND('参数'!$I$6*D61*(1+E61),0)</x:f>
        <x:v>466</x:v>
      </x:c>
      <x:c r="L61" s="19" t="n">
        <x:f>ROUND('参数'!$H$7*C61*(1+E61),0)</x:f>
        <x:v>501</x:v>
      </x:c>
      <x:c r="M61" s="19" t="n">
        <x:f>MAX(1,5*INT(A61/5))</x:f>
        <x:v>55</x:v>
      </x:c>
      <x:c r="N61" s="19" t="n">
        <x:f>'参数'!$B$18*'参数'!$B$19^(M61-1)*'参数'!$B$48*'参数'!$B$49*MIN(1,(A61-1)/19)</x:f>
        <x:v>292.9418164921884</x:v>
      </x:c>
      <x:c r="O61" s="19" t="n">
        <x:f>ROUND(F61+N61*'参数'!$K$21,0)</x:f>
        <x:v>1730</x:v>
      </x:c>
      <x:c r="P61" s="19" t="n">
        <x:f>ROUND((J61+N61*'参数'!$L$21)*(1+'参数'!$B$40*MIN(1,(A61-1)/19)),0)</x:f>
        <x:v>19619</x:v>
      </x:c>
      <x:c r="Q61" s="19" t="n">
        <x:f>ROUND((K61+N61*'参数'!$M$21)*(1+'参数'!$B$41*MIN(1,(A61-1)/19)),0)</x:f>
        <x:v>1077</x:v>
      </x:c>
      <x:c r="R61" s="22" t="n">
        <x:f>N61*'参数'!$K$21/O61</x:f>
        <x:v>0.4825920098281717</x:v>
      </x:c>
      <x:c r="S61" s="52" t="n">
        <x:f>INDEX('参数'!$I$59:$I$74,'参数'!$B$47+1)</x:f>
        <x:v>0</x:v>
      </x:c>
      <x:c r="T61" s="52" t="n">
        <x:f>INDEX('参数'!$J$59:$J$74,'参数'!$B$47+1)</x:f>
        <x:v>0</x:v>
      </x:c>
    </x:row>
    <x:row r="62" ht="22" customHeight="1">
      <x:c r="A62" s="18" t="n">
        <x:v>57</x:v>
      </x:c>
      <x:c r="B62" s="15" t="n">
        <x:f>'参数'!$B$16^(A62-1)</x:f>
        <x:v>7.24680045487148</x:v>
      </x:c>
      <x:c r="C62" s="15" t="n">
        <x:f>'参数'!$B$15^(A62-1)</x:f>
        <x:v>6.865301084568665</x:v>
      </x:c>
      <x:c r="D62" s="15" t="n">
        <x:f>'参数'!$B$17^(A62-1)</x:f>
        <x:v>6.865301084568665</x:v>
      </x:c>
      <x:c r="E62" s="21" t="n">
        <x:f>IF(A62&gt;40,'参数'!$B$54,0)+IF(A62&gt;80,'参数'!$B$55,0)</x:f>
        <x:v>0.08</x:v>
      </x:c>
      <x:c r="F62" s="18" t="n">
        <x:f>ROUND('参数'!$H$5*C62*(1+E62),0)</x:f>
        <x:v>927</x:v>
      </x:c>
      <x:c r="G62" s="18" t="n">
        <x:f>ROUND('参数'!$G$5*B62*(1+E62),0)</x:f>
        <x:v>7827</x:v>
      </x:c>
      <x:c r="H62" s="18" t="n">
        <x:f>ROUND('参数'!$I$5*D62*(1+E62),0)</x:f>
        <x:v>260</x:v>
      </x:c>
      <x:c r="I62" s="18" t="n">
        <x:f>ROUND('参数'!$H$6*C62*(1+E62),0)</x:f>
        <x:v>667</x:v>
      </x:c>
      <x:c r="J62" s="18" t="n">
        <x:f>ROUND('参数'!$G$6*B62*(1+E62),0)</x:f>
        <x:v>11740</x:v>
      </x:c>
      <x:c r="K62" s="18" t="n">
        <x:f>ROUND('参数'!$I$6*D62*(1+E62),0)</x:f>
        <x:v>482</x:v>
      </x:c>
      <x:c r="L62" s="18" t="n">
        <x:f>ROUND('参数'!$H$7*C62*(1+E62),0)</x:f>
        <x:v>519</x:v>
      </x:c>
      <x:c r="M62" s="18" t="n">
        <x:f>MAX(1,5*INT(A62/5))</x:f>
        <x:v>55</x:v>
      </x:c>
      <x:c r="N62" s="18" t="n">
        <x:f>'参数'!$B$18*'参数'!$B$19^(M62-1)*'参数'!$B$48*'参数'!$B$49*MIN(1,(A62-1)/19)</x:f>
        <x:v>292.9418164921884</x:v>
      </x:c>
      <x:c r="O62" s="18" t="n">
        <x:f>ROUND(F62+N62*'参数'!$K$21,0)</x:f>
        <x:v>1762</x:v>
      </x:c>
      <x:c r="P62" s="18" t="n">
        <x:f>ROUND((J62+N62*'参数'!$L$21)*(1+'参数'!$B$40*MIN(1,(A62-1)/19)),0)</x:f>
        <x:v>20068</x:v>
      </x:c>
      <x:c r="Q62" s="18" t="n">
        <x:f>ROUND((K62+N62*'参数'!$M$21)*(1+'参数'!$B$41*MIN(1,(A62-1)/19)),0)</x:f>
        <x:v>1094</x:v>
      </x:c>
      <x:c r="R62" s="21" t="n">
        <x:f>N62*'参数'!$K$21/O62</x:f>
        <x:v>0.47382756924105396</x:v>
      </x:c>
      <x:c r="S62" s="52" t="n">
        <x:f>INDEX('参数'!$I$59:$I$74,'参数'!$B$47+1)</x:f>
        <x:v>0</x:v>
      </x:c>
      <x:c r="T62" s="52" t="n">
        <x:f>INDEX('参数'!$J$59:$J$74,'参数'!$B$47+1)</x:f>
        <x:v>0</x:v>
      </x:c>
    </x:row>
    <x:row r="63" ht="22" customHeight="1">
      <x:c r="A63" s="19" t="n">
        <x:v>58</x:v>
      </x:c>
      <x:c r="B63" s="20" t="n">
        <x:f>'参数'!$B$16^(A63-1)</x:f>
        <x:v>7.507685271246855</x:v>
      </x:c>
      <x:c r="C63" s="20" t="n">
        <x:f>'参数'!$B$15^(A63-1)</x:f>
        <x:v>7.105586622528567</x:v>
      </x:c>
      <x:c r="D63" s="20" t="n">
        <x:f>'参数'!$B$17^(A63-1)</x:f>
        <x:v>7.105586622528567</x:v>
      </x:c>
      <x:c r="E63" s="22" t="n">
        <x:f>IF(A63&gt;40,'参数'!$B$54,0)+IF(A63&gt;80,'参数'!$B$55,0)</x:f>
        <x:v>0.08</x:v>
      </x:c>
      <x:c r="F63" s="19" t="n">
        <x:f>ROUND('参数'!$H$5*C63*(1+E63),0)</x:f>
        <x:v>959</x:v>
      </x:c>
      <x:c r="G63" s="19" t="n">
        <x:f>ROUND('参数'!$G$5*B63*(1+E63),0)</x:f>
        <x:v>8108</x:v>
      </x:c>
      <x:c r="H63" s="19" t="n">
        <x:f>ROUND('参数'!$I$5*D63*(1+E63),0)</x:f>
        <x:v>269</x:v>
      </x:c>
      <x:c r="I63" s="19" t="n">
        <x:f>ROUND('参数'!$H$6*C63*(1+E63),0)</x:f>
        <x:v>691</x:v>
      </x:c>
      <x:c r="J63" s="19" t="n">
        <x:f>ROUND('参数'!$G$6*B63*(1+E63),0)</x:f>
        <x:v>12162</x:v>
      </x:c>
      <x:c r="K63" s="19" t="n">
        <x:f>ROUND('参数'!$I$6*D63*(1+E63),0)</x:f>
        <x:v>499</x:v>
      </x:c>
      <x:c r="L63" s="19" t="n">
        <x:f>ROUND('参数'!$H$7*C63*(1+E63),0)</x:f>
        <x:v>537</x:v>
      </x:c>
      <x:c r="M63" s="19" t="n">
        <x:f>MAX(1,5*INT(A63/5))</x:f>
        <x:v>55</x:v>
      </x:c>
      <x:c r="N63" s="19" t="n">
        <x:f>'参数'!$B$18*'参数'!$B$19^(M63-1)*'参数'!$B$48*'参数'!$B$49*MIN(1,(A63-1)/19)</x:f>
        <x:v>292.9418164921884</x:v>
      </x:c>
      <x:c r="O63" s="19" t="n">
        <x:f>ROUND(F63+N63*'参数'!$K$21,0)</x:f>
        <x:v>1794</x:v>
      </x:c>
      <x:c r="P63" s="19" t="n">
        <x:f>ROUND((J63+N63*'参数'!$L$21)*(1+'参数'!$B$40*MIN(1,(A63-1)/19)),0)</x:f>
        <x:v>20532</x:v>
      </x:c>
      <x:c r="Q63" s="19" t="n">
        <x:f>ROUND((K63+N63*'参数'!$M$21)*(1+'参数'!$B$41*MIN(1,(A63-1)/19)),0)</x:f>
        <x:v>1113</x:v>
      </x:c>
      <x:c r="R63" s="22" t="n">
        <x:f>N63*'参数'!$K$21/O63</x:f>
        <x:v>0.46537579543073415</x:v>
      </x:c>
      <x:c r="S63" s="52" t="n">
        <x:f>INDEX('参数'!$I$59:$I$74,'参数'!$B$47+1)</x:f>
        <x:v>0</x:v>
      </x:c>
      <x:c r="T63" s="52" t="n">
        <x:f>INDEX('参数'!$J$59:$J$74,'参数'!$B$47+1)</x:f>
        <x:v>0</x:v>
      </x:c>
    </x:row>
    <x:row r="64" ht="22" customHeight="1">
      <x:c r="A64" s="18" t="n">
        <x:v>59</x:v>
      </x:c>
      <x:c r="B64" s="15" t="n">
        <x:f>'参数'!$B$16^(A64-1)</x:f>
        <x:v>7.777961941011741</x:v>
      </x:c>
      <x:c r="C64" s="15" t="n">
        <x:f>'参数'!$B$15^(A64-1)</x:f>
        <x:v>7.354282154317066</x:v>
      </x:c>
      <x:c r="D64" s="15" t="n">
        <x:f>'参数'!$B$17^(A64-1)</x:f>
        <x:v>7.354282154317066</x:v>
      </x:c>
      <x:c r="E64" s="21" t="n">
        <x:f>IF(A64&gt;40,'参数'!$B$54,0)+IF(A64&gt;80,'参数'!$B$55,0)</x:f>
        <x:v>0.08</x:v>
      </x:c>
      <x:c r="F64" s="18" t="n">
        <x:f>ROUND('参数'!$H$5*C64*(1+E64),0)</x:f>
        <x:v>993</x:v>
      </x:c>
      <x:c r="G64" s="18" t="n">
        <x:f>ROUND('参数'!$G$5*B64*(1+E64),0)</x:f>
        <x:v>8400</x:v>
      </x:c>
      <x:c r="H64" s="18" t="n">
        <x:f>ROUND('参数'!$I$5*D64*(1+E64),0)</x:f>
        <x:v>278</x:v>
      </x:c>
      <x:c r="I64" s="18" t="n">
        <x:f>ROUND('参数'!$H$6*C64*(1+E64),0)</x:f>
        <x:v>715</x:v>
      </x:c>
      <x:c r="J64" s="18" t="n">
        <x:f>ROUND('参数'!$G$6*B64*(1+E64),0)</x:f>
        <x:v>12600</x:v>
      </x:c>
      <x:c r="K64" s="18" t="n">
        <x:f>ROUND('参数'!$I$6*D64*(1+E64),0)</x:f>
        <x:v>516</x:v>
      </x:c>
      <x:c r="L64" s="18" t="n">
        <x:f>ROUND('参数'!$H$7*C64*(1+E64),0)</x:f>
        <x:v>556</x:v>
      </x:c>
      <x:c r="M64" s="18" t="n">
        <x:f>MAX(1,5*INT(A64/5))</x:f>
        <x:v>55</x:v>
      </x:c>
      <x:c r="N64" s="18" t="n">
        <x:f>'参数'!$B$18*'参数'!$B$19^(M64-1)*'参数'!$B$48*'参数'!$B$49*MIN(1,(A64-1)/19)</x:f>
        <x:v>292.9418164921884</x:v>
      </x:c>
      <x:c r="O64" s="18" t="n">
        <x:f>ROUND(F64+N64*'参数'!$K$21,0)</x:f>
        <x:v>1828</x:v>
      </x:c>
      <x:c r="P64" s="18" t="n">
        <x:f>ROUND((J64+N64*'参数'!$L$21)*(1+'参数'!$B$40*MIN(1,(A64-1)/19)),0)</x:f>
        <x:v>21014</x:v>
      </x:c>
      <x:c r="Q64" s="18" t="n">
        <x:f>ROUND((K64+N64*'参数'!$M$21)*(1+'参数'!$B$41*MIN(1,(A64-1)/19)),0)</x:f>
        <x:v>1132</x:v>
      </x:c>
      <x:c r="R64" s="21" t="n">
        <x:f>N64*'参数'!$K$21/O64</x:f>
        <x:v>0.4567200093012785</x:v>
      </x:c>
      <x:c r="S64" s="52" t="n">
        <x:f>INDEX('参数'!$I$59:$I$74,'参数'!$B$47+1)</x:f>
        <x:v>0</x:v>
      </x:c>
      <x:c r="T64" s="52" t="n">
        <x:f>INDEX('参数'!$J$59:$J$74,'参数'!$B$47+1)</x:f>
        <x:v>0</x:v>
      </x:c>
    </x:row>
    <x:row r="65" ht="22" customHeight="1">
      <x:c r="A65" s="19" t="n">
        <x:v>60</x:v>
      </x:c>
      <x:c r="B65" s="20" t="n">
        <x:f>'参数'!$B$16^(A65-1)</x:f>
        <x:v>8.057968570888164</x:v>
      </x:c>
      <x:c r="C65" s="20" t="n">
        <x:f>'参数'!$B$15^(A65-1)</x:f>
        <x:v>7.611682029718163</x:v>
      </x:c>
      <x:c r="D65" s="20" t="n">
        <x:f>'参数'!$B$17^(A65-1)</x:f>
        <x:v>7.611682029718163</x:v>
      </x:c>
      <x:c r="E65" s="22" t="n">
        <x:f>IF(A65&gt;40,'参数'!$B$54,0)+IF(A65&gt;80,'参数'!$B$55,0)</x:f>
        <x:v>0.08</x:v>
      </x:c>
      <x:c r="F65" s="19" t="n">
        <x:f>ROUND('参数'!$H$5*C65*(1+E65),0)</x:f>
        <x:v>1028</x:v>
      </x:c>
      <x:c r="G65" s="19" t="n">
        <x:f>ROUND('参数'!$G$5*B65*(1+E65),0)</x:f>
        <x:v>8703</x:v>
      </x:c>
      <x:c r="H65" s="19" t="n">
        <x:f>ROUND('参数'!$I$5*D65*(1+E65),0)</x:f>
        <x:v>288</x:v>
      </x:c>
      <x:c r="I65" s="19" t="n">
        <x:f>ROUND('参数'!$H$6*C65*(1+E65),0)</x:f>
        <x:v>740</x:v>
      </x:c>
      <x:c r="J65" s="19" t="n">
        <x:f>ROUND('参数'!$G$6*B65*(1+E65),0)</x:f>
        <x:v>13054</x:v>
      </x:c>
      <x:c r="K65" s="19" t="n">
        <x:f>ROUND('参数'!$I$6*D65*(1+E65),0)</x:f>
        <x:v>534</x:v>
      </x:c>
      <x:c r="L65" s="19" t="n">
        <x:f>ROUND('参数'!$H$7*C65*(1+E65),0)</x:f>
        <x:v>575</x:v>
      </x:c>
      <x:c r="M65" s="19" t="n">
        <x:f>MAX(1,5*INT(A65/5))</x:f>
        <x:v>60</x:v>
      </x:c>
      <x:c r="N65" s="19" t="n">
        <x:f>'参数'!$B$18*'参数'!$B$19^(M65-1)*'参数'!$B$48*'参数'!$B$49*MIN(1,(A65-1)/19)</x:f>
        <x:v>351.2975752437124</x:v>
      </x:c>
      <x:c r="O65" s="19" t="n">
        <x:f>ROUND(F65+N65*'参数'!$K$21,0)</x:f>
        <x:v>2029</x:v>
      </x:c>
      <x:c r="P65" s="19" t="n">
        <x:f>ROUND((J65+N65*'参数'!$L$21)*(1+'参数'!$B$40*MIN(1,(A65-1)/19)),0)</x:f>
        <x:v>22938</x:v>
      </x:c>
      <x:c r="Q65" s="19" t="n">
        <x:f>ROUND((K65+N65*'参数'!$M$21)*(1+'参数'!$B$41*MIN(1,(A65-1)/19)),0)</x:f>
        <x:v>1264</x:v>
      </x:c>
      <x:c r="R65" s="22" t="n">
        <x:f>N65*'参数'!$K$21/O65</x:f>
        <x:v>0.4934441051969346</x:v>
      </x:c>
      <x:c r="S65" s="52" t="n">
        <x:f>INDEX('参数'!$I$59:$I$74,'参数'!$B$47+1)</x:f>
        <x:v>0</x:v>
      </x:c>
      <x:c r="T65" s="52" t="n">
        <x:f>INDEX('参数'!$J$59:$J$74,'参数'!$B$47+1)</x:f>
        <x:v>0</x:v>
      </x:c>
    </x:row>
    <x:row r="66" ht="22" customHeight="1">
      <x:c r="A66" s="18" t="n">
        <x:v>61</x:v>
      </x:c>
      <x:c r="B66" s="15" t="n">
        <x:f>'参数'!$B$16^(A66-1)</x:f>
        <x:v>8.348055439440138</x:v>
      </x:c>
      <x:c r="C66" s="15" t="n">
        <x:f>'参数'!$B$15^(A66-1)</x:f>
        <x:v>7.878090900758298</x:v>
      </x:c>
      <x:c r="D66" s="15" t="n">
        <x:f>'参数'!$B$17^(A66-1)</x:f>
        <x:v>7.878090900758298</x:v>
      </x:c>
      <x:c r="E66" s="21" t="n">
        <x:f>IF(A66&gt;40,'参数'!$B$54,0)+IF(A66&gt;80,'参数'!$B$55,0)</x:f>
        <x:v>0.08</x:v>
      </x:c>
      <x:c r="F66" s="18" t="n">
        <x:f>ROUND('参数'!$H$5*C66*(1+E66),0)</x:f>
        <x:v>1064</x:v>
      </x:c>
      <x:c r="G66" s="18" t="n">
        <x:f>ROUND('参数'!$G$5*B66*(1+E66),0)</x:f>
        <x:v>9016</x:v>
      </x:c>
      <x:c r="H66" s="18" t="n">
        <x:f>ROUND('参数'!$I$5*D66*(1+E66),0)</x:f>
        <x:v>298</x:v>
      </x:c>
      <x:c r="I66" s="18" t="n">
        <x:f>ROUND('参数'!$H$6*C66*(1+E66),0)</x:f>
        <x:v>766</x:v>
      </x:c>
      <x:c r="J66" s="18" t="n">
        <x:f>ROUND('参数'!$G$6*B66*(1+E66),0)</x:f>
        <x:v>13524</x:v>
      </x:c>
      <x:c r="K66" s="18" t="n">
        <x:f>ROUND('参数'!$I$6*D66*(1+E66),0)</x:f>
        <x:v>553</x:v>
      </x:c>
      <x:c r="L66" s="18" t="n">
        <x:f>ROUND('参数'!$H$7*C66*(1+E66),0)</x:f>
        <x:v>596</x:v>
      </x:c>
      <x:c r="M66" s="18" t="n">
        <x:f>MAX(1,5*INT(A66/5))</x:f>
        <x:v>60</x:v>
      </x:c>
      <x:c r="N66" s="18" t="n">
        <x:f>'参数'!$B$18*'参数'!$B$19^(M66-1)*'参数'!$B$48*'参数'!$B$49*MIN(1,(A66-1)/19)</x:f>
        <x:v>351.2975752437124</x:v>
      </x:c>
      <x:c r="O66" s="18" t="n">
        <x:f>ROUND(F66+N66*'参数'!$K$21,0)</x:f>
        <x:v>2065</x:v>
      </x:c>
      <x:c r="P66" s="18" t="n">
        <x:f>ROUND((J66+N66*'参数'!$L$21)*(1+'参数'!$B$40*MIN(1,(A66-1)/19)),0)</x:f>
        <x:v>23455</x:v>
      </x:c>
      <x:c r="Q66" s="18" t="n">
        <x:f>ROUND((K66+N66*'参数'!$M$21)*(1+'参数'!$B$41*MIN(1,(A66-1)/19)),0)</x:f>
        <x:v>1285</x:v>
      </x:c>
      <x:c r="R66" s="21" t="n">
        <x:f>N66*'参数'!$K$21/O66</x:f>
        <x:v>0.48484168980367087</x:v>
      </x:c>
      <x:c r="S66" s="52" t="n">
        <x:f>INDEX('参数'!$I$59:$I$74,'参数'!$B$47+1)</x:f>
        <x:v>0</x:v>
      </x:c>
      <x:c r="T66" s="52" t="n">
        <x:f>INDEX('参数'!$J$59:$J$74,'参数'!$B$47+1)</x:f>
        <x:v>0</x:v>
      </x:c>
    </x:row>
    <x:row r="67" ht="22" customHeight="1">
      <x:c r="A67" s="19" t="n">
        <x:v>62</x:v>
      </x:c>
      <x:c r="B67" s="20" t="n">
        <x:f>'参数'!$B$16^(A67-1)</x:f>
        <x:v>8.648585435259983</x:v>
      </x:c>
      <x:c r="C67" s="20" t="n">
        <x:f>'参数'!$B$15^(A67-1)</x:f>
        <x:v>8.153824082284839</x:v>
      </x:c>
      <x:c r="D67" s="20" t="n">
        <x:f>'参数'!$B$17^(A67-1)</x:f>
        <x:v>8.153824082284839</x:v>
      </x:c>
      <x:c r="E67" s="22" t="n">
        <x:f>IF(A67&gt;40,'参数'!$B$54,0)+IF(A67&gt;80,'参数'!$B$55,0)</x:f>
        <x:v>0.08</x:v>
      </x:c>
      <x:c r="F67" s="19" t="n">
        <x:f>ROUND('参数'!$H$5*C67*(1+E67),0)</x:f>
        <x:v>1101</x:v>
      </x:c>
      <x:c r="G67" s="19" t="n">
        <x:f>ROUND('参数'!$G$5*B67*(1+E67),0)</x:f>
        <x:v>9340</x:v>
      </x:c>
      <x:c r="H67" s="19" t="n">
        <x:f>ROUND('参数'!$I$5*D67*(1+E67),0)</x:f>
        <x:v>308</x:v>
      </x:c>
      <x:c r="I67" s="19" t="n">
        <x:f>ROUND('参数'!$H$6*C67*(1+E67),0)</x:f>
        <x:v>793</x:v>
      </x:c>
      <x:c r="J67" s="19" t="n">
        <x:f>ROUND('参数'!$G$6*B67*(1+E67),0)</x:f>
        <x:v>14011</x:v>
      </x:c>
      <x:c r="K67" s="19" t="n">
        <x:f>ROUND('参数'!$I$6*D67*(1+E67),0)</x:f>
        <x:v>572</x:v>
      </x:c>
      <x:c r="L67" s="19" t="n">
        <x:f>ROUND('参数'!$H$7*C67*(1+E67),0)</x:f>
        <x:v>616</x:v>
      </x:c>
      <x:c r="M67" s="19" t="n">
        <x:f>MAX(1,5*INT(A67/5))</x:f>
        <x:v>60</x:v>
      </x:c>
      <x:c r="N67" s="19" t="n">
        <x:f>'参数'!$B$18*'参数'!$B$19^(M67-1)*'参数'!$B$48*'参数'!$B$49*MIN(1,(A67-1)/19)</x:f>
        <x:v>351.2975752437124</x:v>
      </x:c>
      <x:c r="O67" s="19" t="n">
        <x:f>ROUND(F67+N67*'参数'!$K$21,0)</x:f>
        <x:v>2102</x:v>
      </x:c>
      <x:c r="P67" s="19" t="n">
        <x:f>ROUND((J67+N67*'参数'!$L$21)*(1+'参数'!$B$40*MIN(1,(A67-1)/19)),0)</x:f>
        <x:v>23991</x:v>
      </x:c>
      <x:c r="Q67" s="19" t="n">
        <x:f>ROUND((K67+N67*'参数'!$M$21)*(1+'参数'!$B$41*MIN(1,(A67-1)/19)),0)</x:f>
        <x:v>1305</x:v>
      </x:c>
      <x:c r="R67" s="22" t="n">
        <x:f>N67*'参数'!$K$21/O67</x:f>
        <x:v>0.47630736890798303</x:v>
      </x:c>
      <x:c r="S67" s="52" t="n">
        <x:f>INDEX('参数'!$I$59:$I$74,'参数'!$B$47+1)</x:f>
        <x:v>0</x:v>
      </x:c>
      <x:c r="T67" s="52" t="n">
        <x:f>INDEX('参数'!$J$59:$J$74,'参数'!$B$47+1)</x:f>
        <x:v>0</x:v>
      </x:c>
    </x:row>
    <x:row r="68" ht="22" customHeight="1">
      <x:c r="A68" s="18" t="n">
        <x:v>63</x:v>
      </x:c>
      <x:c r="B68" s="15" t="n">
        <x:f>'参数'!$B$16^(A68-1)</x:f>
        <x:v>8.959934510929344</x:v>
      </x:c>
      <x:c r="C68" s="15" t="n">
        <x:f>'参数'!$B$15^(A68-1)</x:f>
        <x:v>8.439207925164807</x:v>
      </x:c>
      <x:c r="D68" s="15" t="n">
        <x:f>'参数'!$B$17^(A68-1)</x:f>
        <x:v>8.439207925164807</x:v>
      </x:c>
      <x:c r="E68" s="21" t="n">
        <x:f>IF(A68&gt;40,'参数'!$B$54,0)+IF(A68&gt;80,'参数'!$B$55,0)</x:f>
        <x:v>0.08</x:v>
      </x:c>
      <x:c r="F68" s="18" t="n">
        <x:f>ROUND('参数'!$H$5*C68*(1+E68),0)</x:f>
        <x:v>1139</x:v>
      </x:c>
      <x:c r="G68" s="18" t="n">
        <x:f>ROUND('参数'!$G$5*B68*(1+E68),0)</x:f>
        <x:v>9677</x:v>
      </x:c>
      <x:c r="H68" s="18" t="n">
        <x:f>ROUND('参数'!$I$5*D68*(1+E68),0)</x:f>
        <x:v>319</x:v>
      </x:c>
      <x:c r="I68" s="18" t="n">
        <x:f>ROUND('参数'!$H$6*C68*(1+E68),0)</x:f>
        <x:v>820</x:v>
      </x:c>
      <x:c r="J68" s="18" t="n">
        <x:f>ROUND('参数'!$G$6*B68*(1+E68),0)</x:f>
        <x:v>14515</x:v>
      </x:c>
      <x:c r="K68" s="18" t="n">
        <x:f>ROUND('参数'!$I$6*D68*(1+E68),0)</x:f>
        <x:v>592</x:v>
      </x:c>
      <x:c r="L68" s="18" t="n">
        <x:f>ROUND('参数'!$H$7*C68*(1+E68),0)</x:f>
        <x:v>638</x:v>
      </x:c>
      <x:c r="M68" s="18" t="n">
        <x:f>MAX(1,5*INT(A68/5))</x:f>
        <x:v>60</x:v>
      </x:c>
      <x:c r="N68" s="18" t="n">
        <x:f>'参数'!$B$18*'参数'!$B$19^(M68-1)*'参数'!$B$48*'参数'!$B$49*MIN(1,(A68-1)/19)</x:f>
        <x:v>351.2975752437124</x:v>
      </x:c>
      <x:c r="O68" s="18" t="n">
        <x:f>ROUND(F68+N68*'参数'!$K$21,0)</x:f>
        <x:v>2140</x:v>
      </x:c>
      <x:c r="P68" s="18" t="n">
        <x:f>ROUND((J68+N68*'参数'!$L$21)*(1+'参数'!$B$40*MIN(1,(A68-1)/19)),0)</x:f>
        <x:v>24545</x:v>
      </x:c>
      <x:c r="Q68" s="18" t="n">
        <x:f>ROUND((K68+N68*'参数'!$M$21)*(1+'参数'!$B$41*MIN(1,(A68-1)/19)),0)</x:f>
        <x:v>1327</x:v>
      </x:c>
      <x:c r="R68" s="21" t="n">
        <x:f>N68*'参数'!$K$21/O68</x:f>
        <x:v>0.46784957450681325</x:v>
      </x:c>
      <x:c r="S68" s="52" t="n">
        <x:f>INDEX('参数'!$I$59:$I$74,'参数'!$B$47+1)</x:f>
        <x:v>0</x:v>
      </x:c>
      <x:c r="T68" s="52" t="n">
        <x:f>INDEX('参数'!$J$59:$J$74,'参数'!$B$47+1)</x:f>
        <x:v>0</x:v>
      </x:c>
    </x:row>
    <x:row r="69" ht="22" customHeight="1">
      <x:c r="A69" s="19" t="n">
        <x:v>64</x:v>
      </x:c>
      <x:c r="B69" s="20" t="n">
        <x:f>'参数'!$B$16^(A69-1)</x:f>
        <x:v>9.2824921533228</x:v>
      </x:c>
      <x:c r="C69" s="20" t="n">
        <x:f>'参数'!$B$15^(A69-1)</x:f>
        <x:v>8.734580202545574</x:v>
      </x:c>
      <x:c r="D69" s="20" t="n">
        <x:f>'参数'!$B$17^(A69-1)</x:f>
        <x:v>8.734580202545574</x:v>
      </x:c>
      <x:c r="E69" s="22" t="n">
        <x:f>IF(A69&gt;40,'参数'!$B$54,0)+IF(A69&gt;80,'参数'!$B$55,0)</x:f>
        <x:v>0.08</x:v>
      </x:c>
      <x:c r="F69" s="19" t="n">
        <x:f>ROUND('参数'!$H$5*C69*(1+E69),0)</x:f>
        <x:v>1179</x:v>
      </x:c>
      <x:c r="G69" s="19" t="n">
        <x:f>ROUND('参数'!$G$5*B69*(1+E69),0)</x:f>
        <x:v>10025</x:v>
      </x:c>
      <x:c r="H69" s="19" t="n">
        <x:f>ROUND('参数'!$I$5*D69*(1+E69),0)</x:f>
        <x:v>330</x:v>
      </x:c>
      <x:c r="I69" s="19" t="n">
        <x:f>ROUND('参数'!$H$6*C69*(1+E69),0)</x:f>
        <x:v>849</x:v>
      </x:c>
      <x:c r="J69" s="19" t="n">
        <x:f>ROUND('参数'!$G$6*B69*(1+E69),0)</x:f>
        <x:v>15038</x:v>
      </x:c>
      <x:c r="K69" s="19" t="n">
        <x:f>ROUND('参数'!$I$6*D69*(1+E69),0)</x:f>
        <x:v>613</x:v>
      </x:c>
      <x:c r="L69" s="19" t="n">
        <x:f>ROUND('参数'!$H$7*C69*(1+E69),0)</x:f>
        <x:v>660</x:v>
      </x:c>
      <x:c r="M69" s="19" t="n">
        <x:f>MAX(1,5*INT(A69/5))</x:f>
        <x:v>60</x:v>
      </x:c>
      <x:c r="N69" s="19" t="n">
        <x:f>'参数'!$B$18*'参数'!$B$19^(M69-1)*'参数'!$B$48*'参数'!$B$49*MIN(1,(A69-1)/19)</x:f>
        <x:v>351.2975752437124</x:v>
      </x:c>
      <x:c r="O69" s="19" t="n">
        <x:f>ROUND(F69+N69*'参数'!$K$21,0)</x:f>
        <x:v>2180</x:v>
      </x:c>
      <x:c r="P69" s="19" t="n">
        <x:f>ROUND((J69+N69*'参数'!$L$21)*(1+'参数'!$B$40*MIN(1,(A69-1)/19)),0)</x:f>
        <x:v>25120</x:v>
      </x:c>
      <x:c r="Q69" s="19" t="n">
        <x:f>ROUND((K69+N69*'参数'!$M$21)*(1+'参数'!$B$41*MIN(1,(A69-1)/19)),0)</x:f>
        <x:v>1351</x:v>
      </x:c>
      <x:c r="R69" s="22" t="n">
        <x:f>N69*'参数'!$K$21/O69</x:f>
        <x:v>0.4592651786443029</x:v>
      </x:c>
      <x:c r="S69" s="52" t="n">
        <x:f>INDEX('参数'!$I$59:$I$74,'参数'!$B$47+1)</x:f>
        <x:v>0</x:v>
      </x:c>
      <x:c r="T69" s="52" t="n">
        <x:f>INDEX('参数'!$J$59:$J$74,'参数'!$B$47+1)</x:f>
        <x:v>0</x:v>
      </x:c>
    </x:row>
    <x:row r="70" ht="22" customHeight="1">
      <x:c r="A70" s="18" t="n">
        <x:v>65</x:v>
      </x:c>
      <x:c r="B70" s="15" t="n">
        <x:f>'参数'!$B$16^(A70-1)</x:f>
        <x:v>9.616661870842421</x:v>
      </x:c>
      <x:c r="C70" s="15" t="n">
        <x:f>'参数'!$B$15^(A70-1)</x:f>
        <x:v>9.04029050963467</x:v>
      </x:c>
      <x:c r="D70" s="15" t="n">
        <x:f>'参数'!$B$17^(A70-1)</x:f>
        <x:v>9.04029050963467</x:v>
      </x:c>
      <x:c r="E70" s="21" t="n">
        <x:f>IF(A70&gt;40,'参数'!$B$54,0)+IF(A70&gt;80,'参数'!$B$55,0)</x:f>
        <x:v>0.08</x:v>
      </x:c>
      <x:c r="F70" s="18" t="n">
        <x:f>ROUND('参数'!$H$5*C70*(1+E70),0)</x:f>
        <x:v>1220</x:v>
      </x:c>
      <x:c r="G70" s="18" t="n">
        <x:f>ROUND('参数'!$G$5*B70*(1+E70),0)</x:f>
        <x:v>10386</x:v>
      </x:c>
      <x:c r="H70" s="18" t="n">
        <x:f>ROUND('参数'!$I$5*D70*(1+E70),0)</x:f>
        <x:v>342</x:v>
      </x:c>
      <x:c r="I70" s="18" t="n">
        <x:f>ROUND('参数'!$H$6*C70*(1+E70),0)</x:f>
        <x:v>879</x:v>
      </x:c>
      <x:c r="J70" s="18" t="n">
        <x:f>ROUND('参数'!$G$6*B70*(1+E70),0)</x:f>
        <x:v>15579</x:v>
      </x:c>
      <x:c r="K70" s="18" t="n">
        <x:f>ROUND('参数'!$I$6*D70*(1+E70),0)</x:f>
        <x:v>635</x:v>
      </x:c>
      <x:c r="L70" s="18" t="n">
        <x:f>ROUND('参数'!$H$7*C70*(1+E70),0)</x:f>
        <x:v>683</x:v>
      </x:c>
      <x:c r="M70" s="18" t="n">
        <x:f>MAX(1,5*INT(A70/5))</x:f>
        <x:v>65</x:v>
      </x:c>
      <x:c r="N70" s="18" t="n">
        <x:f>'参数'!$B$18*'参数'!$B$19^(M70-1)*'参数'!$B$48*'参数'!$B$49*MIN(1,(A70-1)/19)</x:f>
        <x:v>421.2781495311122</x:v>
      </x:c>
      <x:c r="O70" s="18" t="n">
        <x:f>ROUND(F70+N70*'参数'!$K$21,0)</x:f>
        <x:v>2421</x:v>
      </x:c>
      <x:c r="P70" s="18" t="n">
        <x:f>ROUND((J70+N70*'参数'!$L$21)*(1+'参数'!$B$40*MIN(1,(A70-1)/19)),0)</x:f>
        <x:v>27425</x:v>
      </x:c>
      <x:c r="Q70" s="18" t="n">
        <x:f>ROUND((K70+N70*'参数'!$M$21)*(1+'参数'!$B$41*MIN(1,(A70-1)/19)),0)</x:f>
        <x:v>1509</x:v>
      </x:c>
      <x:c r="R70" s="21" t="n">
        <x:f>N70*'参数'!$K$21/O70</x:f>
        <x:v>0.49592842881605526</x:v>
      </x:c>
      <x:c r="S70" s="52" t="n">
        <x:f>INDEX('参数'!$I$59:$I$74,'参数'!$B$47+1)</x:f>
        <x:v>0</x:v>
      </x:c>
      <x:c r="T70" s="52" t="n">
        <x:f>INDEX('参数'!$J$59:$J$74,'参数'!$B$47+1)</x:f>
        <x:v>0</x:v>
      </x:c>
    </x:row>
    <x:row r="71" ht="22" customHeight="1">
      <x:c r="A71" s="19" t="n">
        <x:v>66</x:v>
      </x:c>
      <x:c r="B71" s="20" t="n">
        <x:f>'参数'!$B$16^(A71-1)</x:f>
        <x:v>9.962861698192748</x:v>
      </x:c>
      <x:c r="C71" s="20" t="n">
        <x:f>'参数'!$B$15^(A71-1)</x:f>
        <x:v>9.356700677471881</x:v>
      </x:c>
      <x:c r="D71" s="20" t="n">
        <x:f>'参数'!$B$17^(A71-1)</x:f>
        <x:v>9.356700677471881</x:v>
      </x:c>
      <x:c r="E71" s="22" t="n">
        <x:f>IF(A71&gt;40,'参数'!$B$54,0)+IF(A71&gt;80,'参数'!$B$55,0)</x:f>
        <x:v>0.08</x:v>
      </x:c>
      <x:c r="F71" s="19" t="n">
        <x:f>ROUND('参数'!$H$5*C71*(1+E71),0)</x:f>
        <x:v>1263</x:v>
      </x:c>
      <x:c r="G71" s="19" t="n">
        <x:f>ROUND('参数'!$G$5*B71*(1+E71),0)</x:f>
        <x:v>10760</x:v>
      </x:c>
      <x:c r="H71" s="19" t="n">
        <x:f>ROUND('参数'!$I$5*D71*(1+E71),0)</x:f>
        <x:v>354</x:v>
      </x:c>
      <x:c r="I71" s="19" t="n">
        <x:f>ROUND('参数'!$H$6*C71*(1+E71),0)</x:f>
        <x:v>909</x:v>
      </x:c>
      <x:c r="J71" s="19" t="n">
        <x:f>ROUND('参数'!$G$6*B71*(1+E71),0)</x:f>
        <x:v>16140</x:v>
      </x:c>
      <x:c r="K71" s="19" t="n">
        <x:f>ROUND('参数'!$I$6*D71*(1+E71),0)</x:f>
        <x:v>657</x:v>
      </x:c>
      <x:c r="L71" s="19" t="n">
        <x:f>ROUND('参数'!$H$7*C71*(1+E71),0)</x:f>
        <x:v>707</x:v>
      </x:c>
      <x:c r="M71" s="19" t="n">
        <x:f>MAX(1,5*INT(A71/5))</x:f>
        <x:v>65</x:v>
      </x:c>
      <x:c r="N71" s="19" t="n">
        <x:f>'参数'!$B$18*'参数'!$B$19^(M71-1)*'参数'!$B$48*'参数'!$B$49*MIN(1,(A71-1)/19)</x:f>
        <x:v>421.2781495311122</x:v>
      </x:c>
      <x:c r="O71" s="19" t="n">
        <x:f>ROUND(F71+N71*'参数'!$K$21,0)</x:f>
        <x:v>2464</x:v>
      </x:c>
      <x:c r="P71" s="19" t="n">
        <x:f>ROUND((J71+N71*'参数'!$L$21)*(1+'参数'!$B$40*MIN(1,(A71-1)/19)),0)</x:f>
        <x:v>28042</x:v>
      </x:c>
      <x:c r="Q71" s="19" t="n">
        <x:f>ROUND((K71+N71*'参数'!$M$21)*(1+'参数'!$B$41*MIN(1,(A71-1)/19)),0)</x:f>
        <x:v>1534</x:v>
      </x:c>
      <x:c r="R71" s="22" t="n">
        <x:f>N71*'参数'!$K$21/O71</x:f>
        <x:v>0.4872738336703205</x:v>
      </x:c>
      <x:c r="S71" s="52" t="n">
        <x:f>INDEX('参数'!$I$59:$I$74,'参数'!$B$47+1)</x:f>
        <x:v>0</x:v>
      </x:c>
      <x:c r="T71" s="52" t="n">
        <x:f>INDEX('参数'!$J$59:$J$74,'参数'!$B$47+1)</x:f>
        <x:v>0</x:v>
      </x:c>
    </x:row>
    <x:row r="72" ht="22" customHeight="1">
      <x:c r="A72" s="18" t="n">
        <x:v>67</x:v>
      </x:c>
      <x:c r="B72" s="15" t="n">
        <x:f>'参数'!$B$16^(A72-1)</x:f>
        <x:v>10.321524719327687</x:v>
      </x:c>
      <x:c r="C72" s="15" t="n">
        <x:f>'参数'!$B$15^(A72-1)</x:f>
        <x:v>9.684185201183396</x:v>
      </x:c>
      <x:c r="D72" s="15" t="n">
        <x:f>'参数'!$B$17^(A72-1)</x:f>
        <x:v>9.684185201183396</x:v>
      </x:c>
      <x:c r="E72" s="21" t="n">
        <x:f>IF(A72&gt;40,'参数'!$B$54,0)+IF(A72&gt;80,'参数'!$B$55,0)</x:f>
        <x:v>0.08</x:v>
      </x:c>
      <x:c r="F72" s="18" t="n">
        <x:f>ROUND('参数'!$H$5*C72*(1+E72),0)</x:f>
        <x:v>1307</x:v>
      </x:c>
      <x:c r="G72" s="18" t="n">
        <x:f>ROUND('参数'!$G$5*B72*(1+E72),0)</x:f>
        <x:v>11147</x:v>
      </x:c>
      <x:c r="H72" s="18" t="n">
        <x:f>ROUND('参数'!$I$5*D72*(1+E72),0)</x:f>
        <x:v>366</x:v>
      </x:c>
      <x:c r="I72" s="18" t="n">
        <x:f>ROUND('参数'!$H$6*C72*(1+E72),0)</x:f>
        <x:v>941</x:v>
      </x:c>
      <x:c r="J72" s="18" t="n">
        <x:f>ROUND('参数'!$G$6*B72*(1+E72),0)</x:f>
        <x:v>16721</x:v>
      </x:c>
      <x:c r="K72" s="18" t="n">
        <x:f>ROUND('参数'!$I$6*D72*(1+E72),0)</x:f>
        <x:v>680</x:v>
      </x:c>
      <x:c r="L72" s="18" t="n">
        <x:f>ROUND('参数'!$H$7*C72*(1+E72),0)</x:f>
        <x:v>732</x:v>
      </x:c>
      <x:c r="M72" s="18" t="n">
        <x:f>MAX(1,5*INT(A72/5))</x:f>
        <x:v>65</x:v>
      </x:c>
      <x:c r="N72" s="18" t="n">
        <x:f>'参数'!$B$18*'参数'!$B$19^(M72-1)*'参数'!$B$48*'参数'!$B$49*MIN(1,(A72-1)/19)</x:f>
        <x:v>421.2781495311122</x:v>
      </x:c>
      <x:c r="O72" s="18" t="n">
        <x:f>ROUND(F72+N72*'参数'!$K$21,0)</x:f>
        <x:v>2508</x:v>
      </x:c>
      <x:c r="P72" s="18" t="n">
        <x:f>ROUND((J72+N72*'参数'!$L$21)*(1+'参数'!$B$40*MIN(1,(A72-1)/19)),0)</x:f>
        <x:v>28681</x:v>
      </x:c>
      <x:c r="Q72" s="18" t="n">
        <x:f>ROUND((K72+N72*'参数'!$M$21)*(1+'参数'!$B$41*MIN(1,(A72-1)/19)),0)</x:f>
        <x:v>1559</x:v>
      </x:c>
      <x:c r="R72" s="21" t="n">
        <x:f>N72*'参数'!$K$21/O72</x:f>
        <x:v>0.4787251699217184</x:v>
      </x:c>
      <x:c r="S72" s="52" t="n">
        <x:f>INDEX('参数'!$I$59:$I$74,'参数'!$B$47+1)</x:f>
        <x:v>0</x:v>
      </x:c>
      <x:c r="T72" s="52" t="n">
        <x:f>INDEX('参数'!$J$59:$J$74,'参数'!$B$47+1)</x:f>
        <x:v>0</x:v>
      </x:c>
    </x:row>
    <x:row r="73" ht="22" customHeight="1">
      <x:c r="A73" s="19" t="n">
        <x:v>68</x:v>
      </x:c>
      <x:c r="B73" s="20" t="n">
        <x:f>'参数'!$B$16^(A73-1)</x:f>
        <x:v>10.693099609223484</x:v>
      </x:c>
      <x:c r="C73" s="20" t="n">
        <x:f>'参数'!$B$15^(A73-1)</x:f>
        <x:v>10.023131683224815</x:v>
      </x:c>
      <x:c r="D73" s="20" t="n">
        <x:f>'参数'!$B$17^(A73-1)</x:f>
        <x:v>10.023131683224815</x:v>
      </x:c>
      <x:c r="E73" s="22" t="n">
        <x:f>IF(A73&gt;40,'参数'!$B$54,0)+IF(A73&gt;80,'参数'!$B$55,0)</x:f>
        <x:v>0.08</x:v>
      </x:c>
      <x:c r="F73" s="19" t="n">
        <x:f>ROUND('参数'!$H$5*C73*(1+E73),0)</x:f>
        <x:v>1353</x:v>
      </x:c>
      <x:c r="G73" s="19" t="n">
        <x:f>ROUND('参数'!$G$5*B73*(1+E73),0)</x:f>
        <x:v>11549</x:v>
      </x:c>
      <x:c r="H73" s="19" t="n">
        <x:f>ROUND('参数'!$I$5*D73*(1+E73),0)</x:f>
        <x:v>379</x:v>
      </x:c>
      <x:c r="I73" s="19" t="n">
        <x:f>ROUND('参数'!$H$6*C73*(1+E73),0)</x:f>
        <x:v>974</x:v>
      </x:c>
      <x:c r="J73" s="19" t="n">
        <x:f>ROUND('参数'!$G$6*B73*(1+E73),0)</x:f>
        <x:v>17323</x:v>
      </x:c>
      <x:c r="K73" s="19" t="n">
        <x:f>ROUND('参数'!$I$6*D73*(1+E73),0)</x:f>
        <x:v>704</x:v>
      </x:c>
      <x:c r="L73" s="19" t="n">
        <x:f>ROUND('参数'!$H$7*C73*(1+E73),0)</x:f>
        <x:v>758</x:v>
      </x:c>
      <x:c r="M73" s="19" t="n">
        <x:f>MAX(1,5*INT(A73/5))</x:f>
        <x:v>65</x:v>
      </x:c>
      <x:c r="N73" s="19" t="n">
        <x:f>'参数'!$B$18*'参数'!$B$19^(M73-1)*'参数'!$B$48*'参数'!$B$49*MIN(1,(A73-1)/19)</x:f>
        <x:v>421.2781495311122</x:v>
      </x:c>
      <x:c r="O73" s="19" t="n">
        <x:f>ROUND(F73+N73*'参数'!$K$21,0)</x:f>
        <x:v>2554</x:v>
      </x:c>
      <x:c r="P73" s="19" t="n">
        <x:f>ROUND((J73+N73*'参数'!$L$21)*(1+'参数'!$B$40*MIN(1,(A73-1)/19)),0)</x:f>
        <x:v>29343</x:v>
      </x:c>
      <x:c r="Q73" s="19" t="n">
        <x:f>ROUND((K73+N73*'参数'!$M$21)*(1+'参数'!$B$41*MIN(1,(A73-1)/19)),0)</x:f>
        <x:v>1585</x:v>
      </x:c>
      <x:c r="R73" s="22" t="n">
        <x:f>N73*'参数'!$K$21/O73</x:f>
        <x:v>0.47010286850574384</x:v>
      </x:c>
      <x:c r="S73" s="52" t="n">
        <x:f>INDEX('参数'!$I$59:$I$74,'参数'!$B$47+1)</x:f>
        <x:v>0</x:v>
      </x:c>
      <x:c r="T73" s="52" t="n">
        <x:f>INDEX('参数'!$J$59:$J$74,'参数'!$B$47+1)</x:f>
        <x:v>0</x:v>
      </x:c>
    </x:row>
    <x:row r="74" ht="22" customHeight="1">
      <x:c r="A74" s="18" t="n">
        <x:v>69</x:v>
      </x:c>
      <x:c r="B74" s="15" t="n">
        <x:f>'参数'!$B$16^(A74-1)</x:f>
        <x:v>11.078051195155531</x:v>
      </x:c>
      <x:c r="C74" s="15" t="n">
        <x:f>'参数'!$B$15^(A74-1)</x:f>
        <x:v>10.373941292137683</x:v>
      </x:c>
      <x:c r="D74" s="15" t="n">
        <x:f>'参数'!$B$17^(A74-1)</x:f>
        <x:v>10.373941292137683</x:v>
      </x:c>
      <x:c r="E74" s="21" t="n">
        <x:f>IF(A74&gt;40,'参数'!$B$54,0)+IF(A74&gt;80,'参数'!$B$55,0)</x:f>
        <x:v>0.08</x:v>
      </x:c>
      <x:c r="F74" s="18" t="n">
        <x:f>ROUND('参数'!$H$5*C74*(1+E74),0)</x:f>
        <x:v>1400</x:v>
      </x:c>
      <x:c r="G74" s="18" t="n">
        <x:f>ROUND('参数'!$G$5*B74*(1+E74),0)</x:f>
        <x:v>11964</x:v>
      </x:c>
      <x:c r="H74" s="18" t="n">
        <x:f>ROUND('参数'!$I$5*D74*(1+E74),0)</x:f>
        <x:v>392</x:v>
      </x:c>
      <x:c r="I74" s="18" t="n">
        <x:f>ROUND('参数'!$H$6*C74*(1+E74),0)</x:f>
        <x:v>1008</x:v>
      </x:c>
      <x:c r="J74" s="18" t="n">
        <x:f>ROUND('参数'!$G$6*B74*(1+E74),0)</x:f>
        <x:v>17946</x:v>
      </x:c>
      <x:c r="K74" s="18" t="n">
        <x:f>ROUND('参数'!$I$6*D74*(1+E74),0)</x:f>
        <x:v>728</x:v>
      </x:c>
      <x:c r="L74" s="18" t="n">
        <x:f>ROUND('参数'!$H$7*C74*(1+E74),0)</x:f>
        <x:v>784</x:v>
      </x:c>
      <x:c r="M74" s="18" t="n">
        <x:f>MAX(1,5*INT(A74/5))</x:f>
        <x:v>65</x:v>
      </x:c>
      <x:c r="N74" s="18" t="n">
        <x:f>'参数'!$B$18*'参数'!$B$19^(M74-1)*'参数'!$B$48*'参数'!$B$49*MIN(1,(A74-1)/19)</x:f>
        <x:v>421.2781495311122</x:v>
      </x:c>
      <x:c r="O74" s="18" t="n">
        <x:f>ROUND(F74+N74*'参数'!$K$21,0)</x:f>
        <x:v>2601</x:v>
      </x:c>
      <x:c r="P74" s="18" t="n">
        <x:f>ROUND((J74+N74*'参数'!$L$21)*(1+'参数'!$B$40*MIN(1,(A74-1)/19)),0)</x:f>
        <x:v>30028</x:v>
      </x:c>
      <x:c r="Q74" s="18" t="n">
        <x:f>ROUND((K74+N74*'参数'!$M$21)*(1+'参数'!$B$41*MIN(1,(A74-1)/19)),0)</x:f>
        <x:v>1612</x:v>
      </x:c>
      <x:c r="R74" s="21" t="n">
        <x:f>N74*'参数'!$K$21/O74</x:f>
        <x:v>0.46160812232359466</x:v>
      </x:c>
      <x:c r="S74" s="52" t="n">
        <x:f>INDEX('参数'!$I$59:$I$74,'参数'!$B$47+1)</x:f>
        <x:v>0</x:v>
      </x:c>
      <x:c r="T74" s="52" t="n">
        <x:f>INDEX('参数'!$J$59:$J$74,'参数'!$B$47+1)</x:f>
        <x:v>0</x:v>
      </x:c>
    </x:row>
    <x:row r="75" ht="22" customHeight="1">
      <x:c r="A75" s="19" t="n">
        <x:v>70</x:v>
      </x:c>
      <x:c r="B75" s="20" t="n">
        <x:f>'参数'!$B$16^(A75-1)</x:f>
        <x:v>11.47686103818113</x:v>
      </x:c>
      <x:c r="C75" s="20" t="n">
        <x:f>'参数'!$B$15^(A75-1)</x:f>
        <x:v>10.737029237362501</x:v>
      </x:c>
      <x:c r="D75" s="20" t="n">
        <x:f>'参数'!$B$17^(A75-1)</x:f>
        <x:v>10.737029237362501</x:v>
      </x:c>
      <x:c r="E75" s="22" t="n">
        <x:f>IF(A75&gt;40,'参数'!$B$54,0)+IF(A75&gt;80,'参数'!$B$55,0)</x:f>
        <x:v>0.08</x:v>
      </x:c>
      <x:c r="F75" s="19" t="n">
        <x:f>ROUND('参数'!$H$5*C75*(1+E75),0)</x:f>
        <x:v>1449</x:v>
      </x:c>
      <x:c r="G75" s="19" t="n">
        <x:f>ROUND('参数'!$G$5*B75*(1+E75),0)</x:f>
        <x:v>12395</x:v>
      </x:c>
      <x:c r="H75" s="19" t="n">
        <x:f>ROUND('参数'!$I$5*D75*(1+E75),0)</x:f>
        <x:v>406</x:v>
      </x:c>
      <x:c r="I75" s="19" t="n">
        <x:f>ROUND('参数'!$H$6*C75*(1+E75),0)</x:f>
        <x:v>1044</x:v>
      </x:c>
      <x:c r="J75" s="19" t="n">
        <x:f>ROUND('参数'!$G$6*B75*(1+E75),0)</x:f>
        <x:v>18593</x:v>
      </x:c>
      <x:c r="K75" s="19" t="n">
        <x:f>ROUND('参数'!$I$6*D75*(1+E75),0)</x:f>
        <x:v>754</x:v>
      </x:c>
      <x:c r="L75" s="19" t="n">
        <x:f>ROUND('参数'!$H$7*C75*(1+E75),0)</x:f>
        <x:v>812</x:v>
      </x:c>
      <x:c r="M75" s="19" t="n">
        <x:f>MAX(1,5*INT(A75/5))</x:f>
        <x:v>70</x:v>
      </x:c>
      <x:c r="N75" s="19" t="n">
        <x:f>'参数'!$B$18*'参数'!$B$19^(M75-1)*'参数'!$B$48*'参数'!$B$49*MIN(1,(A75-1)/19)</x:f>
        <x:v>505.1992720110145</x:v>
      </x:c>
      <x:c r="O75" s="19" t="n">
        <x:f>ROUND(F75+N75*'参数'!$K$21,0)</x:f>
        <x:v>2889</x:v>
      </x:c>
      <x:c r="P75" s="19" t="n">
        <x:f>ROUND((J75+N75*'参数'!$L$21)*(1+'参数'!$B$40*MIN(1,(A75-1)/19)),0)</x:f>
        <x:v>32789</x:v>
      </x:c>
      <x:c r="Q75" s="19" t="n">
        <x:f>ROUND((K75+N75*'参数'!$M$21)*(1+'参数'!$B$41*MIN(1,(A75-1)/19)),0)</x:f>
        <x:v>1802</x:v>
      </x:c>
      <x:c r="R75" s="22" t="n">
        <x:f>N75*'参数'!$K$21/O75</x:f>
        <x:v>0.4983793441437838</x:v>
      </x:c>
      <x:c r="S75" s="52" t="n">
        <x:f>INDEX('参数'!$I$59:$I$74,'参数'!$B$47+1)</x:f>
        <x:v>0</x:v>
      </x:c>
      <x:c r="T75" s="52" t="n">
        <x:f>INDEX('参数'!$J$59:$J$74,'参数'!$B$47+1)</x:f>
        <x:v>0</x:v>
      </x:c>
    </x:row>
    <x:row r="76" ht="22" customHeight="1">
      <x:c r="A76" s="18" t="n">
        <x:v>71</x:v>
      </x:c>
      <x:c r="B76" s="15" t="n">
        <x:f>'参数'!$B$16^(A76-1)</x:f>
        <x:v>11.890028035555652</x:v>
      </x:c>
      <x:c r="C76" s="15" t="n">
        <x:f>'参数'!$B$15^(A76-1)</x:f>
        <x:v>11.112825260670187</x:v>
      </x:c>
      <x:c r="D76" s="15" t="n">
        <x:f>'参数'!$B$17^(A76-1)</x:f>
        <x:v>11.112825260670187</x:v>
      </x:c>
      <x:c r="E76" s="21" t="n">
        <x:f>IF(A76&gt;40,'参数'!$B$54,0)+IF(A76&gt;80,'参数'!$B$55,0)</x:f>
        <x:v>0.08</x:v>
      </x:c>
      <x:c r="F76" s="18" t="n">
        <x:f>ROUND('参数'!$H$5*C76*(1+E76),0)</x:f>
        <x:v>1500</x:v>
      </x:c>
      <x:c r="G76" s="18" t="n">
        <x:f>ROUND('参数'!$G$5*B76*(1+E76),0)</x:f>
        <x:v>12841</x:v>
      </x:c>
      <x:c r="H76" s="18" t="n">
        <x:f>ROUND('参数'!$I$5*D76*(1+E76),0)</x:f>
        <x:v>420</x:v>
      </x:c>
      <x:c r="I76" s="18" t="n">
        <x:f>ROUND('参数'!$H$6*C76*(1+E76),0)</x:f>
        <x:v>1080</x:v>
      </x:c>
      <x:c r="J76" s="18" t="n">
        <x:f>ROUND('参数'!$G$6*B76*(1+E76),0)</x:f>
        <x:v>19262</x:v>
      </x:c>
      <x:c r="K76" s="18" t="n">
        <x:f>ROUND('参数'!$I$6*D76*(1+E76),0)</x:f>
        <x:v>780</x:v>
      </x:c>
      <x:c r="L76" s="18" t="n">
        <x:f>ROUND('参数'!$H$7*C76*(1+E76),0)</x:f>
        <x:v>840</x:v>
      </x:c>
      <x:c r="M76" s="18" t="n">
        <x:f>MAX(1,5*INT(A76/5))</x:f>
        <x:v>70</x:v>
      </x:c>
      <x:c r="N76" s="18" t="n">
        <x:f>'参数'!$B$18*'参数'!$B$19^(M76-1)*'参数'!$B$48*'参数'!$B$49*MIN(1,(A76-1)/19)</x:f>
        <x:v>505.1992720110145</x:v>
      </x:c>
      <x:c r="O76" s="18" t="n">
        <x:f>ROUND(F76+N76*'参数'!$K$21,0)</x:f>
        <x:v>2940</x:v>
      </x:c>
      <x:c r="P76" s="18" t="n">
        <x:f>ROUND((J76+N76*'参数'!$L$21)*(1+'参数'!$B$40*MIN(1,(A76-1)/19)),0)</x:f>
        <x:v>33525</x:v>
      </x:c>
      <x:c r="Q76" s="18" t="n">
        <x:f>ROUND((K76+N76*'参数'!$M$21)*(1+'参数'!$B$41*MIN(1,(A76-1)/19)),0)</x:f>
        <x:v>1831</x:v>
      </x:c>
      <x:c r="R76" s="21" t="n">
        <x:f>N76*'参数'!$K$21/O76</x:f>
        <x:v>0.48973398817394265</x:v>
      </x:c>
      <x:c r="S76" s="52" t="n">
        <x:f>INDEX('参数'!$I$59:$I$74,'参数'!$B$47+1)</x:f>
        <x:v>0</x:v>
      </x:c>
      <x:c r="T76" s="52" t="n">
        <x:f>INDEX('参数'!$J$59:$J$74,'参数'!$B$47+1)</x:f>
        <x:v>0</x:v>
      </x:c>
    </x:row>
    <x:row r="77" ht="22" customHeight="1">
      <x:c r="A77" s="19" t="n">
        <x:v>72</x:v>
      </x:c>
      <x:c r="B77" s="20" t="n">
        <x:f>'参数'!$B$16^(A77-1)</x:f>
        <x:v>12.318069044835655</x:v>
      </x:c>
      <x:c r="C77" s="20" t="n">
        <x:f>'参数'!$B$15^(A77-1)</x:f>
        <x:v>11.501774144793643</x:v>
      </x:c>
      <x:c r="D77" s="20" t="n">
        <x:f>'参数'!$B$17^(A77-1)</x:f>
        <x:v>11.501774144793643</x:v>
      </x:c>
      <x:c r="E77" s="22" t="n">
        <x:f>IF(A77&gt;40,'参数'!$B$54,0)+IF(A77&gt;80,'参数'!$B$55,0)</x:f>
        <x:v>0.08</x:v>
      </x:c>
      <x:c r="F77" s="19" t="n">
        <x:f>ROUND('参数'!$H$5*C77*(1+E77),0)</x:f>
        <x:v>1553</x:v>
      </x:c>
      <x:c r="G77" s="19" t="n">
        <x:f>ROUND('参数'!$G$5*B77*(1+E77),0)</x:f>
        <x:v>13304</x:v>
      </x:c>
      <x:c r="H77" s="19" t="n">
        <x:f>ROUND('参数'!$I$5*D77*(1+E77),0)</x:f>
        <x:v>435</x:v>
      </x:c>
      <x:c r="I77" s="19" t="n">
        <x:f>ROUND('参数'!$H$6*C77*(1+E77),0)</x:f>
        <x:v>1118</x:v>
      </x:c>
      <x:c r="J77" s="19" t="n">
        <x:f>ROUND('参数'!$G$6*B77*(1+E77),0)</x:f>
        <x:v>19955</x:v>
      </x:c>
      <x:c r="K77" s="19" t="n">
        <x:f>ROUND('参数'!$I$6*D77*(1+E77),0)</x:f>
        <x:v>807</x:v>
      </x:c>
      <x:c r="L77" s="19" t="n">
        <x:f>ROUND('参数'!$H$7*C77*(1+E77),0)</x:f>
        <x:v>870</x:v>
      </x:c>
      <x:c r="M77" s="19" t="n">
        <x:f>MAX(1,5*INT(A77/5))</x:f>
        <x:v>70</x:v>
      </x:c>
      <x:c r="N77" s="19" t="n">
        <x:f>'参数'!$B$18*'参数'!$B$19^(M77-1)*'参数'!$B$48*'参数'!$B$49*MIN(1,(A77-1)/19)</x:f>
        <x:v>505.1992720110145</x:v>
      </x:c>
      <x:c r="O77" s="19" t="n">
        <x:f>ROUND(F77+N77*'参数'!$K$21,0)</x:f>
        <x:v>2993</x:v>
      </x:c>
      <x:c r="P77" s="19" t="n">
        <x:f>ROUND((J77+N77*'参数'!$L$21)*(1+'参数'!$B$40*MIN(1,(A77-1)/19)),0)</x:f>
        <x:v>34287</x:v>
      </x:c>
      <x:c r="Q77" s="19" t="n">
        <x:f>ROUND((K77+N77*'参数'!$M$21)*(1+'参数'!$B$41*MIN(1,(A77-1)/19)),0)</x:f>
        <x:v>1860</x:v>
      </x:c>
      <x:c r="R77" s="22" t="n">
        <x:f>N77*'参数'!$K$21/O77</x:f>
        <x:v>0.48106178591092263</x:v>
      </x:c>
      <x:c r="S77" s="52" t="n">
        <x:f>INDEX('参数'!$I$59:$I$74,'参数'!$B$47+1)</x:f>
        <x:v>0</x:v>
      </x:c>
      <x:c r="T77" s="52" t="n">
        <x:f>INDEX('参数'!$J$59:$J$74,'参数'!$B$47+1)</x:f>
        <x:v>0</x:v>
      </x:c>
    </x:row>
    <x:row r="78" ht="22" customHeight="1">
      <x:c r="A78" s="18" t="n">
        <x:v>73</x:v>
      </x:c>
      <x:c r="B78" s="15" t="n">
        <x:f>'参数'!$B$16^(A78-1)</x:f>
        <x:v>12.761519530449739</x:v>
      </x:c>
      <x:c r="C78" s="15" t="n">
        <x:f>'参数'!$B$15^(A78-1)</x:f>
        <x:v>11.904336239861419</x:v>
      </x:c>
      <x:c r="D78" s="15" t="n">
        <x:f>'参数'!$B$17^(A78-1)</x:f>
        <x:v>11.904336239861419</x:v>
      </x:c>
      <x:c r="E78" s="21" t="n">
        <x:f>IF(A78&gt;40,'参数'!$B$54,0)+IF(A78&gt;80,'参数'!$B$55,0)</x:f>
        <x:v>0.08</x:v>
      </x:c>
      <x:c r="F78" s="18" t="n">
        <x:f>ROUND('参数'!$H$5*C78*(1+E78),0)</x:f>
        <x:v>1607</x:v>
      </x:c>
      <x:c r="G78" s="18" t="n">
        <x:f>ROUND('参数'!$G$5*B78*(1+E78),0)</x:f>
        <x:v>13782</x:v>
      </x:c>
      <x:c r="H78" s="18" t="n">
        <x:f>ROUND('参数'!$I$5*D78*(1+E78),0)</x:f>
        <x:v>450</x:v>
      </x:c>
      <x:c r="I78" s="18" t="n">
        <x:f>ROUND('参数'!$H$6*C78*(1+E78),0)</x:f>
        <x:v>1157</x:v>
      </x:c>
      <x:c r="J78" s="18" t="n">
        <x:f>ROUND('参数'!$G$6*B78*(1+E78),0)</x:f>
        <x:v>20674</x:v>
      </x:c>
      <x:c r="K78" s="18" t="n">
        <x:f>ROUND('参数'!$I$6*D78*(1+E78),0)</x:f>
        <x:v>836</x:v>
      </x:c>
      <x:c r="L78" s="18" t="n">
        <x:f>ROUND('参数'!$H$7*C78*(1+E78),0)</x:f>
        <x:v>900</x:v>
      </x:c>
      <x:c r="M78" s="18" t="n">
        <x:f>MAX(1,5*INT(A78/5))</x:f>
        <x:v>70</x:v>
      </x:c>
      <x:c r="N78" s="18" t="n">
        <x:f>'参数'!$B$18*'参数'!$B$19^(M78-1)*'参数'!$B$48*'参数'!$B$49*MIN(1,(A78-1)/19)</x:f>
        <x:v>505.1992720110145</x:v>
      </x:c>
      <x:c r="O78" s="18" t="n">
        <x:f>ROUND(F78+N78*'参数'!$K$21,0)</x:f>
        <x:v>3047</x:v>
      </x:c>
      <x:c r="P78" s="18" t="n">
        <x:f>ROUND((J78+N78*'参数'!$L$21)*(1+'参数'!$B$40*MIN(1,(A78-1)/19)),0)</x:f>
        <x:v>35078</x:v>
      </x:c>
      <x:c r="Q78" s="18" t="n">
        <x:f>ROUND((K78+N78*'参数'!$M$21)*(1+'参数'!$B$41*MIN(1,(A78-1)/19)),0)</x:f>
        <x:v>1892</x:v>
      </x:c>
      <x:c r="R78" s="21" t="n">
        <x:f>N78*'参数'!$K$21/O78</x:f>
        <x:v>0.4725362406404304</x:v>
      </x:c>
      <x:c r="S78" s="52" t="n">
        <x:f>INDEX('参数'!$I$59:$I$74,'参数'!$B$47+1)</x:f>
        <x:v>0</x:v>
      </x:c>
      <x:c r="T78" s="52" t="n">
        <x:f>INDEX('参数'!$J$59:$J$74,'参数'!$B$47+1)</x:f>
        <x:v>0</x:v>
      </x:c>
    </x:row>
    <x:row r="79" ht="22" customHeight="1">
      <x:c r="A79" s="19" t="n">
        <x:v>74</x:v>
      </x:c>
      <x:c r="B79" s="20" t="n">
        <x:f>'参数'!$B$16^(A79-1)</x:f>
        <x:v>13.22093423354593</x:v>
      </x:c>
      <x:c r="C79" s="20" t="n">
        <x:f>'参数'!$B$15^(A79-1)</x:f>
        <x:v>12.320988008256569</x:v>
      </x:c>
      <x:c r="D79" s="20" t="n">
        <x:f>'参数'!$B$17^(A79-1)</x:f>
        <x:v>12.320988008256569</x:v>
      </x:c>
      <x:c r="E79" s="22" t="n">
        <x:f>IF(A79&gt;40,'参数'!$B$54,0)+IF(A79&gt;80,'参数'!$B$55,0)</x:f>
        <x:v>0.08</x:v>
      </x:c>
      <x:c r="F79" s="19" t="n">
        <x:f>ROUND('参数'!$H$5*C79*(1+E79),0)</x:f>
        <x:v>1663</x:v>
      </x:c>
      <x:c r="G79" s="19" t="n">
        <x:f>ROUND('参数'!$G$5*B79*(1+E79),0)</x:f>
        <x:v>14279</x:v>
      </x:c>
      <x:c r="H79" s="19" t="n">
        <x:f>ROUND('参数'!$I$5*D79*(1+E79),0)</x:f>
        <x:v>466</x:v>
      </x:c>
      <x:c r="I79" s="19" t="n">
        <x:f>ROUND('参数'!$H$6*C79*(1+E79),0)</x:f>
        <x:v>1198</x:v>
      </x:c>
      <x:c r="J79" s="19" t="n">
        <x:f>ROUND('参数'!$G$6*B79*(1+E79),0)</x:f>
        <x:v>21418</x:v>
      </x:c>
      <x:c r="K79" s="19" t="n">
        <x:f>ROUND('参数'!$I$6*D79*(1+E79),0)</x:f>
        <x:v>865</x:v>
      </x:c>
      <x:c r="L79" s="19" t="n">
        <x:f>ROUND('参数'!$H$7*C79*(1+E79),0)</x:f>
        <x:v>931</x:v>
      </x:c>
      <x:c r="M79" s="19" t="n">
        <x:f>MAX(1,5*INT(A79/5))</x:f>
        <x:v>70</x:v>
      </x:c>
      <x:c r="N79" s="19" t="n">
        <x:f>'参数'!$B$18*'参数'!$B$19^(M79-1)*'参数'!$B$48*'参数'!$B$49*MIN(1,(A79-1)/19)</x:f>
        <x:v>505.1992720110145</x:v>
      </x:c>
      <x:c r="O79" s="19" t="n">
        <x:f>ROUND(F79+N79*'参数'!$K$21,0)</x:f>
        <x:v>3103</x:v>
      </x:c>
      <x:c r="P79" s="19" t="n">
        <x:f>ROUND((J79+N79*'参数'!$L$21)*(1+'参数'!$B$40*MIN(1,(A79-1)/19)),0)</x:f>
        <x:v>35897</x:v>
      </x:c>
      <x:c r="Q79" s="19" t="n">
        <x:f>ROUND((K79+N79*'参数'!$M$21)*(1+'参数'!$B$41*MIN(1,(A79-1)/19)),0)</x:f>
        <x:v>1924</x:v>
      </x:c>
      <x:c r="R79" s="22" t="n">
        <x:f>N79*'参数'!$K$21/O79</x:f>
        <x:v>0.4640083548924884</x:v>
      </x:c>
      <x:c r="S79" s="52" t="n">
        <x:f>INDEX('参数'!$I$59:$I$74,'参数'!$B$47+1)</x:f>
        <x:v>0</x:v>
      </x:c>
      <x:c r="T79" s="52" t="n">
        <x:f>INDEX('参数'!$J$59:$J$74,'参数'!$B$47+1)</x:f>
        <x:v>0</x:v>
      </x:c>
    </x:row>
    <x:row r="80" ht="22" customHeight="1">
      <x:c r="A80" s="18" t="n">
        <x:v>75</x:v>
      </x:c>
      <x:c r="B80" s="15" t="n">
        <x:f>'参数'!$B$16^(A80-1)</x:f>
        <x:v>13.696887865953585</x:v>
      </x:c>
      <x:c r="C80" s="15" t="n">
        <x:f>'参数'!$B$15^(A80-1)</x:f>
        <x:v>12.752222588545546</x:v>
      </x:c>
      <x:c r="D80" s="15" t="n">
        <x:f>'参数'!$B$17^(A80-1)</x:f>
        <x:v>12.752222588545546</x:v>
      </x:c>
      <x:c r="E80" s="21" t="n">
        <x:f>IF(A80&gt;40,'参数'!$B$54,0)+IF(A80&gt;80,'参数'!$B$55,0)</x:f>
        <x:v>0.08</x:v>
      </x:c>
      <x:c r="F80" s="18" t="n">
        <x:f>ROUND('参数'!$H$5*C80*(1+E80),0)</x:f>
        <x:v>1722</x:v>
      </x:c>
      <x:c r="G80" s="18" t="n">
        <x:f>ROUND('参数'!$G$5*B80*(1+E80),0)</x:f>
        <x:v>14793</x:v>
      </x:c>
      <x:c r="H80" s="18" t="n">
        <x:f>ROUND('参数'!$I$5*D80*(1+E80),0)</x:f>
        <x:v>482</x:v>
      </x:c>
      <x:c r="I80" s="18" t="n">
        <x:f>ROUND('参数'!$H$6*C80*(1+E80),0)</x:f>
        <x:v>1240</x:v>
      </x:c>
      <x:c r="J80" s="18" t="n">
        <x:f>ROUND('参数'!$G$6*B80*(1+E80),0)</x:f>
        <x:v>22189</x:v>
      </x:c>
      <x:c r="K80" s="18" t="n">
        <x:f>ROUND('参数'!$I$6*D80*(1+E80),0)</x:f>
        <x:v>895</x:v>
      </x:c>
      <x:c r="L80" s="18" t="n">
        <x:f>ROUND('参数'!$H$7*C80*(1+E80),0)</x:f>
        <x:v>964</x:v>
      </x:c>
      <x:c r="M80" s="18" t="n">
        <x:f>MAX(1,5*INT(A80/5))</x:f>
        <x:v>75</x:v>
      </x:c>
      <x:c r="N80" s="18" t="n">
        <x:f>'参数'!$B$18*'参数'!$B$19^(M80-1)*'参数'!$B$48*'参数'!$B$49*MIN(1,(A80-1)/19)</x:f>
        <x:v>605.8379831105153</x:v>
      </x:c>
      <x:c r="O80" s="18" t="n">
        <x:f>ROUND(F80+N80*'参数'!$K$21,0)</x:f>
        <x:v>3449</x:v>
      </x:c>
      <x:c r="P80" s="18" t="n">
        <x:f>ROUND((J80+N80*'参数'!$L$21)*(1+'参数'!$B$40*MIN(1,(A80-1)/19)),0)</x:f>
        <x:v>39202</x:v>
      </x:c>
      <x:c r="Q80" s="18" t="n">
        <x:f>ROUND((K80+N80*'参数'!$M$21)*(1+'参数'!$B$41*MIN(1,(A80-1)/19)),0)</x:f>
        <x:v>2151</x:v>
      </x:c>
      <x:c r="R80" s="21" t="n">
        <x:f>N80*'参数'!$K$21/O80</x:f>
        <x:v>0.5006199628486427</x:v>
      </x:c>
      <x:c r="S80" s="52" t="n">
        <x:f>INDEX('参数'!$I$59:$I$74,'参数'!$B$47+1)</x:f>
        <x:v>0</x:v>
      </x:c>
      <x:c r="T80" s="52" t="n">
        <x:f>INDEX('参数'!$J$59:$J$74,'参数'!$B$47+1)</x:f>
        <x:v>0</x:v>
      </x:c>
    </x:row>
    <x:row r="81" ht="22" customHeight="1">
      <x:c r="A81" s="19" t="n">
        <x:v>76</x:v>
      </x:c>
      <x:c r="B81" s="20" t="n">
        <x:f>'参数'!$B$16^(A81-1)</x:f>
        <x:v>14.189975829127913</x:v>
      </x:c>
      <x:c r="C81" s="20" t="n">
        <x:f>'参数'!$B$15^(A81-1)</x:f>
        <x:v>13.19855037914464</x:v>
      </x:c>
      <x:c r="D81" s="20" t="n">
        <x:f>'参数'!$B$17^(A81-1)</x:f>
        <x:v>13.19855037914464</x:v>
      </x:c>
      <x:c r="E81" s="22" t="n">
        <x:f>IF(A81&gt;40,'参数'!$B$54,0)+IF(A81&gt;80,'参数'!$B$55,0)</x:f>
        <x:v>0.08</x:v>
      </x:c>
      <x:c r="F81" s="19" t="n">
        <x:f>ROUND('参数'!$H$5*C81*(1+E81),0)</x:f>
        <x:v>1782</x:v>
      </x:c>
      <x:c r="G81" s="19" t="n">
        <x:f>ROUND('参数'!$G$5*B81*(1+E81),0)</x:f>
        <x:v>15325</x:v>
      </x:c>
      <x:c r="H81" s="19" t="n">
        <x:f>ROUND('参数'!$I$5*D81*(1+E81),0)</x:f>
        <x:v>499</x:v>
      </x:c>
      <x:c r="I81" s="19" t="n">
        <x:f>ROUND('参数'!$H$6*C81*(1+E81),0)</x:f>
        <x:v>1283</x:v>
      </x:c>
      <x:c r="J81" s="19" t="n">
        <x:f>ROUND('参数'!$G$6*B81*(1+E81),0)</x:f>
        <x:v>22988</x:v>
      </x:c>
      <x:c r="K81" s="19" t="n">
        <x:f>ROUND('参数'!$I$6*D81*(1+E81),0)</x:f>
        <x:v>927</x:v>
      </x:c>
      <x:c r="L81" s="19" t="n">
        <x:f>ROUND('参数'!$H$7*C81*(1+E81),0)</x:f>
        <x:v>998</x:v>
      </x:c>
      <x:c r="M81" s="19" t="n">
        <x:f>MAX(1,5*INT(A81/5))</x:f>
        <x:v>75</x:v>
      </x:c>
      <x:c r="N81" s="19" t="n">
        <x:f>'参数'!$B$18*'参数'!$B$19^(M81-1)*'参数'!$B$48*'参数'!$B$49*MIN(1,(A81-1)/19)</x:f>
        <x:v>605.8379831105153</x:v>
      </x:c>
      <x:c r="O81" s="19" t="n">
        <x:f>ROUND(F81+N81*'参数'!$K$21,0)</x:f>
        <x:v>3509</x:v>
      </x:c>
      <x:c r="P81" s="19" t="n">
        <x:f>ROUND((J81+N81*'参数'!$L$21)*(1+'参数'!$B$40*MIN(1,(A81-1)/19)),0)</x:f>
        <x:v>40081</x:v>
      </x:c>
      <x:c r="Q81" s="19" t="n">
        <x:f>ROUND((K81+N81*'参数'!$M$21)*(1+'参数'!$B$41*MIN(1,(A81-1)/19)),0)</x:f>
        <x:v>2186</x:v>
      </x:c>
      <x:c r="R81" s="22" t="n">
        <x:f>N81*'参数'!$K$21/O81</x:f>
        <x:v>0.49205991788685344</x:v>
      </x:c>
      <x:c r="S81" s="52" t="n">
        <x:f>INDEX('参数'!$I$59:$I$74,'参数'!$B$47+1)</x:f>
        <x:v>0</x:v>
      </x:c>
      <x:c r="T81" s="52" t="n">
        <x:f>INDEX('参数'!$J$59:$J$74,'参数'!$B$47+1)</x:f>
        <x:v>0</x:v>
      </x:c>
    </x:row>
    <x:row r="82" ht="22" customHeight="1">
      <x:c r="A82" s="18" t="n">
        <x:v>77</x:v>
      </x:c>
      <x:c r="B82" s="15" t="n">
        <x:f>'参数'!$B$16^(A82-1)</x:f>
        <x:v>14.700814958976519</x:v>
      </x:c>
      <x:c r="C82" s="15" t="n">
        <x:f>'参数'!$B$15^(A82-1)</x:f>
        <x:v>13.6604996424147</x:v>
      </x:c>
      <x:c r="D82" s="15" t="n">
        <x:f>'参数'!$B$17^(A82-1)</x:f>
        <x:v>13.6604996424147</x:v>
      </x:c>
      <x:c r="E82" s="21" t="n">
        <x:f>IF(A82&gt;40,'参数'!$B$54,0)+IF(A82&gt;80,'参数'!$B$55,0)</x:f>
        <x:v>0.08</x:v>
      </x:c>
      <x:c r="F82" s="18" t="n">
        <x:f>ROUND('参数'!$H$5*C82*(1+E82),0)</x:f>
        <x:v>1844</x:v>
      </x:c>
      <x:c r="G82" s="18" t="n">
        <x:f>ROUND('参数'!$G$5*B82*(1+E82),0)</x:f>
        <x:v>15877</x:v>
      </x:c>
      <x:c r="H82" s="18" t="n">
        <x:f>ROUND('参数'!$I$5*D82*(1+E82),0)</x:f>
        <x:v>516</x:v>
      </x:c>
      <x:c r="I82" s="18" t="n">
        <x:f>ROUND('参数'!$H$6*C82*(1+E82),0)</x:f>
        <x:v>1328</x:v>
      </x:c>
      <x:c r="J82" s="18" t="n">
        <x:f>ROUND('参数'!$G$6*B82*(1+E82),0)</x:f>
        <x:v>23815</x:v>
      </x:c>
      <x:c r="K82" s="18" t="n">
        <x:f>ROUND('参数'!$I$6*D82*(1+E82),0)</x:f>
        <x:v>959</x:v>
      </x:c>
      <x:c r="L82" s="18" t="n">
        <x:f>ROUND('参数'!$H$7*C82*(1+E82),0)</x:f>
        <x:v>1033</x:v>
      </x:c>
      <x:c r="M82" s="18" t="n">
        <x:f>MAX(1,5*INT(A82/5))</x:f>
        <x:v>75</x:v>
      </x:c>
      <x:c r="N82" s="18" t="n">
        <x:f>'参数'!$B$18*'参数'!$B$19^(M82-1)*'参数'!$B$48*'参数'!$B$49*MIN(1,(A82-1)/19)</x:f>
        <x:v>605.8379831105153</x:v>
      </x:c>
      <x:c r="O82" s="18" t="n">
        <x:f>ROUND(F82+N82*'参数'!$K$21,0)</x:f>
        <x:v>3571</x:v>
      </x:c>
      <x:c r="P82" s="18" t="n">
        <x:f>ROUND((J82+N82*'参数'!$L$21)*(1+'参数'!$B$40*MIN(1,(A82-1)/19)),0)</x:f>
        <x:v>40991</x:v>
      </x:c>
      <x:c r="Q82" s="18" t="n">
        <x:f>ROUND((K82+N82*'参数'!$M$21)*(1+'参数'!$B$41*MIN(1,(A82-1)/19)),0)</x:f>
        <x:v>2221</x:v>
      </x:c>
      <x:c r="R82" s="21" t="n">
        <x:f>N82*'参数'!$K$21/O82</x:f>
        <x:v>0.48351673253009486</x:v>
      </x:c>
      <x:c r="S82" s="52" t="n">
        <x:f>INDEX('参数'!$I$59:$I$74,'参数'!$B$47+1)</x:f>
        <x:v>0</x:v>
      </x:c>
      <x:c r="T82" s="52" t="n">
        <x:f>INDEX('参数'!$J$59:$J$74,'参数'!$B$47+1)</x:f>
        <x:v>0</x:v>
      </x:c>
    </x:row>
    <x:row r="83" ht="22" customHeight="1">
      <x:c r="A83" s="19" t="n">
        <x:v>78</x:v>
      </x:c>
      <x:c r="B83" s="20" t="n">
        <x:f>'参数'!$B$16^(A83-1)</x:f>
        <x:v>15.230044297499674</x:v>
      </x:c>
      <x:c r="C83" s="20" t="n">
        <x:f>'参数'!$B$15^(A83-1)</x:f>
        <x:v>14.138617129899215</x:v>
      </x:c>
      <x:c r="D83" s="20" t="n">
        <x:f>'参数'!$B$17^(A83-1)</x:f>
        <x:v>14.138617129899215</x:v>
      </x:c>
      <x:c r="E83" s="22" t="n">
        <x:f>IF(A83&gt;40,'参数'!$B$54,0)+IF(A83&gt;80,'参数'!$B$55,0)</x:f>
        <x:v>0.08</x:v>
      </x:c>
      <x:c r="F83" s="19" t="n">
        <x:f>ROUND('参数'!$H$5*C83*(1+E83),0)</x:f>
        <x:v>1909</x:v>
      </x:c>
      <x:c r="G83" s="19" t="n">
        <x:f>ROUND('参数'!$G$5*B83*(1+E83),0)</x:f>
        <x:v>16448</x:v>
      </x:c>
      <x:c r="H83" s="19" t="n">
        <x:f>ROUND('参数'!$I$5*D83*(1+E83),0)</x:f>
        <x:v>534</x:v>
      </x:c>
      <x:c r="I83" s="19" t="n">
        <x:f>ROUND('参数'!$H$6*C83*(1+E83),0)</x:f>
        <x:v>1374</x:v>
      </x:c>
      <x:c r="J83" s="19" t="n">
        <x:f>ROUND('参数'!$G$6*B83*(1+E83),0)</x:f>
        <x:v>24673</x:v>
      </x:c>
      <x:c r="K83" s="19" t="n">
        <x:f>ROUND('参数'!$I$6*D83*(1+E83),0)</x:f>
        <x:v>993</x:v>
      </x:c>
      <x:c r="L83" s="19" t="n">
        <x:f>ROUND('参数'!$H$7*C83*(1+E83),0)</x:f>
        <x:v>1069</x:v>
      </x:c>
      <x:c r="M83" s="19" t="n">
        <x:f>MAX(1,5*INT(A83/5))</x:f>
        <x:v>75</x:v>
      </x:c>
      <x:c r="N83" s="19" t="n">
        <x:f>'参数'!$B$18*'参数'!$B$19^(M83-1)*'参数'!$B$48*'参数'!$B$49*MIN(1,(A83-1)/19)</x:f>
        <x:v>605.8379831105153</x:v>
      </x:c>
      <x:c r="O83" s="19" t="n">
        <x:f>ROUND(F83+N83*'参数'!$K$21,0)</x:f>
        <x:v>3636</x:v>
      </x:c>
      <x:c r="P83" s="19" t="n">
        <x:f>ROUND((J83+N83*'参数'!$L$21)*(1+'参数'!$B$40*MIN(1,(A83-1)/19)),0)</x:f>
        <x:v>41935</x:v>
      </x:c>
      <x:c r="Q83" s="19" t="n">
        <x:f>ROUND((K83+N83*'参数'!$M$21)*(1+'参数'!$B$41*MIN(1,(A83-1)/19)),0)</x:f>
        <x:v>2259</x:v>
      </x:c>
      <x:c r="R83" s="22" t="n">
        <x:f>N83*'参数'!$K$21/O83</x:f>
        <x:v>0.4748730065635227</x:v>
      </x:c>
      <x:c r="S83" s="52" t="n">
        <x:f>INDEX('参数'!$I$59:$I$74,'参数'!$B$47+1)</x:f>
        <x:v>0</x:v>
      </x:c>
      <x:c r="T83" s="52" t="n">
        <x:f>INDEX('参数'!$J$59:$J$74,'参数'!$B$47+1)</x:f>
        <x:v>0</x:v>
      </x:c>
    </x:row>
    <x:row r="84" ht="22" customHeight="1">
      <x:c r="A84" s="18" t="n">
        <x:v>79</x:v>
      </x:c>
      <x:c r="B84" s="15" t="n">
        <x:f>'参数'!$B$16^(A84-1)</x:f>
        <x:v>15.778325892209663</x:v>
      </x:c>
      <x:c r="C84" s="15" t="n">
        <x:f>'参数'!$B$15^(A84-1)</x:f>
        <x:v>14.633468729445687</x:v>
      </x:c>
      <x:c r="D84" s="15" t="n">
        <x:f>'参数'!$B$17^(A84-1)</x:f>
        <x:v>14.633468729445687</x:v>
      </x:c>
      <x:c r="E84" s="21" t="n">
        <x:f>IF(A84&gt;40,'参数'!$B$54,0)+IF(A84&gt;80,'参数'!$B$55,0)</x:f>
        <x:v>0.08</x:v>
      </x:c>
      <x:c r="F84" s="18" t="n">
        <x:f>ROUND('参数'!$H$5*C84*(1+E84),0)</x:f>
        <x:v>1976</x:v>
      </x:c>
      <x:c r="G84" s="18" t="n">
        <x:f>ROUND('参数'!$G$5*B84*(1+E84),0)</x:f>
        <x:v>17041</x:v>
      </x:c>
      <x:c r="H84" s="18" t="n">
        <x:f>ROUND('参数'!$I$5*D84*(1+E84),0)</x:f>
        <x:v>553</x:v>
      </x:c>
      <x:c r="I84" s="18" t="n">
        <x:f>ROUND('参数'!$H$6*C84*(1+E84),0)</x:f>
        <x:v>1422</x:v>
      </x:c>
      <x:c r="J84" s="18" t="n">
        <x:f>ROUND('参数'!$G$6*B84*(1+E84),0)</x:f>
        <x:v>25561</x:v>
      </x:c>
      <x:c r="K84" s="18" t="n">
        <x:f>ROUND('参数'!$I$6*D84*(1+E84),0)</x:f>
        <x:v>1027</x:v>
      </x:c>
      <x:c r="L84" s="18" t="n">
        <x:f>ROUND('参数'!$H$7*C84*(1+E84),0)</x:f>
        <x:v>1106</x:v>
      </x:c>
      <x:c r="M84" s="18" t="n">
        <x:f>MAX(1,5*INT(A84/5))</x:f>
        <x:v>75</x:v>
      </x:c>
      <x:c r="N84" s="18" t="n">
        <x:f>'参数'!$B$18*'参数'!$B$19^(M84-1)*'参数'!$B$48*'参数'!$B$49*MIN(1,(A84-1)/19)</x:f>
        <x:v>605.8379831105153</x:v>
      </x:c>
      <x:c r="O84" s="18" t="n">
        <x:f>ROUND(F84+N84*'参数'!$K$21,0)</x:f>
        <x:v>3703</x:v>
      </x:c>
      <x:c r="P84" s="18" t="n">
        <x:f>ROUND((J84+N84*'参数'!$L$21)*(1+'参数'!$B$40*MIN(1,(A84-1)/19)),0)</x:f>
        <x:v>42912</x:v>
      </x:c>
      <x:c r="Q84" s="18" t="n">
        <x:f>ROUND((K84+N84*'参数'!$M$21)*(1+'参数'!$B$41*MIN(1,(A84-1)/19)),0)</x:f>
        <x:v>2296</x:v>
      </x:c>
      <x:c r="R84" s="21" t="n">
        <x:f>N84*'参数'!$K$21/O84</x:f>
        <x:v>0.4662809213786035</x:v>
      </x:c>
      <x:c r="S84" s="52" t="n">
        <x:f>INDEX('参数'!$I$59:$I$74,'参数'!$B$47+1)</x:f>
        <x:v>0</x:v>
      </x:c>
      <x:c r="T84" s="52" t="n">
        <x:f>INDEX('参数'!$J$59:$J$74,'参数'!$B$47+1)</x:f>
        <x:v>0</x:v>
      </x:c>
    </x:row>
    <x:row r="85" ht="22" customHeight="1">
      <x:c r="A85" s="19" t="n">
        <x:v>80</x:v>
      </x:c>
      <x:c r="B85" s="20" t="n">
        <x:f>'参数'!$B$16^(A85-1)</x:f>
        <x:v>16.34634562432921</x:v>
      </x:c>
      <x:c r="C85" s="20" t="n">
        <x:f>'参数'!$B$15^(A85-1)</x:f>
        <x:v>15.145640134976285</x:v>
      </x:c>
      <x:c r="D85" s="20" t="n">
        <x:f>'参数'!$B$17^(A85-1)</x:f>
        <x:v>15.145640134976285</x:v>
      </x:c>
      <x:c r="E85" s="22" t="n">
        <x:f>IF(A85&gt;40,'参数'!$B$54,0)+IF(A85&gt;80,'参数'!$B$55,0)</x:f>
        <x:v>0.08</x:v>
      </x:c>
      <x:c r="F85" s="19" t="n">
        <x:f>ROUND('参数'!$H$5*C85*(1+E85),0)</x:f>
        <x:v>2045</x:v>
      </x:c>
      <x:c r="G85" s="19" t="n">
        <x:f>ROUND('参数'!$G$5*B85*(1+E85),0)</x:f>
        <x:v>17654</x:v>
      </x:c>
      <x:c r="H85" s="19" t="n">
        <x:f>ROUND('参数'!$I$5*D85*(1+E85),0)</x:f>
        <x:v>573</x:v>
      </x:c>
      <x:c r="I85" s="19" t="n">
        <x:f>ROUND('参数'!$H$6*C85*(1+E85),0)</x:f>
        <x:v>1472</x:v>
      </x:c>
      <x:c r="J85" s="19" t="n">
        <x:f>ROUND('参数'!$G$6*B85*(1+E85),0)</x:f>
        <x:v>26481</x:v>
      </x:c>
      <x:c r="K85" s="19" t="n">
        <x:f>ROUND('参数'!$I$6*D85*(1+E85),0)</x:f>
        <x:v>1063</x:v>
      </x:c>
      <x:c r="L85" s="19" t="n">
        <x:f>ROUND('参数'!$H$7*C85*(1+E85),0)</x:f>
        <x:v>1145</x:v>
      </x:c>
      <x:c r="M85" s="19" t="n">
        <x:f>MAX(1,5*INT(A85/5))</x:f>
        <x:v>80</x:v>
      </x:c>
      <x:c r="N85" s="19" t="n">
        <x:f>'参数'!$B$18*'参数'!$B$19^(M85-1)*'参数'!$B$48*'参数'!$B$49*MIN(1,(A85-1)/19)</x:f>
        <x:v>726.5245262891327</x:v>
      </x:c>
      <x:c r="O85" s="19" t="n">
        <x:f>ROUND(F85+N85*'参数'!$K$21,0)</x:f>
        <x:v>4116</x:v>
      </x:c>
      <x:c r="P85" s="19" t="n">
        <x:f>ROUND((J85+N85*'参数'!$L$21)*(1+'参数'!$B$40*MIN(1,(A85-1)/19)),0)</x:f>
        <x:v>46871</x:v>
      </x:c>
      <x:c r="Q85" s="19" t="n">
        <x:f>ROUND((K85+N85*'参数'!$M$21)*(1+'参数'!$B$41*MIN(1,(A85-1)/19)),0)</x:f>
        <x:v>2568</x:v>
      </x:c>
      <x:c r="R85" s="22" t="n">
        <x:f>N85*'参数'!$K$21/O85</x:f>
        <x:v>0.5030599854042829</x:v>
      </x:c>
      <x:c r="S85" s="52" t="n">
        <x:f>INDEX('参数'!$I$59:$I$74,'参数'!$B$47+1)</x:f>
        <x:v>0</x:v>
      </x:c>
      <x:c r="T85" s="52" t="n">
        <x:f>INDEX('参数'!$J$59:$J$74,'参数'!$B$47+1)</x:f>
        <x:v>0</x:v>
      </x:c>
    </x:row>
    <x:row r="86" ht="22" customHeight="1">
      <x:c r="A86" s="18" t="n">
        <x:v>81</x:v>
      </x:c>
      <x:c r="B86" s="15" t="n">
        <x:f>'参数'!$B$16^(A86-1)</x:f>
        <x:v>16.934814066805064</x:v>
      </x:c>
      <x:c r="C86" s="15" t="n">
        <x:f>'参数'!$B$15^(A86-1)</x:f>
        <x:v>15.675737539700453</x:v>
      </x:c>
      <x:c r="D86" s="15" t="n">
        <x:f>'参数'!$B$17^(A86-1)</x:f>
        <x:v>15.675737539700453</x:v>
      </x:c>
      <x:c r="E86" s="21" t="n">
        <x:f>IF(A86&gt;40,'参数'!$B$54,0)+IF(A86&gt;80,'参数'!$B$55,0)</x:f>
        <x:v>0.22999999999999998</x:v>
      </x:c>
      <x:c r="F86" s="18" t="n">
        <x:f>ROUND('参数'!$H$5*C86*(1+E86),0)</x:f>
        <x:v>2410</x:v>
      </x:c>
      <x:c r="G86" s="18" t="n">
        <x:f>ROUND('参数'!$G$5*B86*(1+E86),0)</x:f>
        <x:v>20830</x:v>
      </x:c>
      <x:c r="H86" s="18" t="n">
        <x:f>ROUND('参数'!$I$5*D86*(1+E86),0)</x:f>
        <x:v>675</x:v>
      </x:c>
      <x:c r="I86" s="18" t="n">
        <x:f>ROUND('参数'!$H$6*C86*(1+E86),0)</x:f>
        <x:v>1735</x:v>
      </x:c>
      <x:c r="J86" s="18" t="n">
        <x:f>ROUND('参数'!$G$6*B86*(1+E86),0)</x:f>
        <x:v>31245</x:v>
      </x:c>
      <x:c r="K86" s="18" t="n">
        <x:f>ROUND('参数'!$I$6*D86*(1+E86),0)</x:f>
        <x:v>1253</x:v>
      </x:c>
      <x:c r="L86" s="18" t="n">
        <x:f>ROUND('参数'!$H$7*C86*(1+E86),0)</x:f>
        <x:v>1350</x:v>
      </x:c>
      <x:c r="M86" s="18" t="n">
        <x:f>MAX(1,5*INT(A86/5))</x:f>
        <x:v>80</x:v>
      </x:c>
      <x:c r="N86" s="18" t="n">
        <x:f>'参数'!$B$18*'参数'!$B$19^(M86-1)*'参数'!$B$48*'参数'!$B$49*MIN(1,(A86-1)/19)</x:f>
        <x:v>726.5245262891327</x:v>
      </x:c>
      <x:c r="O86" s="18" t="n">
        <x:f>ROUND(F86+N86*'参数'!$K$21,0)</x:f>
        <x:v>4481</x:v>
      </x:c>
      <x:c r="P86" s="18" t="n">
        <x:f>ROUND((J86+N86*'参数'!$L$21)*(1+'参数'!$B$40*MIN(1,(A86-1)/19)),0)</x:f>
        <x:v>52111</x:v>
      </x:c>
      <x:c r="Q86" s="18" t="n">
        <x:f>ROUND((K86+N86*'参数'!$M$21)*(1+'参数'!$B$41*MIN(1,(A86-1)/19)),0)</x:f>
        <x:v>2777</x:v>
      </x:c>
      <x:c r="R86" s="21" t="n">
        <x:f>N86*'参数'!$K$21/O86</x:f>
        <x:v>0.4620832180147351</x:v>
      </x:c>
      <x:c r="S86" s="52" t="n">
        <x:f>INDEX('参数'!$I$59:$I$74,'参数'!$B$47+1)</x:f>
        <x:v>0</x:v>
      </x:c>
      <x:c r="T86" s="52" t="n">
        <x:f>INDEX('参数'!$J$59:$J$74,'参数'!$B$47+1)</x:f>
        <x:v>0</x:v>
      </x:c>
    </x:row>
    <x:row r="87" ht="22" customHeight="1">
      <x:c r="A87" s="19" t="n">
        <x:v>82</x:v>
      </x:c>
      <x:c r="B87" s="20" t="n">
        <x:f>'参数'!$B$16^(A87-1)</x:f>
        <x:v>17.544467373210047</x:v>
      </x:c>
      <x:c r="C87" s="20" t="n">
        <x:f>'参数'!$B$15^(A87-1)</x:f>
        <x:v>16.22438835358997</x:v>
      </x:c>
      <x:c r="D87" s="20" t="n">
        <x:f>'参数'!$B$17^(A87-1)</x:f>
        <x:v>16.22438835358997</x:v>
      </x:c>
      <x:c r="E87" s="22" t="n">
        <x:f>IF(A87&gt;40,'参数'!$B$54,0)+IF(A87&gt;80,'参数'!$B$55,0)</x:f>
        <x:v>0.22999999999999998</x:v>
      </x:c>
      <x:c r="F87" s="19" t="n">
        <x:f>ROUND('参数'!$H$5*C87*(1+E87),0)</x:f>
        <x:v>2494</x:v>
      </x:c>
      <x:c r="G87" s="19" t="n">
        <x:f>ROUND('参数'!$G$5*B87*(1+E87),0)</x:f>
        <x:v>21580</x:v>
      </x:c>
      <x:c r="H87" s="19" t="n">
        <x:f>ROUND('参数'!$I$5*D87*(1+E87),0)</x:f>
        <x:v>698</x:v>
      </x:c>
      <x:c r="I87" s="19" t="n">
        <x:f>ROUND('参数'!$H$6*C87*(1+E87),0)</x:f>
        <x:v>1796</x:v>
      </x:c>
      <x:c r="J87" s="19" t="n">
        <x:f>ROUND('参数'!$G$6*B87*(1+E87),0)</x:f>
        <x:v>32370</x:v>
      </x:c>
      <x:c r="K87" s="19" t="n">
        <x:f>ROUND('参数'!$I$6*D87*(1+E87),0)</x:f>
        <x:v>1297</x:v>
      </x:c>
      <x:c r="L87" s="19" t="n">
        <x:f>ROUND('参数'!$H$7*C87*(1+E87),0)</x:f>
        <x:v>1397</x:v>
      </x:c>
      <x:c r="M87" s="19" t="n">
        <x:f>MAX(1,5*INT(A87/5))</x:f>
        <x:v>80</x:v>
      </x:c>
      <x:c r="N87" s="19" t="n">
        <x:f>'参数'!$B$18*'参数'!$B$19^(M87-1)*'参数'!$B$48*'参数'!$B$49*MIN(1,(A87-1)/19)</x:f>
        <x:v>726.5245262891327</x:v>
      </x:c>
      <x:c r="O87" s="19" t="n">
        <x:f>ROUND(F87+N87*'参数'!$K$21,0)</x:f>
        <x:v>4565</x:v>
      </x:c>
      <x:c r="P87" s="19" t="n">
        <x:f>ROUND((J87+N87*'参数'!$L$21)*(1+'参数'!$B$40*MIN(1,(A87-1)/19)),0)</x:f>
        <x:v>53349</x:v>
      </x:c>
      <x:c r="Q87" s="19" t="n">
        <x:f>ROUND((K87+N87*'参数'!$M$21)*(1+'参数'!$B$41*MIN(1,(A87-1)/19)),0)</x:f>
        <x:v>2825</x:v>
      </x:c>
      <x:c r="R87" s="22" t="n">
        <x:f>N87*'参数'!$K$21/O87</x:f>
        <x:v>0.4535804819110686</x:v>
      </x:c>
      <x:c r="S87" s="52" t="n">
        <x:f>INDEX('参数'!$I$59:$I$74,'参数'!$B$47+1)</x:f>
        <x:v>0</x:v>
      </x:c>
      <x:c r="T87" s="52" t="n">
        <x:f>INDEX('参数'!$J$59:$J$74,'参数'!$B$47+1)</x:f>
        <x:v>0</x:v>
      </x:c>
    </x:row>
    <x:row r="88" ht="22" customHeight="1">
      <x:c r="A88" s="18" t="n">
        <x:v>83</x:v>
      </x:c>
      <x:c r="B88" s="15" t="n">
        <x:f>'参数'!$B$16^(A88-1)</x:f>
        <x:v>18.17606819864561</x:v>
      </x:c>
      <x:c r="C88" s="15" t="n">
        <x:f>'参数'!$B$15^(A88-1)</x:f>
        <x:v>16.792241945965614</x:v>
      </x:c>
      <x:c r="D88" s="15" t="n">
        <x:f>'参数'!$B$17^(A88-1)</x:f>
        <x:v>16.792241945965614</x:v>
      </x:c>
      <x:c r="E88" s="21" t="n">
        <x:f>IF(A88&gt;40,'参数'!$B$54,0)+IF(A88&gt;80,'参数'!$B$55,0)</x:f>
        <x:v>0.22999999999999998</x:v>
      </x:c>
      <x:c r="F88" s="18" t="n">
        <x:f>ROUND('参数'!$H$5*C88*(1+E88),0)</x:f>
        <x:v>2582</x:v>
      </x:c>
      <x:c r="G88" s="18" t="n">
        <x:f>ROUND('参数'!$G$5*B88*(1+E88),0)</x:f>
        <x:v>22357</x:v>
      </x:c>
      <x:c r="H88" s="18" t="n">
        <x:f>ROUND('参数'!$I$5*D88*(1+E88),0)</x:f>
        <x:v>723</x:v>
      </x:c>
      <x:c r="I88" s="18" t="n">
        <x:f>ROUND('参数'!$H$6*C88*(1+E88),0)</x:f>
        <x:v>1859</x:v>
      </x:c>
      <x:c r="J88" s="18" t="n">
        <x:f>ROUND('参数'!$G$6*B88*(1+E88),0)</x:f>
        <x:v>33535</x:v>
      </x:c>
      <x:c r="K88" s="18" t="n">
        <x:f>ROUND('参数'!$I$6*D88*(1+E88),0)</x:f>
        <x:v>1343</x:v>
      </x:c>
      <x:c r="L88" s="18" t="n">
        <x:f>ROUND('参数'!$H$7*C88*(1+E88),0)</x:f>
        <x:v>1446</x:v>
      </x:c>
      <x:c r="M88" s="18" t="n">
        <x:f>MAX(1,5*INT(A88/5))</x:f>
        <x:v>80</x:v>
      </x:c>
      <x:c r="N88" s="18" t="n">
        <x:f>'参数'!$B$18*'参数'!$B$19^(M88-1)*'参数'!$B$48*'参数'!$B$49*MIN(1,(A88-1)/19)</x:f>
        <x:v>726.5245262891327</x:v>
      </x:c>
      <x:c r="O88" s="18" t="n">
        <x:f>ROUND(F88+N88*'参数'!$K$21,0)</x:f>
        <x:v>4653</x:v>
      </x:c>
      <x:c r="P88" s="18" t="n">
        <x:f>ROUND((J88+N88*'参数'!$L$21)*(1+'参数'!$B$40*MIN(1,(A88-1)/19)),0)</x:f>
        <x:v>54630</x:v>
      </x:c>
      <x:c r="Q88" s="18" t="n">
        <x:f>ROUND((K88+N88*'参数'!$M$21)*(1+'参数'!$B$41*MIN(1,(A88-1)/19)),0)</x:f>
        <x:v>2876</x:v>
      </x:c>
      <x:c r="R88" s="21" t="n">
        <x:f>N88*'参数'!$K$21/O88</x:f>
        <x:v>0.445002127643247</x:v>
      </x:c>
      <x:c r="S88" s="52" t="n">
        <x:f>INDEX('参数'!$I$59:$I$74,'参数'!$B$47+1)</x:f>
        <x:v>0</x:v>
      </x:c>
      <x:c r="T88" s="52" t="n">
        <x:f>INDEX('参数'!$J$59:$J$74,'参数'!$B$47+1)</x:f>
        <x:v>0</x:v>
      </x:c>
    </x:row>
    <x:row r="89" ht="22" customHeight="1">
      <x:c r="A89" s="19" t="n">
        <x:v>84</x:v>
      </x:c>
      <x:c r="B89" s="20" t="n">
        <x:f>'参数'!$B$16^(A89-1)</x:f>
        <x:v>18.83040665379685</x:v>
      </x:c>
      <x:c r="C89" s="20" t="n">
        <x:f>'参数'!$B$15^(A89-1)</x:f>
        <x:v>17.37997041407441</x:v>
      </x:c>
      <x:c r="D89" s="20" t="n">
        <x:f>'参数'!$B$17^(A89-1)</x:f>
        <x:v>17.37997041407441</x:v>
      </x:c>
      <x:c r="E89" s="22" t="n">
        <x:f>IF(A89&gt;40,'参数'!$B$54,0)+IF(A89&gt;80,'参数'!$B$55,0)</x:f>
        <x:v>0.22999999999999998</x:v>
      </x:c>
      <x:c r="F89" s="19" t="n">
        <x:f>ROUND('参数'!$H$5*C89*(1+E89),0)</x:f>
        <x:v>2672</x:v>
      </x:c>
      <x:c r="G89" s="19" t="n">
        <x:f>ROUND('参数'!$G$5*B89*(1+E89),0)</x:f>
        <x:v>23161</x:v>
      </x:c>
      <x:c r="H89" s="19" t="n">
        <x:f>ROUND('参数'!$I$5*D89*(1+E89),0)</x:f>
        <x:v>748</x:v>
      </x:c>
      <x:c r="I89" s="19" t="n">
        <x:f>ROUND('参数'!$H$6*C89*(1+E89),0)</x:f>
        <x:v>1924</x:v>
      </x:c>
      <x:c r="J89" s="19" t="n">
        <x:f>ROUND('参数'!$G$6*B89*(1+E89),0)</x:f>
        <x:v>34742</x:v>
      </x:c>
      <x:c r="K89" s="19" t="n">
        <x:f>ROUND('参数'!$I$6*D89*(1+E89),0)</x:f>
        <x:v>1390</x:v>
      </x:c>
      <x:c r="L89" s="19" t="n">
        <x:f>ROUND('参数'!$H$7*C89*(1+E89),0)</x:f>
        <x:v>1496</x:v>
      </x:c>
      <x:c r="M89" s="19" t="n">
        <x:f>MAX(1,5*INT(A89/5))</x:f>
        <x:v>80</x:v>
      </x:c>
      <x:c r="N89" s="19" t="n">
        <x:f>'参数'!$B$18*'参数'!$B$19^(M89-1)*'参数'!$B$48*'参数'!$B$49*MIN(1,(A89-1)/19)</x:f>
        <x:v>726.5245262891327</x:v>
      </x:c>
      <x:c r="O89" s="19" t="n">
        <x:f>ROUND(F89+N89*'参数'!$K$21,0)</x:f>
        <x:v>4743</x:v>
      </x:c>
      <x:c r="P89" s="19" t="n">
        <x:f>ROUND((J89+N89*'参数'!$L$21)*(1+'参数'!$B$40*MIN(1,(A89-1)/19)),0)</x:f>
        <x:v>55958</x:v>
      </x:c>
      <x:c r="Q89" s="19" t="n">
        <x:f>ROUND((K89+N89*'参数'!$M$21)*(1+'参数'!$B$41*MIN(1,(A89-1)/19)),0)</x:f>
        <x:v>2928</x:v>
      </x:c>
      <x:c r="R89" s="22" t="n">
        <x:f>N89*'参数'!$K$21/O89</x:f>
        <x:v>0.43655806450011136</x:v>
      </x:c>
      <x:c r="S89" s="52" t="n">
        <x:f>INDEX('参数'!$I$59:$I$74,'参数'!$B$47+1)</x:f>
        <x:v>0</x:v>
      </x:c>
      <x:c r="T89" s="52" t="n">
        <x:f>INDEX('参数'!$J$59:$J$74,'参数'!$B$47+1)</x:f>
        <x:v>0</x:v>
      </x:c>
    </x:row>
    <x:row r="90" ht="22" customHeight="1">
      <x:c r="A90" s="18" t="n">
        <x:v>85</x:v>
      </x:c>
      <x:c r="B90" s="15" t="n">
        <x:f>'参数'!$B$16^(A90-1)</x:f>
        <x:v>19.50830129333354</x:v>
      </x:c>
      <x:c r="C90" s="15" t="n">
        <x:f>'参数'!$B$15^(A90-1)</x:f>
        <x:v>17.988269378567015</x:v>
      </x:c>
      <x:c r="D90" s="15" t="n">
        <x:f>'参数'!$B$17^(A90-1)</x:f>
        <x:v>17.988269378567015</x:v>
      </x:c>
      <x:c r="E90" s="21" t="n">
        <x:f>IF(A90&gt;40,'参数'!$B$54,0)+IF(A90&gt;80,'参数'!$B$55,0)</x:f>
        <x:v>0.22999999999999998</x:v>
      </x:c>
      <x:c r="F90" s="18" t="n">
        <x:f>ROUND('参数'!$H$5*C90*(1+E90),0)</x:f>
        <x:v>2766</x:v>
      </x:c>
      <x:c r="G90" s="18" t="n">
        <x:f>ROUND('参数'!$G$5*B90*(1+E90),0)</x:f>
        <x:v>23995</x:v>
      </x:c>
      <x:c r="H90" s="18" t="n">
        <x:f>ROUND('参数'!$I$5*D90*(1+E90),0)</x:f>
        <x:v>774</x:v>
      </x:c>
      <x:c r="I90" s="18" t="n">
        <x:f>ROUND('参数'!$H$6*C90*(1+E90),0)</x:f>
        <x:v>1991</x:v>
      </x:c>
      <x:c r="J90" s="18" t="n">
        <x:f>ROUND('参数'!$G$6*B90*(1+E90),0)</x:f>
        <x:v>35993</x:v>
      </x:c>
      <x:c r="K90" s="18" t="n">
        <x:f>ROUND('参数'!$I$6*D90*(1+E90),0)</x:f>
        <x:v>1438</x:v>
      </x:c>
      <x:c r="L90" s="18" t="n">
        <x:f>ROUND('参数'!$H$7*C90*(1+E90),0)</x:f>
        <x:v>1549</x:v>
      </x:c>
      <x:c r="M90" s="18" t="n">
        <x:f>MAX(1,5*INT(A90/5))</x:f>
        <x:v>85</x:v>
      </x:c>
      <x:c r="N90" s="18" t="n">
        <x:f>'参数'!$B$18*'参数'!$B$19^(M90-1)*'参数'!$B$48*'参数'!$B$49*MIN(1,(A90-1)/19)</x:f>
        <x:v>871.2525493855705</x:v>
      </x:c>
      <x:c r="O90" s="18" t="n">
        <x:f>ROUND(F90+N90*'参数'!$K$21,0)</x:f>
        <x:v>5249</x:v>
      </x:c>
      <x:c r="P90" s="18" t="n">
        <x:f>ROUND((J90+N90*'参数'!$L$21)*(1+'参数'!$B$40*MIN(1,(A90-1)/19)),0)</x:f>
        <x:v>60868</x:v>
      </x:c>
      <x:c r="Q90" s="18" t="n">
        <x:f>ROUND((K90+N90*'参数'!$M$21)*(1+'参数'!$B$41*MIN(1,(A90-1)/19)),0)</x:f>
        <x:v>3259</x:v>
      </x:c>
      <x:c r="R90" s="21" t="n">
        <x:f>N90*'参数'!$K$21/O90</x:f>
        <x:v>0.47305577552845807</x:v>
      </x:c>
      <x:c r="S90" s="52" t="n">
        <x:f>INDEX('参数'!$I$59:$I$74,'参数'!$B$47+1)</x:f>
        <x:v>0</x:v>
      </x:c>
      <x:c r="T90" s="52" t="n">
        <x:f>INDEX('参数'!$J$59:$J$74,'参数'!$B$47+1)</x:f>
        <x:v>0</x:v>
      </x:c>
    </x:row>
    <x:row r="91" ht="22" customHeight="1">
      <x:c r="A91" s="19" t="n">
        <x:v>86</x:v>
      </x:c>
      <x:c r="B91" s="20" t="n">
        <x:f>'参数'!$B$16^(A91-1)</x:f>
        <x:v>20.210600139893547</x:v>
      </x:c>
      <x:c r="C91" s="20" t="n">
        <x:f>'参数'!$B$15^(A91-1)</x:f>
        <x:v>18.61785880681686</x:v>
      </x:c>
      <x:c r="D91" s="20" t="n">
        <x:f>'参数'!$B$17^(A91-1)</x:f>
        <x:v>18.61785880681686</x:v>
      </x:c>
      <x:c r="E91" s="22" t="n">
        <x:f>IF(A91&gt;40,'参数'!$B$54,0)+IF(A91&gt;80,'参数'!$B$55,0)</x:f>
        <x:v>0.22999999999999998</x:v>
      </x:c>
      <x:c r="F91" s="19" t="n">
        <x:f>ROUND('参数'!$H$5*C91*(1+E91),0)</x:f>
        <x:v>2862</x:v>
      </x:c>
      <x:c r="G91" s="19" t="n">
        <x:f>ROUND('参数'!$G$5*B91*(1+E91),0)</x:f>
        <x:v>24859</x:v>
      </x:c>
      <x:c r="H91" s="19" t="n">
        <x:f>ROUND('参数'!$I$5*D91*(1+E91),0)</x:f>
        <x:v>801</x:v>
      </x:c>
      <x:c r="I91" s="19" t="n">
        <x:f>ROUND('参数'!$H$6*C91*(1+E91),0)</x:f>
        <x:v>2061</x:v>
      </x:c>
      <x:c r="J91" s="19" t="n">
        <x:f>ROUND('参数'!$G$6*B91*(1+E91),0)</x:f>
        <x:v>37289</x:v>
      </x:c>
      <x:c r="K91" s="19" t="n">
        <x:f>ROUND('参数'!$I$6*D91*(1+E91),0)</x:f>
        <x:v>1488</x:v>
      </x:c>
      <x:c r="L91" s="19" t="n">
        <x:f>ROUND('参数'!$H$7*C91*(1+E91),0)</x:f>
        <x:v>1603</x:v>
      </x:c>
      <x:c r="M91" s="19" t="n">
        <x:f>MAX(1,5*INT(A91/5))</x:f>
        <x:v>85</x:v>
      </x:c>
      <x:c r="N91" s="19" t="n">
        <x:f>'参数'!$B$18*'参数'!$B$19^(M91-1)*'参数'!$B$48*'参数'!$B$49*MIN(1,(A91-1)/19)</x:f>
        <x:v>871.2525493855705</x:v>
      </x:c>
      <x:c r="O91" s="19" t="n">
        <x:f>ROUND(F91+N91*'参数'!$K$21,0)</x:f>
        <x:v>5345</x:v>
      </x:c>
      <x:c r="P91" s="19" t="n">
        <x:f>ROUND((J91+N91*'参数'!$L$21)*(1+'参数'!$B$40*MIN(1,(A91-1)/19)),0)</x:f>
        <x:v>62294</x:v>
      </x:c>
      <x:c r="Q91" s="19" t="n">
        <x:f>ROUND((K91+N91*'参数'!$M$21)*(1+'参数'!$B$41*MIN(1,(A91-1)/19)),0)</x:f>
        <x:v>3314</x:v>
      </x:c>
      <x:c r="R91" s="22" t="n">
        <x:f>N91*'参数'!$K$21/O91</x:f>
        <x:v>0.4645593574834193</x:v>
      </x:c>
      <x:c r="S91" s="52" t="n">
        <x:f>INDEX('参数'!$I$59:$I$74,'参数'!$B$47+1)</x:f>
        <x:v>0</x:v>
      </x:c>
      <x:c r="T91" s="52" t="n">
        <x:f>INDEX('参数'!$J$59:$J$74,'参数'!$B$47+1)</x:f>
        <x:v>0</x:v>
      </x:c>
    </x:row>
    <x:row r="92" ht="22" customHeight="1">
      <x:c r="A92" s="18" t="n">
        <x:v>87</x:v>
      </x:c>
      <x:c r="B92" s="15" t="n">
        <x:f>'参数'!$B$16^(A92-1)</x:f>
        <x:v>20.938181744929715</x:v>
      </x:c>
      <x:c r="C92" s="15" t="n">
        <x:f>'参数'!$B$15^(A92-1)</x:f>
        <x:v>19.269483865055445</x:v>
      </x:c>
      <x:c r="D92" s="15" t="n">
        <x:f>'参数'!$B$17^(A92-1)</x:f>
        <x:v>19.269483865055445</x:v>
      </x:c>
      <x:c r="E92" s="21" t="n">
        <x:f>IF(A92&gt;40,'参数'!$B$54,0)+IF(A92&gt;80,'参数'!$B$55,0)</x:f>
        <x:v>0.22999999999999998</x:v>
      </x:c>
      <x:c r="F92" s="18" t="n">
        <x:f>ROUND('参数'!$H$5*C92*(1+E92),0)</x:f>
        <x:v>2963</x:v>
      </x:c>
      <x:c r="G92" s="18" t="n">
        <x:f>ROUND('参数'!$G$5*B92*(1+E92),0)</x:f>
        <x:v>25754</x:v>
      </x:c>
      <x:c r="H92" s="18" t="n">
        <x:f>ROUND('参数'!$I$5*D92*(1+E92),0)</x:f>
        <x:v>830</x:v>
      </x:c>
      <x:c r="I92" s="18" t="n">
        <x:f>ROUND('参数'!$H$6*C92*(1+E92),0)</x:f>
        <x:v>2133</x:v>
      </x:c>
      <x:c r="J92" s="18" t="n">
        <x:f>ROUND('参数'!$G$6*B92*(1+E92),0)</x:f>
        <x:v>38631</x:v>
      </x:c>
      <x:c r="K92" s="18" t="n">
        <x:f>ROUND('参数'!$I$6*D92*(1+E92),0)</x:f>
        <x:v>1541</x:v>
      </x:c>
      <x:c r="L92" s="18" t="n">
        <x:f>ROUND('参数'!$H$7*C92*(1+E92),0)</x:f>
        <x:v>1659</x:v>
      </x:c>
      <x:c r="M92" s="18" t="n">
        <x:f>MAX(1,5*INT(A92/5))</x:f>
        <x:v>85</x:v>
      </x:c>
      <x:c r="N92" s="18" t="n">
        <x:f>'参数'!$B$18*'参数'!$B$19^(M92-1)*'参数'!$B$48*'参数'!$B$49*MIN(1,(A92-1)/19)</x:f>
        <x:v>871.2525493855705</x:v>
      </x:c>
      <x:c r="O92" s="18" t="n">
        <x:f>ROUND(F92+N92*'参数'!$K$21,0)</x:f>
        <x:v>5446</x:v>
      </x:c>
      <x:c r="P92" s="18" t="n">
        <x:f>ROUND((J92+N92*'参数'!$L$21)*(1+'参数'!$B$40*MIN(1,(A92-1)/19)),0)</x:f>
        <x:v>63770</x:v>
      </x:c>
      <x:c r="Q92" s="18" t="n">
        <x:f>ROUND((K92+N92*'参数'!$M$21)*(1+'参数'!$B$41*MIN(1,(A92-1)/19)),0)</x:f>
        <x:v>3372</x:v>
      </x:c>
      <x:c r="R92" s="21" t="n">
        <x:f>N92*'参数'!$K$21/O92</x:f>
        <x:v>0.45594376895866257</x:v>
      </x:c>
      <x:c r="S92" s="52" t="n">
        <x:f>INDEX('参数'!$I$59:$I$74,'参数'!$B$47+1)</x:f>
        <x:v>0</x:v>
      </x:c>
      <x:c r="T92" s="52" t="n">
        <x:f>INDEX('参数'!$J$59:$J$74,'参数'!$B$47+1)</x:f>
        <x:v>0</x:v>
      </x:c>
    </x:row>
    <x:row r="93" ht="22" customHeight="1">
      <x:c r="A93" s="19" t="n">
        <x:v>88</x:v>
      </x:c>
      <x:c r="B93" s="20" t="n">
        <x:f>'参数'!$B$16^(A93-1)</x:f>
        <x:v>21.691956287747185</x:v>
      </x:c>
      <x:c r="C93" s="20" t="n">
        <x:f>'参数'!$B$15^(A93-1)</x:f>
        <x:v>19.943915800332384</x:v>
      </x:c>
      <x:c r="D93" s="20" t="n">
        <x:f>'参数'!$B$17^(A93-1)</x:f>
        <x:v>19.943915800332384</x:v>
      </x:c>
      <x:c r="E93" s="22" t="n">
        <x:f>IF(A93&gt;40,'参数'!$B$54,0)+IF(A93&gt;80,'参数'!$B$55,0)</x:f>
        <x:v>0.22999999999999998</x:v>
      </x:c>
      <x:c r="F93" s="19" t="n">
        <x:f>ROUND('参数'!$H$5*C93*(1+E93),0)</x:f>
        <x:v>3066</x:v>
      </x:c>
      <x:c r="G93" s="19" t="n">
        <x:f>ROUND('参数'!$G$5*B93*(1+E93),0)</x:f>
        <x:v>26681</x:v>
      </x:c>
      <x:c r="H93" s="19" t="n">
        <x:f>ROUND('参数'!$I$5*D93*(1+E93),0)</x:f>
        <x:v>859</x:v>
      </x:c>
      <x:c r="I93" s="19" t="n">
        <x:f>ROUND('参数'!$H$6*C93*(1+E93),0)</x:f>
        <x:v>2208</x:v>
      </x:c>
      <x:c r="J93" s="19" t="n">
        <x:f>ROUND('参数'!$G$6*B93*(1+E93),0)</x:f>
        <x:v>40022</x:v>
      </x:c>
      <x:c r="K93" s="19" t="n">
        <x:f>ROUND('参数'!$I$6*D93*(1+E93),0)</x:f>
        <x:v>1595</x:v>
      </x:c>
      <x:c r="L93" s="19" t="n">
        <x:f>ROUND('参数'!$H$7*C93*(1+E93),0)</x:f>
        <x:v>1717</x:v>
      </x:c>
      <x:c r="M93" s="19" t="n">
        <x:f>MAX(1,5*INT(A93/5))</x:f>
        <x:v>85</x:v>
      </x:c>
      <x:c r="N93" s="19" t="n">
        <x:f>'参数'!$B$18*'参数'!$B$19^(M93-1)*'参数'!$B$48*'参数'!$B$49*MIN(1,(A93-1)/19)</x:f>
        <x:v>871.2525493855705</x:v>
      </x:c>
      <x:c r="O93" s="19" t="n">
        <x:f>ROUND(F93+N93*'参数'!$K$21,0)</x:f>
        <x:v>5549</x:v>
      </x:c>
      <x:c r="P93" s="19" t="n">
        <x:f>ROUND((J93+N93*'参数'!$L$21)*(1+'参数'!$B$40*MIN(1,(A93-1)/19)),0)</x:f>
        <x:v>65300</x:v>
      </x:c>
      <x:c r="Q93" s="19" t="n">
        <x:f>ROUND((K93+N93*'参数'!$M$21)*(1+'参数'!$B$41*MIN(1,(A93-1)/19)),0)</x:f>
        <x:v>3432</x:v>
      </x:c>
      <x:c r="R93" s="22" t="n">
        <x:f>N93*'参数'!$K$21/O93</x:f>
        <x:v>0.44748058492500925</x:v>
      </x:c>
      <x:c r="S93" s="52" t="n">
        <x:f>INDEX('参数'!$I$59:$I$74,'参数'!$B$47+1)</x:f>
        <x:v>0</x:v>
      </x:c>
      <x:c r="T93" s="52" t="n">
        <x:f>INDEX('参数'!$J$59:$J$74,'参数'!$B$47+1)</x:f>
        <x:v>0</x:v>
      </x:c>
    </x:row>
    <x:row r="94" ht="22" customHeight="1">
      <x:c r="A94" s="18" t="n">
        <x:v>89</x:v>
      </x:c>
      <x:c r="B94" s="15" t="n">
        <x:f>'参数'!$B$16^(A94-1)</x:f>
        <x:v>22.472866714106082</x:v>
      </x:c>
      <x:c r="C94" s="15" t="n">
        <x:f>'参数'!$B$15^(A94-1)</x:f>
        <x:v>20.641952853344016</x:v>
      </x:c>
      <x:c r="D94" s="15" t="n">
        <x:f>'参数'!$B$17^(A94-1)</x:f>
        <x:v>20.641952853344016</x:v>
      </x:c>
      <x:c r="E94" s="21" t="n">
        <x:f>IF(A94&gt;40,'参数'!$B$54,0)+IF(A94&gt;80,'参数'!$B$55,0)</x:f>
        <x:v>0.22999999999999998</x:v>
      </x:c>
      <x:c r="F94" s="18" t="n">
        <x:f>ROUND('参数'!$H$5*C94*(1+E94),0)</x:f>
        <x:v>3174</x:v>
      </x:c>
      <x:c r="G94" s="18" t="n">
        <x:f>ROUND('参数'!$G$5*B94*(1+E94),0)</x:f>
        <x:v>27642</x:v>
      </x:c>
      <x:c r="H94" s="18" t="n">
        <x:f>ROUND('参数'!$I$5*D94*(1+E94),0)</x:f>
        <x:v>889</x:v>
      </x:c>
      <x:c r="I94" s="18" t="n">
        <x:f>ROUND('参数'!$H$6*C94*(1+E94),0)</x:f>
        <x:v>2285</x:v>
      </x:c>
      <x:c r="J94" s="18" t="n">
        <x:f>ROUND('参数'!$G$6*B94*(1+E94),0)</x:f>
        <x:v>41462</x:v>
      </x:c>
      <x:c r="K94" s="18" t="n">
        <x:f>ROUND('参数'!$I$6*D94*(1+E94),0)</x:f>
        <x:v>1650</x:v>
      </x:c>
      <x:c r="L94" s="18" t="n">
        <x:f>ROUND('参数'!$H$7*C94*(1+E94),0)</x:f>
        <x:v>1777</x:v>
      </x:c>
      <x:c r="M94" s="18" t="n">
        <x:f>MAX(1,5*INT(A94/5))</x:f>
        <x:v>85</x:v>
      </x:c>
      <x:c r="N94" s="18" t="n">
        <x:f>'参数'!$B$18*'参数'!$B$19^(M94-1)*'参数'!$B$48*'参数'!$B$49*MIN(1,(A94-1)/19)</x:f>
        <x:v>871.2525493855705</x:v>
      </x:c>
      <x:c r="O94" s="18" t="n">
        <x:f>ROUND(F94+N94*'参数'!$K$21,0)</x:f>
        <x:v>5657</x:v>
      </x:c>
      <x:c r="P94" s="18" t="n">
        <x:f>ROUND((J94+N94*'参数'!$L$21)*(1+'参数'!$B$40*MIN(1,(A94-1)/19)),0)</x:f>
        <x:v>66884</x:v>
      </x:c>
      <x:c r="Q94" s="18" t="n">
        <x:f>ROUND((K94+N94*'参数'!$M$21)*(1+'参数'!$B$41*MIN(1,(A94-1)/19)),0)</x:f>
        <x:v>3492</x:v>
      </x:c>
      <x:c r="R94" s="21" t="n">
        <x:f>N94*'参数'!$K$21/O94</x:f>
        <x:v>0.4389375580252565</x:v>
      </x:c>
      <x:c r="S94" s="52" t="n">
        <x:f>INDEX('参数'!$I$59:$I$74,'参数'!$B$47+1)</x:f>
        <x:v>0</x:v>
      </x:c>
      <x:c r="T94" s="52" t="n">
        <x:f>INDEX('参数'!$J$59:$J$74,'参数'!$B$47+1)</x:f>
        <x:v>0</x:v>
      </x:c>
    </x:row>
    <x:row r="95" ht="22" customHeight="1">
      <x:c r="A95" s="19" t="n">
        <x:v>90</x:v>
      </x:c>
      <x:c r="B95" s="20" t="n">
        <x:f>'参数'!$B$16^(A95-1)</x:f>
        <x:v>23.281889915813903</x:v>
      </x:c>
      <x:c r="C95" s="20" t="n">
        <x:f>'参数'!$B$15^(A95-1)</x:f>
        <x:v>21.364421203211055</x:v>
      </x:c>
      <x:c r="D95" s="20" t="n">
        <x:f>'参数'!$B$17^(A95-1)</x:f>
        <x:v>21.364421203211055</x:v>
      </x:c>
      <x:c r="E95" s="22" t="n">
        <x:f>IF(A95&gt;40,'参数'!$B$54,0)+IF(A95&gt;80,'参数'!$B$55,0)</x:f>
        <x:v>0.22999999999999998</x:v>
      </x:c>
      <x:c r="F95" s="19" t="n">
        <x:f>ROUND('参数'!$H$5*C95*(1+E95),0)</x:f>
        <x:v>3285</x:v>
      </x:c>
      <x:c r="G95" s="19" t="n">
        <x:f>ROUND('参数'!$G$5*B95*(1+E95),0)</x:f>
        <x:v>28637</x:v>
      </x:c>
      <x:c r="H95" s="19" t="n">
        <x:f>ROUND('参数'!$I$5*D95*(1+E95),0)</x:f>
        <x:v>920</x:v>
      </x:c>
      <x:c r="I95" s="19" t="n">
        <x:f>ROUND('参数'!$H$6*C95*(1+E95),0)</x:f>
        <x:v>2365</x:v>
      </x:c>
      <x:c r="J95" s="19" t="n">
        <x:f>ROUND('参数'!$G$6*B95*(1+E95),0)</x:f>
        <x:v>42955</x:v>
      </x:c>
      <x:c r="K95" s="19" t="n">
        <x:f>ROUND('参数'!$I$6*D95*(1+E95),0)</x:f>
        <x:v>1708</x:v>
      </x:c>
      <x:c r="L95" s="19" t="n">
        <x:f>ROUND('参数'!$H$7*C95*(1+E95),0)</x:f>
        <x:v>1839</x:v>
      </x:c>
      <x:c r="M95" s="19" t="n">
        <x:f>MAX(1,5*INT(A95/5))</x:f>
        <x:v>90</x:v>
      </x:c>
      <x:c r="N95" s="19" t="n">
        <x:f>'参数'!$B$18*'参数'!$B$19^(M95-1)*'参数'!$B$48*'参数'!$B$49*MIN(1,(A95-1)/19)</x:f>
        <x:v>1044.8112587306748</x:v>
      </x:c>
      <x:c r="O95" s="19" t="n">
        <x:f>ROUND(F95+N95*'参数'!$K$21,0)</x:f>
        <x:v>6263</x:v>
      </x:c>
      <x:c r="P95" s="19" t="n">
        <x:f>ROUND((J95+N95*'参数'!$L$21)*(1+'参数'!$B$40*MIN(1,(A95-1)/19)),0)</x:f>
        <x:v>72765</x:v>
      </x:c>
      <x:c r="Q95" s="19" t="n">
        <x:f>ROUND((K95+N95*'参数'!$M$21)*(1+'参数'!$B$41*MIN(1,(A95-1)/19)),0)</x:f>
        <x:v>3890</x:v>
      </x:c>
      <x:c r="R95" s="22" t="n">
        <x:f>N95*'参数'!$K$21/O95</x:f>
        <x:v>0.47544500836379106</x:v>
      </x:c>
      <x:c r="S95" s="52" t="n">
        <x:f>INDEX('参数'!$I$59:$I$74,'参数'!$B$47+1)</x:f>
        <x:v>0</x:v>
      </x:c>
      <x:c r="T95" s="52" t="n">
        <x:f>INDEX('参数'!$J$59:$J$74,'参数'!$B$47+1)</x:f>
        <x:v>0</x:v>
      </x:c>
    </x:row>
    <x:row r="96" ht="22" customHeight="1">
      <x:c r="A96" s="18" t="n">
        <x:v>91</x:v>
      </x:c>
      <x:c r="B96" s="15" t="n">
        <x:f>'参数'!$B$16^(A96-1)</x:f>
        <x:v>24.120037952783203</x:v>
      </x:c>
      <x:c r="C96" s="15" t="n">
        <x:f>'参数'!$B$15^(A96-1)</x:f>
        <x:v>22.11217594532344</x:v>
      </x:c>
      <x:c r="D96" s="15" t="n">
        <x:f>'参数'!$B$17^(A96-1)</x:f>
        <x:v>22.11217594532344</x:v>
      </x:c>
      <x:c r="E96" s="21" t="n">
        <x:f>IF(A96&gt;40,'参数'!$B$54,0)+IF(A96&gt;80,'参数'!$B$55,0)</x:f>
        <x:v>0.22999999999999998</x:v>
      </x:c>
      <x:c r="F96" s="18" t="n">
        <x:f>ROUND('参数'!$H$5*C96*(1+E96),0)</x:f>
        <x:v>3400</x:v>
      </x:c>
      <x:c r="G96" s="18" t="n">
        <x:f>ROUND('参数'!$G$5*B96*(1+E96),0)</x:f>
        <x:v>29668</x:v>
      </x:c>
      <x:c r="H96" s="18" t="n">
        <x:f>ROUND('参数'!$I$5*D96*(1+E96),0)</x:f>
        <x:v>952</x:v>
      </x:c>
      <x:c r="I96" s="18" t="n">
        <x:f>ROUND('参数'!$H$6*C96*(1+E96),0)</x:f>
        <x:v>2448</x:v>
      </x:c>
      <x:c r="J96" s="18" t="n">
        <x:f>ROUND('参数'!$G$6*B96*(1+E96),0)</x:f>
        <x:v>44501</x:v>
      </x:c>
      <x:c r="K96" s="18" t="n">
        <x:f>ROUND('参数'!$I$6*D96*(1+E96),0)</x:f>
        <x:v>1768</x:v>
      </x:c>
      <x:c r="L96" s="18" t="n">
        <x:f>ROUND('参数'!$H$7*C96*(1+E96),0)</x:f>
        <x:v>1904</x:v>
      </x:c>
      <x:c r="M96" s="18" t="n">
        <x:f>MAX(1,5*INT(A96/5))</x:f>
        <x:v>90</x:v>
      </x:c>
      <x:c r="N96" s="18" t="n">
        <x:f>'参数'!$B$18*'参数'!$B$19^(M96-1)*'参数'!$B$48*'参数'!$B$49*MIN(1,(A96-1)/19)</x:f>
        <x:v>1044.8112587306748</x:v>
      </x:c>
      <x:c r="O96" s="18" t="n">
        <x:f>ROUND(F96+N96*'参数'!$K$21,0)</x:f>
        <x:v>6378</x:v>
      </x:c>
      <x:c r="P96" s="18" t="n">
        <x:f>ROUND((J96+N96*'参数'!$L$21)*(1+'参数'!$B$40*MIN(1,(A96-1)/19)),0)</x:f>
        <x:v>74465</x:v>
      </x:c>
      <x:c r="Q96" s="18" t="n">
        <x:f>ROUND((K96+N96*'参数'!$M$21)*(1+'参数'!$B$41*MIN(1,(A96-1)/19)),0)</x:f>
        <x:v>3956</x:v>
      </x:c>
      <x:c r="R96" s="21" t="n">
        <x:f>N96*'参数'!$K$21/O96</x:f>
        <x:v>0.466872387485485</x:v>
      </x:c>
      <x:c r="S96" s="52" t="n">
        <x:f>INDEX('参数'!$I$59:$I$74,'参数'!$B$47+1)</x:f>
        <x:v>0</x:v>
      </x:c>
      <x:c r="T96" s="52" t="n">
        <x:f>INDEX('参数'!$J$59:$J$74,'参数'!$B$47+1)</x:f>
        <x:v>0</x:v>
      </x:c>
    </x:row>
    <x:row r="97" ht="22" customHeight="1">
      <x:c r="A97" s="19" t="n">
        <x:v>92</x:v>
      </x:c>
      <x:c r="B97" s="20" t="n">
        <x:f>'参数'!$B$16^(A97-1)</x:f>
        <x:v>24.9883593190834</x:v>
      </x:c>
      <x:c r="C97" s="20" t="n">
        <x:f>'参数'!$B$15^(A97-1)</x:f>
        <x:v>22.88610210340976</x:v>
      </x:c>
      <x:c r="D97" s="20" t="n">
        <x:f>'参数'!$B$17^(A97-1)</x:f>
        <x:v>22.88610210340976</x:v>
      </x:c>
      <x:c r="E97" s="22" t="n">
        <x:f>IF(A97&gt;40,'参数'!$B$54,0)+IF(A97&gt;80,'参数'!$B$55,0)</x:f>
        <x:v>0.22999999999999998</x:v>
      </x:c>
      <x:c r="F97" s="19" t="n">
        <x:f>ROUND('参数'!$H$5*C97*(1+E97),0)</x:f>
        <x:v>3519</x:v>
      </x:c>
      <x:c r="G97" s="19" t="n">
        <x:f>ROUND('参数'!$G$5*B97*(1+E97),0)</x:f>
        <x:v>30736</x:v>
      </x:c>
      <x:c r="H97" s="19" t="n">
        <x:f>ROUND('参数'!$I$5*D97*(1+E97),0)</x:f>
        <x:v>985</x:v>
      </x:c>
      <x:c r="I97" s="19" t="n">
        <x:f>ROUND('参数'!$H$6*C97*(1+E97),0)</x:f>
        <x:v>2533</x:v>
      </x:c>
      <x:c r="J97" s="19" t="n">
        <x:f>ROUND('参数'!$G$6*B97*(1+E97),0)</x:f>
        <x:v>46104</x:v>
      </x:c>
      <x:c r="K97" s="19" t="n">
        <x:f>ROUND('参数'!$I$6*D97*(1+E97),0)</x:f>
        <x:v>1830</x:v>
      </x:c>
      <x:c r="L97" s="19" t="n">
        <x:f>ROUND('参数'!$H$7*C97*(1+E97),0)</x:f>
        <x:v>1970</x:v>
      </x:c>
      <x:c r="M97" s="19" t="n">
        <x:f>MAX(1,5*INT(A97/5))</x:f>
        <x:v>90</x:v>
      </x:c>
      <x:c r="N97" s="19" t="n">
        <x:f>'参数'!$B$18*'参数'!$B$19^(M97-1)*'参数'!$B$48*'参数'!$B$49*MIN(1,(A97-1)/19)</x:f>
        <x:v>1044.8112587306748</x:v>
      </x:c>
      <x:c r="O97" s="19" t="n">
        <x:f>ROUND(F97+N97*'参数'!$K$21,0)</x:f>
        <x:v>6497</x:v>
      </x:c>
      <x:c r="P97" s="19" t="n">
        <x:f>ROUND((J97+N97*'参数'!$L$21)*(1+'参数'!$B$40*MIN(1,(A97-1)/19)),0)</x:f>
        <x:v>76229</x:v>
      </x:c>
      <x:c r="Q97" s="19" t="n">
        <x:f>ROUND((K97+N97*'参数'!$M$21)*(1+'参数'!$B$41*MIN(1,(A97-1)/19)),0)</x:f>
        <x:v>4024</x:v>
      </x:c>
      <x:c r="R97" s="22" t="n">
        <x:f>N97*'参数'!$K$21/O97</x:f>
        <x:v>0.45832108471331745</x:v>
      </x:c>
      <x:c r="S97" s="52" t="n">
        <x:f>INDEX('参数'!$I$59:$I$74,'参数'!$B$47+1)</x:f>
        <x:v>0</x:v>
      </x:c>
      <x:c r="T97" s="52" t="n">
        <x:f>INDEX('参数'!$J$59:$J$74,'参数'!$B$47+1)</x:f>
        <x:v>0</x:v>
      </x:c>
    </x:row>
    <x:row r="98" ht="22" customHeight="1">
      <x:c r="A98" s="18" t="n">
        <x:v>93</x:v>
      </x:c>
      <x:c r="B98" s="15" t="n">
        <x:f>'参数'!$B$16^(A98-1)</x:f>
        <x:v>25.887940254570402</x:v>
      </x:c>
      <x:c r="C98" s="15" t="n">
        <x:f>'参数'!$B$15^(A98-1)</x:f>
        <x:v>23.687115677029098</x:v>
      </x:c>
      <x:c r="D98" s="15" t="n">
        <x:f>'参数'!$B$17^(A98-1)</x:f>
        <x:v>23.687115677029098</x:v>
      </x:c>
      <x:c r="E98" s="21" t="n">
        <x:f>IF(A98&gt;40,'参数'!$B$54,0)+IF(A98&gt;80,'参数'!$B$55,0)</x:f>
        <x:v>0.22999999999999998</x:v>
      </x:c>
      <x:c r="F98" s="18" t="n">
        <x:f>ROUND('参数'!$H$5*C98*(1+E98),0)</x:f>
        <x:v>3642</x:v>
      </x:c>
      <x:c r="G98" s="18" t="n">
        <x:f>ROUND('参数'!$G$5*B98*(1+E98),0)</x:f>
        <x:v>31842</x:v>
      </x:c>
      <x:c r="H98" s="18" t="n">
        <x:f>ROUND('参数'!$I$5*D98*(1+E98),0)</x:f>
        <x:v>1020</x:v>
      </x:c>
      <x:c r="I98" s="18" t="n">
        <x:f>ROUND('参数'!$H$6*C98*(1+E98),0)</x:f>
        <x:v>2622</x:v>
      </x:c>
      <x:c r="J98" s="18" t="n">
        <x:f>ROUND('参数'!$G$6*B98*(1+E98),0)</x:f>
        <x:v>47763</x:v>
      </x:c>
      <x:c r="K98" s="18" t="n">
        <x:f>ROUND('参数'!$I$6*D98*(1+E98),0)</x:f>
        <x:v>1894</x:v>
      </x:c>
      <x:c r="L98" s="18" t="n">
        <x:f>ROUND('参数'!$H$7*C98*(1+E98),0)</x:f>
        <x:v>2039</x:v>
      </x:c>
      <x:c r="M98" s="18" t="n">
        <x:f>MAX(1,5*INT(A98/5))</x:f>
        <x:v>90</x:v>
      </x:c>
      <x:c r="N98" s="18" t="n">
        <x:f>'参数'!$B$18*'参数'!$B$19^(M98-1)*'参数'!$B$48*'参数'!$B$49*MIN(1,(A98-1)/19)</x:f>
        <x:v>1044.8112587306748</x:v>
      </x:c>
      <x:c r="O98" s="18" t="n">
        <x:f>ROUND(F98+N98*'参数'!$K$21,0)</x:f>
        <x:v>6620</x:v>
      </x:c>
      <x:c r="P98" s="18" t="n">
        <x:f>ROUND((J98+N98*'参数'!$L$21)*(1+'参数'!$B$40*MIN(1,(A98-1)/19)),0)</x:f>
        <x:v>78054</x:v>
      </x:c>
      <x:c r="Q98" s="18" t="n">
        <x:f>ROUND((K98+N98*'参数'!$M$21)*(1+'参数'!$B$41*MIN(1,(A98-1)/19)),0)</x:f>
        <x:v>4095</x:v>
      </x:c>
      <x:c r="R98" s="21" t="n">
        <x:f>N98*'参数'!$K$21/O98</x:f>
        <x:v>0.44980545126622706</x:v>
      </x:c>
      <x:c r="S98" s="52" t="n">
        <x:f>INDEX('参数'!$I$59:$I$74,'参数'!$B$47+1)</x:f>
        <x:v>0</x:v>
      </x:c>
      <x:c r="T98" s="52" t="n">
        <x:f>INDEX('参数'!$J$59:$J$74,'参数'!$B$47+1)</x:f>
        <x:v>0</x:v>
      </x:c>
    </x:row>
    <x:row r="99" ht="22" customHeight="1">
      <x:c r="A99" s="19" t="n">
        <x:v>94</x:v>
      </x:c>
      <x:c r="B99" s="20" t="n">
        <x:f>'参数'!$B$16^(A99-1)</x:f>
        <x:v>26.81990610373494</x:v>
      </x:c>
      <x:c r="C99" s="20" t="n">
        <x:f>'参数'!$B$15^(A99-1)</x:f>
        <x:v>24.516164725725115</x:v>
      </x:c>
      <x:c r="D99" s="20" t="n">
        <x:f>'参数'!$B$17^(A99-1)</x:f>
        <x:v>24.516164725725115</x:v>
      </x:c>
      <x:c r="E99" s="22" t="n">
        <x:f>IF(A99&gt;40,'参数'!$B$54,0)+IF(A99&gt;80,'参数'!$B$55,0)</x:f>
        <x:v>0.22999999999999998</x:v>
      </x:c>
      <x:c r="F99" s="19" t="n">
        <x:f>ROUND('参数'!$H$5*C99*(1+E99),0)</x:f>
        <x:v>3769</x:v>
      </x:c>
      <x:c r="G99" s="19" t="n">
        <x:f>ROUND('参数'!$G$5*B99*(1+E99),0)</x:f>
        <x:v>32988</x:v>
      </x:c>
      <x:c r="H99" s="19" t="n">
        <x:f>ROUND('参数'!$I$5*D99*(1+E99),0)</x:f>
        <x:v>1055</x:v>
      </x:c>
      <x:c r="I99" s="19" t="n">
        <x:f>ROUND('参数'!$H$6*C99*(1+E99),0)</x:f>
        <x:v>2714</x:v>
      </x:c>
      <x:c r="J99" s="19" t="n">
        <x:f>ROUND('参数'!$G$6*B99*(1+E99),0)</x:f>
        <x:v>49483</x:v>
      </x:c>
      <x:c r="K99" s="19" t="n">
        <x:f>ROUND('参数'!$I$6*D99*(1+E99),0)</x:f>
        <x:v>1960</x:v>
      </x:c>
      <x:c r="L99" s="19" t="n">
        <x:f>ROUND('参数'!$H$7*C99*(1+E99),0)</x:f>
        <x:v>2111</x:v>
      </x:c>
      <x:c r="M99" s="19" t="n">
        <x:f>MAX(1,5*INT(A99/5))</x:f>
        <x:v>90</x:v>
      </x:c>
      <x:c r="N99" s="19" t="n">
        <x:f>'参数'!$B$18*'参数'!$B$19^(M99-1)*'参数'!$B$48*'参数'!$B$49*MIN(1,(A99-1)/19)</x:f>
        <x:v>1044.8112587306748</x:v>
      </x:c>
      <x:c r="O99" s="19" t="n">
        <x:f>ROUND(F99+N99*'参数'!$K$21,0)</x:f>
        <x:v>6747</x:v>
      </x:c>
      <x:c r="P99" s="19" t="n">
        <x:f>ROUND((J99+N99*'参数'!$L$21)*(1+'参数'!$B$40*MIN(1,(A99-1)/19)),0)</x:f>
        <x:v>79946</x:v>
      </x:c>
      <x:c r="Q99" s="19" t="n">
        <x:f>ROUND((K99+N99*'参数'!$M$21)*(1+'参数'!$B$41*MIN(1,(A99-1)/19)),0)</x:f>
        <x:v>4167</x:v>
      </x:c>
      <x:c r="R99" s="22" t="n">
        <x:f>N99*'参数'!$K$21/O99</x:f>
        <x:v>0.44133868198939136</x:v>
      </x:c>
      <x:c r="S99" s="52" t="n">
        <x:f>INDEX('参数'!$I$59:$I$74,'参数'!$B$47+1)</x:f>
        <x:v>0</x:v>
      </x:c>
      <x:c r="T99" s="52" t="n">
        <x:f>INDEX('参数'!$J$59:$J$74,'参数'!$B$47+1)</x:f>
        <x:v>0</x:v>
      </x:c>
    </x:row>
    <x:row r="100" ht="22" customHeight="1">
      <x:c r="A100" s="18" t="n">
        <x:v>95</x:v>
      </x:c>
      <x:c r="B100" s="15" t="n">
        <x:f>'参数'!$B$16^(A100-1)</x:f>
        <x:v>27.7854227234694</x:v>
      </x:c>
      <x:c r="C100" s="15" t="n">
        <x:f>'参数'!$B$15^(A100-1)</x:f>
        <x:v>25.37423049112549</x:v>
      </x:c>
      <x:c r="D100" s="15" t="n">
        <x:f>'参数'!$B$17^(A100-1)</x:f>
        <x:v>25.37423049112549</x:v>
      </x:c>
      <x:c r="E100" s="21" t="n">
        <x:f>IF(A100&gt;40,'参数'!$B$54,0)+IF(A100&gt;80,'参数'!$B$55,0)</x:f>
        <x:v>0.22999999999999998</x:v>
      </x:c>
      <x:c r="F100" s="18" t="n">
        <x:f>ROUND('参数'!$H$5*C100*(1+E100),0)</x:f>
        <x:v>3901</x:v>
      </x:c>
      <x:c r="G100" s="18" t="n">
        <x:f>ROUND('参数'!$G$5*B100*(1+E100),0)</x:f>
        <x:v>34176</x:v>
      </x:c>
      <x:c r="H100" s="18" t="n">
        <x:f>ROUND('参数'!$I$5*D100*(1+E100),0)</x:f>
        <x:v>1092</x:v>
      </x:c>
      <x:c r="I100" s="18" t="n">
        <x:f>ROUND('参数'!$H$6*C100*(1+E100),0)</x:f>
        <x:v>2809</x:v>
      </x:c>
      <x:c r="J100" s="18" t="n">
        <x:f>ROUND('参数'!$G$6*B100*(1+E100),0)</x:f>
        <x:v>51264</x:v>
      </x:c>
      <x:c r="K100" s="18" t="n">
        <x:f>ROUND('参数'!$I$6*D100*(1+E100),0)</x:f>
        <x:v>2029</x:v>
      </x:c>
      <x:c r="L100" s="18" t="n">
        <x:f>ROUND('参数'!$H$7*C100*(1+E100),0)</x:f>
        <x:v>2185</x:v>
      </x:c>
      <x:c r="M100" s="18" t="n">
        <x:f>MAX(1,5*INT(A100/5))</x:f>
        <x:v>95</x:v>
      </x:c>
      <x:c r="N100" s="18" t="n">
        <x:f>'参数'!$B$18*'参数'!$B$19^(M100-1)*'参数'!$B$48*'参数'!$B$49*MIN(1,(A100-1)/19)</x:f>
        <x:v>1252.9438991486713</x:v>
      </x:c>
      <x:c r="O100" s="18" t="n">
        <x:f>ROUND(F100+N100*'参数'!$K$21,0)</x:f>
        <x:v>7472</x:v>
      </x:c>
      <x:c r="P100" s="18" t="n">
        <x:f>ROUND((J100+N100*'参数'!$L$21)*(1+'参数'!$B$40*MIN(1,(A100-1)/19)),0)</x:f>
        <x:v>86987</x:v>
      </x:c>
      <x:c r="Q100" s="18" t="n">
        <x:f>ROUND((K100+N100*'参数'!$M$21)*(1+'参数'!$B$41*MIN(1,(A100-1)/19)),0)</x:f>
        <x:v>4644</x:v>
      </x:c>
      <x:c r="R100" s="21" t="n">
        <x:f>N100*'参数'!$K$21/O100</x:f>
        <x:v>0.47790285232517576</x:v>
      </x:c>
      <x:c r="S100" s="52" t="n">
        <x:f>INDEX('参数'!$I$59:$I$74,'参数'!$B$47+1)</x:f>
        <x:v>0</x:v>
      </x:c>
      <x:c r="T100" s="52" t="n">
        <x:f>INDEX('参数'!$J$59:$J$74,'参数'!$B$47+1)</x:f>
        <x:v>0</x:v>
      </x:c>
    </x:row>
    <x:row r="101" ht="22" customHeight="1">
      <x:c r="A101" s="19" t="n">
        <x:v>96</x:v>
      </x:c>
      <x:c r="B101" s="20" t="n">
        <x:f>'参数'!$B$16^(A101-1)</x:f>
        <x:v>28.785697941514297</x:v>
      </x:c>
      <x:c r="C101" s="20" t="n">
        <x:f>'参数'!$B$15^(A101-1)</x:f>
        <x:v>26.262328558314884</x:v>
      </x:c>
      <x:c r="D101" s="20" t="n">
        <x:f>'参数'!$B$17^(A101-1)</x:f>
        <x:v>26.262328558314884</x:v>
      </x:c>
      <x:c r="E101" s="22" t="n">
        <x:f>IF(A101&gt;40,'参数'!$B$54,0)+IF(A101&gt;80,'参数'!$B$55,0)</x:f>
        <x:v>0.22999999999999998</x:v>
      </x:c>
      <x:c r="F101" s="19" t="n">
        <x:f>ROUND('参数'!$H$5*C101*(1+E101),0)</x:f>
        <x:v>4038</x:v>
      </x:c>
      <x:c r="G101" s="19" t="n">
        <x:f>ROUND('参数'!$G$5*B101*(1+E101),0)</x:f>
        <x:v>35406</x:v>
      </x:c>
      <x:c r="H101" s="19" t="n">
        <x:f>ROUND('参数'!$I$5*D101*(1+E101),0)</x:f>
        <x:v>1131</x:v>
      </x:c>
      <x:c r="I101" s="19" t="n">
        <x:f>ROUND('参数'!$H$6*C101*(1+E101),0)</x:f>
        <x:v>2907</x:v>
      </x:c>
      <x:c r="J101" s="19" t="n">
        <x:f>ROUND('参数'!$G$6*B101*(1+E101),0)</x:f>
        <x:v>53110</x:v>
      </x:c>
      <x:c r="K101" s="19" t="n">
        <x:f>ROUND('参数'!$I$6*D101*(1+E101),0)</x:f>
        <x:v>2100</x:v>
      </x:c>
      <x:c r="L101" s="19" t="n">
        <x:f>ROUND('参数'!$H$7*C101*(1+E101),0)</x:f>
        <x:v>2261</x:v>
      </x:c>
      <x:c r="M101" s="19" t="n">
        <x:f>MAX(1,5*INT(A101/5))</x:f>
        <x:v>95</x:v>
      </x:c>
      <x:c r="N101" s="19" t="n">
        <x:f>'参数'!$B$18*'参数'!$B$19^(M101-1)*'参数'!$B$48*'参数'!$B$49*MIN(1,(A101-1)/19)</x:f>
        <x:v>1252.9438991486713</x:v>
      </x:c>
      <x:c r="O101" s="19" t="n">
        <x:f>ROUND(F101+N101*'参数'!$K$21,0)</x:f>
        <x:v>7609</x:v>
      </x:c>
      <x:c r="P101" s="19" t="n">
        <x:f>ROUND((J101+N101*'参数'!$L$21)*(1+'参数'!$B$40*MIN(1,(A101-1)/19)),0)</x:f>
        <x:v>89018</x:v>
      </x:c>
      <x:c r="Q101" s="19" t="n">
        <x:f>ROUND((K101+N101*'参数'!$M$21)*(1+'参数'!$B$41*MIN(1,(A101-1)/19)),0)</x:f>
        <x:v>4722</x:v>
      </x:c>
      <x:c r="R101" s="22" t="n">
        <x:f>N101*'参数'!$K$21/O101</x:f>
        <x:v>0.46929821429540197</x:v>
      </x:c>
      <x:c r="S101" s="52" t="n">
        <x:f>INDEX('参数'!$I$59:$I$74,'参数'!$B$47+1)</x:f>
        <x:v>0</x:v>
      </x:c>
      <x:c r="T101" s="52" t="n">
        <x:f>INDEX('参数'!$J$59:$J$74,'参数'!$B$47+1)</x:f>
        <x:v>0</x:v>
      </x:c>
    </x:row>
    <x:row r="102" ht="22" customHeight="1">
      <x:c r="A102" s="18" t="n">
        <x:v>97</x:v>
      </x:c>
      <x:c r="B102" s="15" t="n">
        <x:f>'参数'!$B$16^(A102-1)</x:f>
        <x:v>29.821983067408812</x:v>
      </x:c>
      <x:c r="C102" s="15" t="n">
        <x:f>'参数'!$B$15^(A102-1)</x:f>
        <x:v>27.181510057855903</x:v>
      </x:c>
      <x:c r="D102" s="15" t="n">
        <x:f>'参数'!$B$17^(A102-1)</x:f>
        <x:v>27.181510057855903</x:v>
      </x:c>
      <x:c r="E102" s="21" t="n">
        <x:f>IF(A102&gt;40,'参数'!$B$54,0)+IF(A102&gt;80,'参数'!$B$55,0)</x:f>
        <x:v>0.22999999999999998</x:v>
      </x:c>
      <x:c r="F102" s="18" t="n">
        <x:f>ROUND('参数'!$H$5*C102*(1+E102),0)</x:f>
        <x:v>4179</x:v>
      </x:c>
      <x:c r="G102" s="18" t="n">
        <x:f>ROUND('参数'!$G$5*B102*(1+E102),0)</x:f>
        <x:v>36681</x:v>
      </x:c>
      <x:c r="H102" s="18" t="n">
        <x:f>ROUND('参数'!$I$5*D102*(1+E102),0)</x:f>
        <x:v>1170</x:v>
      </x:c>
      <x:c r="I102" s="18" t="n">
        <x:f>ROUND('参数'!$H$6*C102*(1+E102),0)</x:f>
        <x:v>3009</x:v>
      </x:c>
      <x:c r="J102" s="18" t="n">
        <x:f>ROUND('参数'!$G$6*B102*(1+E102),0)</x:f>
        <x:v>55022</x:v>
      </x:c>
      <x:c r="K102" s="18" t="n">
        <x:f>ROUND('参数'!$I$6*D102*(1+E102),0)</x:f>
        <x:v>2173</x:v>
      </x:c>
      <x:c r="L102" s="18" t="n">
        <x:f>ROUND('参数'!$H$7*C102*(1+E102),0)</x:f>
        <x:v>2340</x:v>
      </x:c>
      <x:c r="M102" s="18" t="n">
        <x:f>MAX(1,5*INT(A102/5))</x:f>
        <x:v>95</x:v>
      </x:c>
      <x:c r="N102" s="18" t="n">
        <x:f>'参数'!$B$18*'参数'!$B$19^(M102-1)*'参数'!$B$48*'参数'!$B$49*MIN(1,(A102-1)/19)</x:f>
        <x:v>1252.9438991486713</x:v>
      </x:c>
      <x:c r="O102" s="18" t="n">
        <x:f>ROUND(F102+N102*'参数'!$K$21,0)</x:f>
        <x:v>7750</x:v>
      </x:c>
      <x:c r="P102" s="18" t="n">
        <x:f>ROUND((J102+N102*'参数'!$L$21)*(1+'参数'!$B$40*MIN(1,(A102-1)/19)),0)</x:f>
        <x:v>91121</x:v>
      </x:c>
      <x:c r="Q102" s="18" t="n">
        <x:f>ROUND((K102+N102*'参数'!$M$21)*(1+'参数'!$B$41*MIN(1,(A102-1)/19)),0)</x:f>
        <x:v>4802</x:v>
      </x:c>
      <x:c r="R102" s="21" t="n">
        <x:f>N102*'参数'!$K$21/O102</x:f>
        <x:v>0.4607600145256404</x:v>
      </x:c>
      <x:c r="S102" s="52" t="n">
        <x:f>INDEX('参数'!$I$59:$I$74,'参数'!$B$47+1)</x:f>
        <x:v>0</x:v>
      </x:c>
      <x:c r="T102" s="52" t="n">
        <x:f>INDEX('参数'!$J$59:$J$74,'参数'!$B$47+1)</x:f>
        <x:v>0</x:v>
      </x:c>
    </x:row>
    <x:row r="103" ht="22" customHeight="1">
      <x:c r="A103" s="19" t="n">
        <x:v>98</x:v>
      </x:c>
      <x:c r="B103" s="20" t="n">
        <x:f>'参数'!$B$16^(A103-1)</x:f>
        <x:v>30.895574457835533</x:v>
      </x:c>
      <x:c r="C103" s="20" t="n">
        <x:f>'参数'!$B$15^(A103-1)</x:f>
        <x:v>28.132862909880856</x:v>
      </x:c>
      <x:c r="D103" s="20" t="n">
        <x:f>'参数'!$B$17^(A103-1)</x:f>
        <x:v>28.132862909880856</x:v>
      </x:c>
      <x:c r="E103" s="22" t="n">
        <x:f>IF(A103&gt;40,'参数'!$B$54,0)+IF(A103&gt;80,'参数'!$B$55,0)</x:f>
        <x:v>0.22999999999999998</x:v>
      </x:c>
      <x:c r="F103" s="19" t="n">
        <x:f>ROUND('参数'!$H$5*C103*(1+E103),0)</x:f>
        <x:v>4325</x:v>
      </x:c>
      <x:c r="G103" s="19" t="n">
        <x:f>ROUND('参数'!$G$5*B103*(1+E103),0)</x:f>
        <x:v>38002</x:v>
      </x:c>
      <x:c r="H103" s="19" t="n">
        <x:f>ROUND('参数'!$I$5*D103*(1+E103),0)</x:f>
        <x:v>1211</x:v>
      </x:c>
      <x:c r="I103" s="19" t="n">
        <x:f>ROUND('参数'!$H$6*C103*(1+E103),0)</x:f>
        <x:v>3114</x:v>
      </x:c>
      <x:c r="J103" s="19" t="n">
        <x:f>ROUND('参数'!$G$6*B103*(1+E103),0)</x:f>
        <x:v>57002</x:v>
      </x:c>
      <x:c r="K103" s="19" t="n">
        <x:f>ROUND('参数'!$I$6*D103*(1+E103),0)</x:f>
        <x:v>2249</x:v>
      </x:c>
      <x:c r="L103" s="19" t="n">
        <x:f>ROUND('参数'!$H$7*C103*(1+E103),0)</x:f>
        <x:v>2422</x:v>
      </x:c>
      <x:c r="M103" s="19" t="n">
        <x:f>MAX(1,5*INT(A103/5))</x:f>
        <x:v>95</x:v>
      </x:c>
      <x:c r="N103" s="19" t="n">
        <x:f>'参数'!$B$18*'参数'!$B$19^(M103-1)*'参数'!$B$48*'参数'!$B$49*MIN(1,(A103-1)/19)</x:f>
        <x:v>1252.9438991486713</x:v>
      </x:c>
      <x:c r="O103" s="19" t="n">
        <x:f>ROUND(F103+N103*'参数'!$K$21,0)</x:f>
        <x:v>7896</x:v>
      </x:c>
      <x:c r="P103" s="19" t="n">
        <x:f>ROUND((J103+N103*'参数'!$L$21)*(1+'参数'!$B$40*MIN(1,(A103-1)/19)),0)</x:f>
        <x:v>93299</x:v>
      </x:c>
      <x:c r="Q103" s="19" t="n">
        <x:f>ROUND((K103+N103*'参数'!$M$21)*(1+'参数'!$B$41*MIN(1,(A103-1)/19)),0)</x:f>
        <x:v>4886</x:v>
      </x:c>
      <x:c r="R103" s="22" t="n">
        <x:f>N103*'参数'!$K$21/O103</x:f>
        <x:v>0.4522403891304095</x:v>
      </x:c>
      <x:c r="S103" s="52" t="n">
        <x:f>INDEX('参数'!$I$59:$I$74,'参数'!$B$47+1)</x:f>
        <x:v>0</x:v>
      </x:c>
      <x:c r="T103" s="52" t="n">
        <x:f>INDEX('参数'!$J$59:$J$74,'参数'!$B$47+1)</x:f>
        <x:v>0</x:v>
      </x:c>
    </x:row>
    <x:row r="104" ht="22" customHeight="1">
      <x:c r="A104" s="18" t="n">
        <x:v>99</x:v>
      </x:c>
      <x:c r="B104" s="15" t="n">
        <x:f>'参数'!$B$16^(A104-1)</x:f>
        <x:v>32.00781513831761</x:v>
      </x:c>
      <x:c r="C104" s="15" t="n">
        <x:f>'参数'!$B$15^(A104-1)</x:f>
        <x:v>29.117513111726684</x:v>
      </x:c>
      <x:c r="D104" s="15" t="n">
        <x:f>'参数'!$B$17^(A104-1)</x:f>
        <x:v>29.117513111726684</x:v>
      </x:c>
      <x:c r="E104" s="21" t="n">
        <x:f>IF(A104&gt;40,'参数'!$B$54,0)+IF(A104&gt;80,'参数'!$B$55,0)</x:f>
        <x:v>0.22999999999999998</x:v>
      </x:c>
      <x:c r="F104" s="18" t="n">
        <x:f>ROUND('参数'!$H$5*C104*(1+E104),0)</x:f>
        <x:v>4477</x:v>
      </x:c>
      <x:c r="G104" s="18" t="n">
        <x:f>ROUND('参数'!$G$5*B104*(1+E104),0)</x:f>
        <x:v>39370</x:v>
      </x:c>
      <x:c r="H104" s="18" t="n">
        <x:f>ROUND('参数'!$I$5*D104*(1+E104),0)</x:f>
        <x:v>1254</x:v>
      </x:c>
      <x:c r="I104" s="18" t="n">
        <x:f>ROUND('参数'!$H$6*C104*(1+E104),0)</x:f>
        <x:v>3223</x:v>
      </x:c>
      <x:c r="J104" s="18" t="n">
        <x:f>ROUND('参数'!$G$6*B104*(1+E104),0)</x:f>
        <x:v>59054</x:v>
      </x:c>
      <x:c r="K104" s="18" t="n">
        <x:f>ROUND('参数'!$I$6*D104*(1+E104),0)</x:f>
        <x:v>2328</x:v>
      </x:c>
      <x:c r="L104" s="18" t="n">
        <x:f>ROUND('参数'!$H$7*C104*(1+E104),0)</x:f>
        <x:v>2507</x:v>
      </x:c>
      <x:c r="M104" s="18" t="n">
        <x:f>MAX(1,5*INT(A104/5))</x:f>
        <x:v>95</x:v>
      </x:c>
      <x:c r="N104" s="18" t="n">
        <x:f>'参数'!$B$18*'参数'!$B$19^(M104-1)*'参数'!$B$48*'参数'!$B$49*MIN(1,(A104-1)/19)</x:f>
        <x:v>1252.9438991486713</x:v>
      </x:c>
      <x:c r="O104" s="18" t="n">
        <x:f>ROUND(F104+N104*'参数'!$K$21,0)</x:f>
        <x:v>8048</x:v>
      </x:c>
      <x:c r="P104" s="18" t="n">
        <x:f>ROUND((J104+N104*'参数'!$L$21)*(1+'参数'!$B$40*MIN(1,(A104-1)/19)),0)</x:f>
        <x:v>95556</x:v>
      </x:c>
      <x:c r="Q104" s="18" t="n">
        <x:f>ROUND((K104+N104*'参数'!$M$21)*(1+'参数'!$B$41*MIN(1,(A104-1)/19)),0)</x:f>
        <x:v>4973</x:v>
      </x:c>
      <x:c r="R104" s="21" t="n">
        <x:f>N104*'参数'!$K$21/O104</x:f>
        <x:v>0.4436990696537914</x:v>
      </x:c>
      <x:c r="S104" s="52" t="n">
        <x:f>INDEX('参数'!$I$59:$I$74,'参数'!$B$47+1)</x:f>
        <x:v>0</x:v>
      </x:c>
      <x:c r="T104" s="52" t="n">
        <x:f>INDEX('参数'!$J$59:$J$74,'参数'!$B$47+1)</x:f>
        <x:v>0</x:v>
      </x:c>
    </x:row>
    <x:row r="105" ht="22" customHeight="1">
      <x:c r="A105" s="19" t="n">
        <x:v>100</x:v>
      </x:c>
      <x:c r="B105" s="20" t="n">
        <x:f>'参数'!$B$16^(A105-1)</x:f>
        <x:v>33.160096483297046</x:v>
      </x:c>
      <x:c r="C105" s="20" t="n">
        <x:f>'参数'!$B$15^(A105-1)</x:f>
        <x:v>30.136626070637117</x:v>
      </x:c>
      <x:c r="D105" s="20" t="n">
        <x:f>'参数'!$B$17^(A105-1)</x:f>
        <x:v>30.136626070637117</x:v>
      </x:c>
      <x:c r="E105" s="22" t="n">
        <x:f>IF(A105&gt;40,'参数'!$B$54,0)+IF(A105&gt;80,'参数'!$B$55,0)</x:f>
        <x:v>0.22999999999999998</x:v>
      </x:c>
      <x:c r="F105" s="19" t="n">
        <x:f>ROUND('参数'!$H$5*C105*(1+E105),0)</x:f>
        <x:v>4634</x:v>
      </x:c>
      <x:c r="G105" s="19" t="n">
        <x:f>ROUND('参数'!$G$5*B105*(1+E105),0)</x:f>
        <x:v>40787</x:v>
      </x:c>
      <x:c r="H105" s="19" t="n">
        <x:f>ROUND('参数'!$I$5*D105*(1+E105),0)</x:f>
        <x:v>1297</x:v>
      </x:c>
      <x:c r="I105" s="19" t="n">
        <x:f>ROUND('参数'!$H$6*C105*(1+E105),0)</x:f>
        <x:v>3336</x:v>
      </x:c>
      <x:c r="J105" s="19" t="n">
        <x:f>ROUND('参数'!$G$6*B105*(1+E105),0)</x:f>
        <x:v>61180</x:v>
      </x:c>
      <x:c r="K105" s="19" t="n">
        <x:f>ROUND('参数'!$I$6*D105*(1+E105),0)</x:f>
        <x:v>2409</x:v>
      </x:c>
      <x:c r="L105" s="19" t="n">
        <x:f>ROUND('参数'!$H$7*C105*(1+E105),0)</x:f>
        <x:v>2595</x:v>
      </x:c>
      <x:c r="M105" s="19" t="n">
        <x:f>MAX(1,5*INT(A105/5))</x:f>
        <x:v>100</x:v>
      </x:c>
      <x:c r="N105" s="19" t="n">
        <x:f>'参数'!$B$18*'参数'!$B$19^(M105-1)*'参数'!$B$48*'参数'!$B$49*MIN(1,(A105-1)/19)</x:f>
        <x:v>1502.5378041207985</x:v>
      </x:c>
      <x:c r="O105" s="19" t="n">
        <x:f>ROUND(F105+N105*'参数'!$K$21,0)</x:f>
        <x:v>8916</x:v>
      </x:c>
      <x:c r="P105" s="19" t="n">
        <x:f>ROUND((J105+N105*'参数'!$L$21)*(1+'参数'!$B$40*MIN(1,(A105-1)/19)),0)</x:f>
        <x:v>103990</x:v>
      </x:c>
      <x:c r="Q105" s="19" t="n">
        <x:f>ROUND((K105+N105*'参数'!$M$21)*(1+'参数'!$B$41*MIN(1,(A105-1)/19)),0)</x:f>
        <x:v>5542</x:v>
      </x:c>
      <x:c r="R105" s="22" t="n">
        <x:f>N105*'参数'!$K$21/O105</x:f>
        <x:v>0.48028631020012064</x:v>
      </x:c>
      <x:c r="S105" s="52" t="n">
        <x:f>INDEX('参数'!$I$59:$I$74,'参数'!$B$47+1)</x:f>
        <x:v>0</x:v>
      </x:c>
      <x:c r="T105" s="52" t="n">
        <x:f>INDEX('参数'!$J$59:$J$74,'参数'!$B$47+1)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1"/>
      <x:c r="P1" s="1"/>
      <x:c r="Q1" s="1"/>
      <x:c r="R1" s="1"/>
      <x:c r="S1" s="1"/>
      <x:c r="T1" s="1"/>
      <x:c r="U1" s="1"/>
      <x:c r="V1" s="1"/>
    </x:row>
    <x:row r="2" ht="22" customHeight="1">
      <x:c r="A2" s="3" t="str">
        <x:v>升级消耗与养成时间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1"/>
      <x:c r="P2" s="1"/>
      <x:c r="Q2" s="1"/>
      <x:c r="R2" s="1"/>
      <x:c r="S2" s="1"/>
      <x:c r="T2" s="1"/>
      <x:c r="U2" s="1"/>
      <x:c r="V2" s="1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1"/>
      <x:c r="P3" s="1"/>
      <x:c r="Q3" s="1"/>
      <x:c r="R3" s="1"/>
      <x:c r="S3" s="1"/>
      <x:c r="T3" s="1"/>
      <x:c r="U3" s="1"/>
      <x:c r="V3" s="1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1"/>
      <x:c r="P4" s="1"/>
      <x:c r="Q4" s="1"/>
      <x:c r="R4" s="1"/>
      <x:c r="S4" s="1"/>
      <x:c r="T4" s="1"/>
      <x:c r="U4" s="1"/>
      <x:c r="V4" s="1"/>
    </x:row>
    <x:row r="5" ht="38" customHeight="1">
      <x:c r="A5" s="9" t="str">
        <x:v>当前等级</x:v>
      </x:c>
      <x:c r="B5" s="10" t="str">
        <x:v>时间权重</x:v>
      </x:c>
      <x:c r="C5" s="10" t="str">
        <x:v>全队目标小时</x:v>
      </x:c>
      <x:c r="D5" s="10" t="str">
        <x:v>挂机经验/时</x:v>
      </x:c>
      <x:c r="E5" s="10" t="str">
        <x:v>定价日经验</x:v>
      </x:c>
      <x:c r="F5" s="10" t="str">
        <x:v>单人升一级经验</x:v>
      </x:c>
      <x:c r="G5" s="10" t="str">
        <x:v>全队经验</x:v>
      </x:c>
      <x:c r="H5" s="10" t="str">
        <x:v>当前日经验</x:v>
      </x:c>
      <x:c r="I5" s="10" t="str">
        <x:v>当前升级小时</x:v>
      </x:c>
      <x:c r="J5" s="10" t="str">
        <x:v>当前累计天</x:v>
      </x:c>
      <x:c r="K5" s="10" t="str">
        <x:v>累计全队经验</x:v>
      </x:c>
      <x:c r="L5" s="10" t="str">
        <x:v>单人突破石</x:v>
      </x:c>
      <x:c r="M5" s="10" t="str">
        <x:v>全队突破石</x:v>
      </x:c>
      <x:c r="N5" s="11" t="str">
        <x:v>累计突破石</x:v>
      </x:c>
      <x:c r="O5" s="40" t="str">
        <x:v>不加速日经验</x:v>
      </x:c>
      <x:c r="P5" s="40" t="str">
        <x:v>当前额外小时</x:v>
      </x:c>
      <x:c r="Q5" s="40" t="str">
        <x:v>满额额外小时</x:v>
      </x:c>
      <x:c r="R5" s="40" t="str">
        <x:v>充分加速日经验</x:v>
      </x:c>
      <x:c r="S5" s="40" t="str">
        <x:v>充分加速升级小时</x:v>
      </x:c>
      <x:c r="T5" s="40" t="str">
        <x:v>充分加速累计天</x:v>
      </x:c>
      <x:c r="U5" s="40" t="str">
        <x:v>不加速升级小时</x:v>
      </x:c>
      <x:c r="V5" s="40" t="str">
        <x:v>不加速累计天</x:v>
      </x:c>
    </x:row>
    <x:row r="6" ht="22" customHeight="1">
      <x:c r="A6" s="18" t="n">
        <x:v>1</x:v>
      </x:c>
      <x:c r="B6" s="23" t="n">
        <x:f>'参数'!$B$8+(A6/100)^'参数'!$B$7</x:f>
        <x:v>0.0013981071705534973</x:v>
      </x:c>
      <x:c r="C6" s="15" t="n">
        <x:f>'参数'!$B$5*24*B6/SUM($B$6:$B$104)</x:f>
        <x:v>0.08242690453142945</x:v>
      </x:c>
      <x:c r="D6" s="18" t="n">
        <x:f>'参数'!$B$9*'参数'!$B$10^(A6-1)</x:f>
        <x:v>600</x:v>
      </x:c>
      <x:c r="E6" s="18" t="n">
        <x:f>D6*'参数'!$B$11</x:f>
        <x:v>16200</x:v>
      </x:c>
      <x:c r="F6" s="18" t="n">
        <x:f>ROUNDUP(E6*C6/24/'参数'!$B$6,0)</x:f>
        <x:v>12</x:v>
      </x:c>
      <x:c r="G6" s="18" t="n">
        <x:f>F6*'参数'!$B$6</x:f>
        <x:v>60</x:v>
      </x:c>
      <x:c r="H6" s="18" t="n">
        <x:f>O6+D6*P6</x:f>
        <x:v>16200</x:v>
      </x:c>
      <x:c r="I6" s="15" t="n">
        <x:f>G6/H6*24</x:f>
        <x:v>0.08888888888888889</x:v>
      </x:c>
      <x:c r="J6" s="15" t="n">
        <x:f>SUM($I$6:I6)/24</x:f>
        <x:v>0.003703703703703704</x:v>
      </x:c>
      <x:c r="K6" s="18" t="n">
        <x:f>SUM($G$6:G6)</x:f>
        <x:v>60</x:v>
      </x:c>
      <x:c r="L6" s="18" t="n">
        <x:f>IF(A6=20,1,IF(A6=40,2,IF(A6=60,3,IF(A6=80,5,0))))</x:f>
        <x:v>0</x:v>
      </x:c>
      <x:c r="M6" s="18" t="n">
        <x:f>L6*'参数'!$B$6</x:f>
        <x:v>0</x:v>
      </x:c>
      <x:c r="N6" s="18" t="n">
        <x:f>SUM($M$6:M6)</x:f>
        <x:v>0</x:v>
      </x:c>
      <x:c r="O6" s="31" t="n">
        <x:f>D6*('参数'!$B$12+'参数'!$B$13+'参数'!$B$14)</x:f>
        <x:v>16200</x:v>
      </x:c>
      <x:c r="P6" s="31" t="n">
        <x:f>'参数'!$B$71</x:f>
        <x:v>0</x:v>
      </x:c>
      <x:c r="Q6" s="31" t="n">
        <x:f>'参数'!$B$72</x:f>
        <x:v>54</x:v>
      </x:c>
      <x:c r="R6" s="31" t="n">
        <x:f>O6+D6*Q6</x:f>
        <x:v>48600</x:v>
      </x:c>
      <x:c r="S6" s="33" t="n">
        <x:f>G6/R6*24</x:f>
        <x:v>0.02962962962962963</x:v>
      </x:c>
      <x:c r="T6" s="33" t="n">
        <x:f>SUM($S$6:S6)/24</x:f>
        <x:v>0.0012345679012345679</x:v>
      </x:c>
      <x:c r="U6" s="33" t="n">
        <x:f>G6/O6*24</x:f>
        <x:v>0.08888888888888889</x:v>
      </x:c>
      <x:c r="V6" s="33" t="n">
        <x:f>SUM($U$6:U6)/24</x:f>
        <x:v>0.003703703703703704</x:v>
      </x:c>
    </x:row>
    <x:row r="7" ht="22" customHeight="1">
      <x:c r="A7" s="19" t="n">
        <x:v>2</x:v>
      </x:c>
      <x:c r="B7" s="24" t="n">
        <x:f>'参数'!$B$8+(A7/100)^'参数'!$B$7</x:f>
        <x:v>0.002293454013154715</x:v>
      </x:c>
      <x:c r="C7" s="20" t="n">
        <x:f>'参数'!$B$5*24*B7/SUM($B$6:$B$104)</x:f>
        <x:v>0.13521303586096864</x:v>
      </x:c>
      <x:c r="D7" s="19" t="n">
        <x:f>'参数'!$B$9*'参数'!$B$10^(A7-1)</x:f>
        <x:v>618</x:v>
      </x:c>
      <x:c r="E7" s="19" t="n">
        <x:f>D7*'参数'!$B$11</x:f>
        <x:v>16686</x:v>
      </x:c>
      <x:c r="F7" s="19" t="n">
        <x:f>ROUNDUP(E7*C7/24/'参数'!$B$6,0)</x:f>
        <x:v>19</x:v>
      </x:c>
      <x:c r="G7" s="19" t="n">
        <x:f>F7*'参数'!$B$6</x:f>
        <x:v>95</x:v>
      </x:c>
      <x:c r="H7" s="19" t="n">
        <x:f>O7+D7*P7</x:f>
        <x:v>16686</x:v>
      </x:c>
      <x:c r="I7" s="20" t="n">
        <x:f>G7/H7*24</x:f>
        <x:v>0.13664149586479685</x:v>
      </x:c>
      <x:c r="J7" s="20" t="n">
        <x:f>SUM($I$6:I7)/24</x:f>
        <x:v>0.009397099364736906</x:v>
      </x:c>
      <x:c r="K7" s="19" t="n">
        <x:f>SUM($G$6:G7)</x:f>
        <x:v>155</x:v>
      </x:c>
      <x:c r="L7" s="19" t="n">
        <x:f>IF(A7=20,1,IF(A7=40,2,IF(A7=60,3,IF(A7=80,5,0))))</x:f>
        <x:v>0</x:v>
      </x:c>
      <x:c r="M7" s="19" t="n">
        <x:f>L7*'参数'!$B$6</x:f>
        <x:v>0</x:v>
      </x:c>
      <x:c r="N7" s="19" t="n">
        <x:f>SUM($M$6:M7)</x:f>
        <x:v>0</x:v>
      </x:c>
      <x:c r="O7" s="32" t="n">
        <x:f>D7*('参数'!$B$12+'参数'!$B$13+'参数'!$B$14)</x:f>
        <x:v>16686</x:v>
      </x:c>
      <x:c r="P7" s="32" t="n">
        <x:f>'参数'!$B$71</x:f>
        <x:v>0</x:v>
      </x:c>
      <x:c r="Q7" s="32" t="n">
        <x:f>'参数'!$B$72</x:f>
        <x:v>54</x:v>
      </x:c>
      <x:c r="R7" s="32" t="n">
        <x:f>O7+D7*Q7</x:f>
        <x:v>50058</x:v>
      </x:c>
      <x:c r="S7" s="34" t="n">
        <x:f>G7/R7*24</x:f>
        <x:v>0.04554716528826561</x:v>
      </x:c>
      <x:c r="T7" s="34" t="n">
        <x:f>SUM($S$6:S7)/24</x:f>
        <x:v>0.003132366454912302</x:v>
      </x:c>
      <x:c r="U7" s="34" t="n">
        <x:f>G7/O7*24</x:f>
        <x:v>0.13664149586479685</x:v>
      </x:c>
      <x:c r="V7" s="34" t="n">
        <x:f>SUM($U$6:U7)/24</x:f>
        <x:v>0.009397099364736906</x:v>
      </x:c>
    </x:row>
    <x:row r="8" ht="22" customHeight="1">
      <x:c r="A8" s="18" t="n">
        <x:v>3</x:v>
      </x:c>
      <x:c r="B8" s="23" t="n">
        <x:f>'参数'!$B$8+(A8/100)^'参数'!$B$7</x:f>
        <x:v>0.0035769508361226613</x:v>
      </x:c>
      <x:c r="C8" s="15" t="n">
        <x:f>'参数'!$B$5*24*B8/SUM($B$6:$B$104)</x:f>
        <x:v>0.21088296469145223</x:v>
      </x:c>
      <x:c r="D8" s="18" t="n">
        <x:f>'参数'!$B$9*'参数'!$B$10^(A8-1)</x:f>
        <x:v>636.54</x:v>
      </x:c>
      <x:c r="E8" s="18" t="n">
        <x:f>D8*'参数'!$B$11</x:f>
        <x:v>17186.579999999998</x:v>
      </x:c>
      <x:c r="F8" s="18" t="n">
        <x:f>ROUNDUP(E8*C8/24/'参数'!$B$6,0)</x:f>
        <x:v>31</x:v>
      </x:c>
      <x:c r="G8" s="18" t="n">
        <x:f>F8*'参数'!$B$6</x:f>
        <x:v>155</x:v>
      </x:c>
      <x:c r="H8" s="18" t="n">
        <x:f>O8+D8*P8</x:f>
        <x:v>17186.579999999998</x:v>
      </x:c>
      <x:c r="I8" s="15" t="n">
        <x:f>G8/H8*24</x:f>
        <x:v>0.21644794950478807</x:v>
      </x:c>
      <x:c r="J8" s="15" t="n">
        <x:f>SUM($I$6:I8)/24</x:f>
        <x:v>0.01841576392743641</x:v>
      </x:c>
      <x:c r="K8" s="18" t="n">
        <x:f>SUM($G$6:G8)</x:f>
        <x:v>310</x:v>
      </x:c>
      <x:c r="L8" s="18" t="n">
        <x:f>IF(A8=20,1,IF(A8=40,2,IF(A8=60,3,IF(A8=80,5,0))))</x:f>
        <x:v>0</x:v>
      </x:c>
      <x:c r="M8" s="18" t="n">
        <x:f>L8*'参数'!$B$6</x:f>
        <x:v>0</x:v>
      </x:c>
      <x:c r="N8" s="18" t="n">
        <x:f>SUM($M$6:M8)</x:f>
        <x:v>0</x:v>
      </x:c>
      <x:c r="O8" s="31" t="n">
        <x:f>D8*('参数'!$B$12+'参数'!$B$13+'参数'!$B$14)</x:f>
        <x:v>17186.579999999998</x:v>
      </x:c>
      <x:c r="P8" s="31" t="n">
        <x:f>'参数'!$B$71</x:f>
        <x:v>0</x:v>
      </x:c>
      <x:c r="Q8" s="31" t="n">
        <x:f>'参数'!$B$72</x:f>
        <x:v>54</x:v>
      </x:c>
      <x:c r="R8" s="31" t="n">
        <x:f>O8+D8*Q8</x:f>
        <x:v>51559.73999999999</x:v>
      </x:c>
      <x:c r="S8" s="33" t="n">
        <x:f>G8/R8*24</x:f>
        <x:v>0.07214931650159603</x:v>
      </x:c>
      <x:c r="T8" s="33" t="n">
        <x:f>SUM($S$6:S8)/24</x:f>
        <x:v>0.006138587975812137</x:v>
      </x:c>
      <x:c r="U8" s="33" t="n">
        <x:f>G8/O8*24</x:f>
        <x:v>0.21644794950478807</x:v>
      </x:c>
      <x:c r="V8" s="33" t="n">
        <x:f>SUM($U$6:U8)/24</x:f>
        <x:v>0.01841576392743641</x:v>
      </x:c>
    </x:row>
    <x:row r="9" ht="22" customHeight="1">
      <x:c r="A9" s="19" t="n">
        <x:v>4</x:v>
      </x:c>
      <x:c r="B9" s="24" t="n">
        <x:f>'参数'!$B$8+(A9/100)^'参数'!$B$7</x:f>
        <x:v>0.005202444487046028</x:v>
      </x:c>
      <x:c r="C9" s="20" t="n">
        <x:f>'参数'!$B$5*24*B9/SUM($B$6:$B$104)</x:f>
        <x:v>0.30671568252814135</x:v>
      </x:c>
      <x:c r="D9" s="19" t="n">
        <x:f>'参数'!$B$9*'参数'!$B$10^(A9-1)</x:f>
        <x:v>655.6362</x:v>
      </x:c>
      <x:c r="E9" s="19" t="n">
        <x:f>D9*'参数'!$B$11</x:f>
        <x:v>17702.1774</x:v>
      </x:c>
      <x:c r="F9" s="19" t="n">
        <x:f>ROUNDUP(E9*C9/24/'参数'!$B$6,0)</x:f>
        <x:v>46</x:v>
      </x:c>
      <x:c r="G9" s="19" t="n">
        <x:f>F9*'参数'!$B$6</x:f>
        <x:v>230</x:v>
      </x:c>
      <x:c r="H9" s="19" t="n">
        <x:f>O9+D9*P9</x:f>
        <x:v>17702.1774</x:v>
      </x:c>
      <x:c r="I9" s="20" t="n">
        <x:f>G9/H9*24</x:f>
        <x:v>0.3118260468907062</x:v>
      </x:c>
      <x:c r="J9" s="20" t="n">
        <x:f>SUM($I$6:I9)/24</x:f>
        <x:v>0.031408515881215834</x:v>
      </x:c>
      <x:c r="K9" s="19" t="n">
        <x:f>SUM($G$6:G9)</x:f>
        <x:v>540</x:v>
      </x:c>
      <x:c r="L9" s="19" t="n">
        <x:f>IF(A9=20,1,IF(A9=40,2,IF(A9=60,3,IF(A9=80,5,0))))</x:f>
        <x:v>0</x:v>
      </x:c>
      <x:c r="M9" s="19" t="n">
        <x:f>L9*'参数'!$B$6</x:f>
        <x:v>0</x:v>
      </x:c>
      <x:c r="N9" s="19" t="n">
        <x:f>SUM($M$6:M9)</x:f>
        <x:v>0</x:v>
      </x:c>
      <x:c r="O9" s="32" t="n">
        <x:f>D9*('参数'!$B$12+'参数'!$B$13+'参数'!$B$14)</x:f>
        <x:v>17702.1774</x:v>
      </x:c>
      <x:c r="P9" s="32" t="n">
        <x:f>'参数'!$B$71</x:f>
        <x:v>0</x:v>
      </x:c>
      <x:c r="Q9" s="32" t="n">
        <x:f>'参数'!$B$72</x:f>
        <x:v>54</x:v>
      </x:c>
      <x:c r="R9" s="32" t="n">
        <x:f>O9+D9*Q9</x:f>
        <x:v>53106.5322</x:v>
      </x:c>
      <x:c r="S9" s="34" t="n">
        <x:f>G9/R9*24</x:f>
        <x:v>0.1039420156302354</x:v>
      </x:c>
      <x:c r="T9" s="34" t="n">
        <x:f>SUM($S$6:S9)/24</x:f>
        <x:v>0.010469505293738612</x:v>
      </x:c>
      <x:c r="U9" s="34" t="n">
        <x:f>G9/O9*24</x:f>
        <x:v>0.3118260468907062</x:v>
      </x:c>
      <x:c r="V9" s="34" t="n">
        <x:f>SUM($U$6:U9)/24</x:f>
        <x:v>0.031408515881215834</x:v>
      </x:c>
    </x:row>
    <x:row r="10" ht="22" customHeight="1">
      <x:c r="A10" s="18" t="n">
        <x:v>5</x:v>
      </x:c>
      <x:c r="B10" s="23" t="n">
        <x:f>'参数'!$B$8+(A10/100)^'参数'!$B$7</x:f>
        <x:v>0.007141140130578954</x:v>
      </x:c>
      <x:c r="C10" s="15" t="n">
        <x:f>'参数'!$B$5*24*B10/SUM($B$6:$B$104)</x:f>
        <x:v>0.4210135590362227</x:v>
      </x:c>
      <x:c r="D10" s="18" t="n">
        <x:f>'参数'!$B$9*'参数'!$B$10^(A10-1)</x:f>
        <x:v>675.3052860000001</x:v>
      </x:c>
      <x:c r="E10" s="18" t="n">
        <x:f>D10*'参数'!$B$11</x:f>
        <x:v>18233.242722000003</x:v>
      </x:c>
      <x:c r="F10" s="18" t="n">
        <x:f>ROUNDUP(E10*C10/24/'参数'!$B$6,0)</x:f>
        <x:v>64</x:v>
      </x:c>
      <x:c r="G10" s="18" t="n">
        <x:f>F10*'参数'!$B$6</x:f>
        <x:v>320</x:v>
      </x:c>
      <x:c r="H10" s="18" t="n">
        <x:f>O10+D10*P10</x:f>
        <x:v>18233.242722000003</x:v>
      </x:c>
      <x:c r="I10" s="15" t="n">
        <x:f>G10/H10*24</x:f>
        <x:v>0.4212086745674376</x:v>
      </x:c>
      <x:c r="J10" s="15" t="n">
        <x:f>SUM($I$6:I10)/24</x:f>
        <x:v>0.048958877321525734</x:v>
      </x:c>
      <x:c r="K10" s="18" t="n">
        <x:f>SUM($G$6:G10)</x:f>
        <x:v>860</x:v>
      </x:c>
      <x:c r="L10" s="18" t="n">
        <x:f>IF(A10=20,1,IF(A10=40,2,IF(A10=60,3,IF(A10=80,5,0))))</x:f>
        <x:v>0</x:v>
      </x:c>
      <x:c r="M10" s="18" t="n">
        <x:f>L10*'参数'!$B$6</x:f>
        <x:v>0</x:v>
      </x:c>
      <x:c r="N10" s="18" t="n">
        <x:f>SUM($M$6:M10)</x:f>
        <x:v>0</x:v>
      </x:c>
      <x:c r="O10" s="31" t="n">
        <x:f>D10*('参数'!$B$12+'参数'!$B$13+'参数'!$B$14)</x:f>
        <x:v>18233.242722000003</x:v>
      </x:c>
      <x:c r="P10" s="31" t="n">
        <x:f>'参数'!$B$71</x:f>
        <x:v>0</x:v>
      </x:c>
      <x:c r="Q10" s="31" t="n">
        <x:f>'参数'!$B$72</x:f>
        <x:v>54</x:v>
      </x:c>
      <x:c r="R10" s="31" t="n">
        <x:f>O10+D10*Q10</x:f>
        <x:v>54699.72816600001</x:v>
      </x:c>
      <x:c r="S10" s="33" t="n">
        <x:f>G10/R10*24</x:f>
        <x:v>0.1404028915224792</x:v>
      </x:c>
      <x:c r="T10" s="33" t="n">
        <x:f>SUM($S$6:S10)/24</x:f>
        <x:v>0.01631962577384191</x:v>
      </x:c>
      <x:c r="U10" s="33" t="n">
        <x:f>G10/O10*24</x:f>
        <x:v>0.4212086745674376</x:v>
      </x:c>
      <x:c r="V10" s="33" t="n">
        <x:f>SUM($U$6:U10)/24</x:f>
        <x:v>0.048958877321525734</x:v>
      </x:c>
    </x:row>
    <x:row r="11" ht="22" customHeight="1">
      <x:c r="A11" s="19" t="n">
        <x:v>6</x:v>
      </x:c>
      <x:c r="B11" s="24" t="n">
        <x:f>'参数'!$B$8+(A11/100)^'参数'!$B$7</x:f>
        <x:v>0.009372537967731343</x:v>
      </x:c>
      <x:c r="C11" s="20" t="n">
        <x:f>'参数'!$B$5*24*B11/SUM($B$6:$B$104)</x:f>
        <x:v>0.5525680066268056</x:v>
      </x:c>
      <x:c r="D11" s="19" t="n">
        <x:f>'参数'!$B$9*'参数'!$B$10^(A11-1)</x:f>
        <x:v>695.56444458</x:v>
      </x:c>
      <x:c r="E11" s="19" t="n">
        <x:f>D11*'参数'!$B$11</x:f>
        <x:v>18780.24000366</x:v>
      </x:c>
      <x:c r="F11" s="19" t="n">
        <x:f>ROUNDUP(E11*C11/24/'参数'!$B$6,0)</x:f>
        <x:v>87</x:v>
      </x:c>
      <x:c r="G11" s="19" t="n">
        <x:f>F11*'参数'!$B$6</x:f>
        <x:v>435</x:v>
      </x:c>
      <x:c r="H11" s="19" t="n">
        <x:f>O11+D11*P11</x:f>
        <x:v>18780.24000366</x:v>
      </x:c>
      <x:c r="I11" s="20" t="n">
        <x:f>G11/H11*24</x:f>
        <x:v>0.5559034388253501</x:v>
      </x:c>
      <x:c r="J11" s="20" t="n">
        <x:f>SUM($I$6:I11)/24</x:f>
        <x:v>0.07212152060591533</x:v>
      </x:c>
      <x:c r="K11" s="19" t="n">
        <x:f>SUM($G$6:G11)</x:f>
        <x:v>1295</x:v>
      </x:c>
      <x:c r="L11" s="19" t="n">
        <x:f>IF(A11=20,1,IF(A11=40,2,IF(A11=60,3,IF(A11=80,5,0))))</x:f>
        <x:v>0</x:v>
      </x:c>
      <x:c r="M11" s="19" t="n">
        <x:f>L11*'参数'!$B$6</x:f>
        <x:v>0</x:v>
      </x:c>
      <x:c r="N11" s="19" t="n">
        <x:f>SUM($M$6:M11)</x:f>
        <x:v>0</x:v>
      </x:c>
      <x:c r="O11" s="32" t="n">
        <x:f>D11*('参数'!$B$12+'参数'!$B$13+'参数'!$B$14)</x:f>
        <x:v>18780.24000366</x:v>
      </x:c>
      <x:c r="P11" s="32" t="n">
        <x:f>'参数'!$B$71</x:f>
        <x:v>0</x:v>
      </x:c>
      <x:c r="Q11" s="32" t="n">
        <x:f>'参数'!$B$72</x:f>
        <x:v>54</x:v>
      </x:c>
      <x:c r="R11" s="32" t="n">
        <x:f>O11+D11*Q11</x:f>
        <x:v>56340.72001098</x:v>
      </x:c>
      <x:c r="S11" s="34" t="n">
        <x:f>G11/R11*24</x:f>
        <x:v>0.18530114627511668</x:v>
      </x:c>
      <x:c r="T11" s="34" t="n">
        <x:f>SUM($S$6:S11)/24</x:f>
        <x:v>0.02404050686863844</x:v>
      </x:c>
      <x:c r="U11" s="34" t="n">
        <x:f>G11/O11*24</x:f>
        <x:v>0.5559034388253501</x:v>
      </x:c>
      <x:c r="V11" s="34" t="n">
        <x:f>SUM($U$6:U11)/24</x:f>
        <x:v>0.07212152060591533</x:v>
      </x:c>
    </x:row>
    <x:row r="12" ht="22" customHeight="1">
      <x:c r="A12" s="18" t="n">
        <x:v>7</x:v>
      </x:c>
      <x:c r="B12" s="23" t="n">
        <x:f>'参数'!$B$8+(A12/100)^'参数'!$B$7</x:f>
        <x:v>0.01188094632663524</x:v>
      </x:c>
      <x:c r="C12" s="15" t="n">
        <x:f>'参数'!$B$5*24*B12/SUM($B$6:$B$104)</x:f>
        <x:v>0.7004539059912703</x:v>
      </x:c>
      <x:c r="D12" s="18" t="n">
        <x:f>'参数'!$B$9*'参数'!$B$10^(A12-1)</x:f>
        <x:v>716.4313779174</x:v>
      </x:c>
      <x:c r="E12" s="18" t="n">
        <x:f>D12*'参数'!$B$11</x:f>
        <x:v>19343.6472037698</x:v>
      </x:c>
      <x:c r="F12" s="18" t="n">
        <x:f>ROUNDUP(E12*C12/24/'参数'!$B$6,0)</x:f>
        <x:v>113</x:v>
      </x:c>
      <x:c r="G12" s="18" t="n">
        <x:f>F12*'参数'!$B$6</x:f>
        <x:v>565</x:v>
      </x:c>
      <x:c r="H12" s="18" t="n">
        <x:f>O12+D12*P12</x:f>
        <x:v>19343.6472037698</x:v>
      </x:c>
      <x:c r="I12" s="15" t="n">
        <x:f>G12/H12*24</x:f>
        <x:v>0.7010053407796515</x:v>
      </x:c>
      <x:c r="J12" s="15" t="n">
        <x:f>SUM($I$6:I12)/24</x:f>
        <x:v>0.10133007647173413</x:v>
      </x:c>
      <x:c r="K12" s="18" t="n">
        <x:f>SUM($G$6:G12)</x:f>
        <x:v>1860</x:v>
      </x:c>
      <x:c r="L12" s="18" t="n">
        <x:f>IF(A12=20,1,IF(A12=40,2,IF(A12=60,3,IF(A12=80,5,0))))</x:f>
        <x:v>0</x:v>
      </x:c>
      <x:c r="M12" s="18" t="n">
        <x:f>L12*'参数'!$B$6</x:f>
        <x:v>0</x:v>
      </x:c>
      <x:c r="N12" s="18" t="n">
        <x:f>SUM($M$6:M12)</x:f>
        <x:v>0</x:v>
      </x:c>
      <x:c r="O12" s="31" t="n">
        <x:f>D12*('参数'!$B$12+'参数'!$B$13+'参数'!$B$14)</x:f>
        <x:v>19343.6472037698</x:v>
      </x:c>
      <x:c r="P12" s="31" t="n">
        <x:f>'参数'!$B$71</x:f>
        <x:v>0</x:v>
      </x:c>
      <x:c r="Q12" s="31" t="n">
        <x:f>'参数'!$B$72</x:f>
        <x:v>54</x:v>
      </x:c>
      <x:c r="R12" s="31" t="n">
        <x:f>O12+D12*Q12</x:f>
        <x:v>58030.941611309405</x:v>
      </x:c>
      <x:c r="S12" s="33" t="n">
        <x:f>G12/R12*24</x:f>
        <x:v>0.23366844692655045</x:v>
      </x:c>
      <x:c r="T12" s="33" t="n">
        <x:f>SUM($S$6:S12)/24</x:f>
        <x:v>0.03377669215724471</x:v>
      </x:c>
      <x:c r="U12" s="33" t="n">
        <x:f>G12/O12*24</x:f>
        <x:v>0.7010053407796515</x:v>
      </x:c>
      <x:c r="V12" s="33" t="n">
        <x:f>SUM($U$6:U12)/24</x:f>
        <x:v>0.10133007647173413</x:v>
      </x:c>
    </x:row>
    <x:row r="13" ht="22" customHeight="1">
      <x:c r="A13" s="19" t="n">
        <x:v>8</x:v>
      </x:c>
      <x:c r="B13" s="24" t="n">
        <x:f>'参数'!$B$8+(A13/100)^'参数'!$B$7</x:f>
        <x:v>0.014653782420628751</x:v>
      </x:c>
      <x:c r="C13" s="20" t="n">
        <x:f>'参数'!$B$5*24*B13/SUM($B$6:$B$104)</x:f>
        <x:v>0.8639294254755325</x:v>
      </x:c>
      <x:c r="D13" s="19" t="n">
        <x:f>'参数'!$B$9*'参数'!$B$10^(A13-1)</x:f>
        <x:v>737.9243192549221</x:v>
      </x:c>
      <x:c r="E13" s="19" t="n">
        <x:f>D13*'参数'!$B$11</x:f>
        <x:v>19923.956619882898</x:v>
      </x:c>
      <x:c r="F13" s="19" t="n">
        <x:f>ROUNDUP(E13*C13/24/'参数'!$B$6,0)</x:f>
        <x:v>144</x:v>
      </x:c>
      <x:c r="G13" s="19" t="n">
        <x:f>F13*'参数'!$B$6</x:f>
        <x:v>720</x:v>
      </x:c>
      <x:c r="H13" s="19" t="n">
        <x:f>O13+D13*P13</x:f>
        <x:v>19923.956619882898</x:v>
      </x:c>
      <x:c r="I13" s="20" t="n">
        <x:f>G13/H13*24</x:f>
        <x:v>0.8672976120995772</x:v>
      </x:c>
      <x:c r="J13" s="20" t="n">
        <x:f>SUM($I$6:I13)/24</x:f>
        <x:v>0.13746747697588316</x:v>
      </x:c>
      <x:c r="K13" s="19" t="n">
        <x:f>SUM($G$6:G13)</x:f>
        <x:v>2580</x:v>
      </x:c>
      <x:c r="L13" s="19" t="n">
        <x:f>IF(A13=20,1,IF(A13=40,2,IF(A13=60,3,IF(A13=80,5,0))))</x:f>
        <x:v>0</x:v>
      </x:c>
      <x:c r="M13" s="19" t="n">
        <x:f>L13*'参数'!$B$6</x:f>
        <x:v>0</x:v>
      </x:c>
      <x:c r="N13" s="19" t="n">
        <x:f>SUM($M$6:M13)</x:f>
        <x:v>0</x:v>
      </x:c>
      <x:c r="O13" s="32" t="n">
        <x:f>D13*('参数'!$B$12+'参数'!$B$13+'参数'!$B$14)</x:f>
        <x:v>19923.956619882898</x:v>
      </x:c>
      <x:c r="P13" s="32" t="n">
        <x:f>'参数'!$B$71</x:f>
        <x:v>0</x:v>
      </x:c>
      <x:c r="Q13" s="32" t="n">
        <x:f>'参数'!$B$72</x:f>
        <x:v>54</x:v>
      </x:c>
      <x:c r="R13" s="32" t="n">
        <x:f>O13+D13*Q13</x:f>
        <x:v>59771.869859648694</x:v>
      </x:c>
      <x:c r="S13" s="34" t="n">
        <x:f>G13/R13*24</x:f>
        <x:v>0.2890992040331924</x:v>
      </x:c>
      <x:c r="T13" s="34" t="n">
        <x:f>SUM($S$6:S13)/24</x:f>
        <x:v>0.04582249232529439</x:v>
      </x:c>
      <x:c r="U13" s="34" t="n">
        <x:f>G13/O13*24</x:f>
        <x:v>0.8672976120995772</x:v>
      </x:c>
      <x:c r="V13" s="34" t="n">
        <x:f>SUM($U$6:U13)/24</x:f>
        <x:v>0.13746747697588316</x:v>
      </x:c>
    </x:row>
    <x:row r="14" ht="22" customHeight="1">
      <x:c r="A14" s="18" t="n">
        <x:v>9</x:v>
      </x:c>
      <x:c r="B14" s="23" t="n">
        <x:f>'参数'!$B$8+(A14/100)^'参数'!$B$7</x:f>
        <x:v>0.017680622965320122</x:v>
      </x:c>
      <x:c r="C14" s="15" t="n">
        <x:f>'参数'!$B$5*24*B14/SUM($B$6:$B$104)</x:f>
        <x:v>1.0423800491930002</x:v>
      </x:c>
      <x:c r="D14" s="18" t="n">
        <x:f>'参数'!$B$9*'参数'!$B$10^(A14-1)</x:f>
        <x:v>760.0620488325699</x:v>
      </x:c>
      <x:c r="E14" s="18" t="n">
        <x:f>D14*'参数'!$B$11</x:f>
        <x:v>20521.675318479385</x:v>
      </x:c>
      <x:c r="F14" s="18" t="n">
        <x:f>ROUNDUP(E14*C14/24/'参数'!$B$6,0)</x:f>
        <x:v>179</x:v>
      </x:c>
      <x:c r="G14" s="18" t="n">
        <x:f>F14*'参数'!$B$6</x:f>
        <x:v>895</x:v>
      </x:c>
      <x:c r="H14" s="18" t="n">
        <x:f>O14+D14*P14</x:f>
        <x:v>20521.675318479385</x:v>
      </x:c>
      <x:c r="I14" s="15" t="n">
        <x:f>G14/H14*24</x:f>
        <x:v>1.0466981699421811</x:v>
      </x:c>
      <x:c r="J14" s="15" t="n">
        <x:f>SUM($I$6:I14)/24</x:f>
        <x:v>0.18107990072347405</x:v>
      </x:c>
      <x:c r="K14" s="18" t="n">
        <x:f>SUM($G$6:G14)</x:f>
        <x:v>3475</x:v>
      </x:c>
      <x:c r="L14" s="18" t="n">
        <x:f>IF(A14=20,1,IF(A14=40,2,IF(A14=60,3,IF(A14=80,5,0))))</x:f>
        <x:v>0</x:v>
      </x:c>
      <x:c r="M14" s="18" t="n">
        <x:f>L14*'参数'!$B$6</x:f>
        <x:v>0</x:v>
      </x:c>
      <x:c r="N14" s="18" t="n">
        <x:f>SUM($M$6:M14)</x:f>
        <x:v>0</x:v>
      </x:c>
      <x:c r="O14" s="31" t="n">
        <x:f>D14*('参数'!$B$12+'参数'!$B$13+'参数'!$B$14)</x:f>
        <x:v>20521.675318479385</x:v>
      </x:c>
      <x:c r="P14" s="31" t="n">
        <x:f>'参数'!$B$71</x:f>
        <x:v>0</x:v>
      </x:c>
      <x:c r="Q14" s="31" t="n">
        <x:f>'参数'!$B$72</x:f>
        <x:v>54</x:v>
      </x:c>
      <x:c r="R14" s="31" t="n">
        <x:f>O14+D14*Q14</x:f>
        <x:v>61565.025955438156</x:v>
      </x:c>
      <x:c r="S14" s="33" t="n">
        <x:f>G14/R14*24</x:f>
        <x:v>0.348899389980727</x:v>
      </x:c>
      <x:c r="T14" s="33" t="n">
        <x:f>SUM($S$6:S14)/24</x:f>
        <x:v>0.06035996690782467</x:v>
      </x:c>
      <x:c r="U14" s="33" t="n">
        <x:f>G14/O14*24</x:f>
        <x:v>1.0466981699421811</x:v>
      </x:c>
      <x:c r="V14" s="33" t="n">
        <x:f>SUM($U$6:U14)/24</x:f>
        <x:v>0.18107990072347405</x:v>
      </x:c>
    </x:row>
    <x:row r="15" ht="22" customHeight="1">
      <x:c r="A15" s="19" t="n">
        <x:v>10</x:v>
      </x:c>
      <x:c r="B15" s="24" t="n">
        <x:f>'参数'!$B$8+(A15/100)^'参数'!$B$7</x:f>
        <x:v>0.0209526231496888</x:v>
      </x:c>
      <x:c r="C15" s="20" t="n">
        <x:f>'参数'!$B$5*24*B15/SUM($B$6:$B$104)</x:f>
        <x:v>1.2352843218440048</x:v>
      </x:c>
      <x:c r="D15" s="19" t="n">
        <x:f>'参数'!$B$9*'参数'!$B$10^(A15-1)</x:f>
        <x:v>782.8639102975469</x:v>
      </x:c>
      <x:c r="E15" s="19" t="n">
        <x:f>D15*'参数'!$B$11</x:f>
        <x:v>21137.325578033768</x:v>
      </x:c>
      <x:c r="F15" s="19" t="n">
        <x:f>ROUNDUP(E15*C15/24/'参数'!$B$6,0)</x:f>
        <x:v>218</x:v>
      </x:c>
      <x:c r="G15" s="19" t="n">
        <x:f>F15*'参数'!$B$6</x:f>
        <x:v>1090</x:v>
      </x:c>
      <x:c r="H15" s="19" t="n">
        <x:f>O15+D15*P15</x:f>
        <x:v>21137.325578033768</x:v>
      </x:c>
      <x:c r="I15" s="20" t="n">
        <x:f>G15/H15*24</x:f>
        <x:v>1.237621093710449</x:v>
      </x:c>
      <x:c r="J15" s="20" t="n">
        <x:f>SUM($I$6:I15)/24</x:f>
        <x:v>0.23264744629474277</x:v>
      </x:c>
      <x:c r="K15" s="19" t="n">
        <x:f>SUM($G$6:G15)</x:f>
        <x:v>4565</x:v>
      </x:c>
      <x:c r="L15" s="19" t="n">
        <x:f>IF(A15=20,1,IF(A15=40,2,IF(A15=60,3,IF(A15=80,5,0))))</x:f>
        <x:v>0</x:v>
      </x:c>
      <x:c r="M15" s="19" t="n">
        <x:f>L15*'参数'!$B$6</x:f>
        <x:v>0</x:v>
      </x:c>
      <x:c r="N15" s="19" t="n">
        <x:f>SUM($M$6:M15)</x:f>
        <x:v>0</x:v>
      </x:c>
      <x:c r="O15" s="32" t="n">
        <x:f>D15*('参数'!$B$12+'参数'!$B$13+'参数'!$B$14)</x:f>
        <x:v>21137.325578033768</x:v>
      </x:c>
      <x:c r="P15" s="32" t="n">
        <x:f>'参数'!$B$71</x:f>
        <x:v>0</x:v>
      </x:c>
      <x:c r="Q15" s="32" t="n">
        <x:f>'参数'!$B$72</x:f>
        <x:v>54</x:v>
      </x:c>
      <x:c r="R15" s="32" t="n">
        <x:f>O15+D15*Q15</x:f>
        <x:v>63411.97673410131</x:v>
      </x:c>
      <x:c r="S15" s="34" t="n">
        <x:f>G15/R15*24</x:f>
        <x:v>0.41254036457014964</x:v>
      </x:c>
      <x:c r="T15" s="34" t="n">
        <x:f>SUM($S$6:S15)/24</x:f>
        <x:v>0.07754914876491424</x:v>
      </x:c>
      <x:c r="U15" s="34" t="n">
        <x:f>G15/O15*24</x:f>
        <x:v>1.237621093710449</x:v>
      </x:c>
      <x:c r="V15" s="34" t="n">
        <x:f>SUM($U$6:U15)/24</x:f>
        <x:v>0.23264744629474277</x:v>
      </x:c>
    </x:row>
    <x:row r="16" ht="22" customHeight="1">
      <x:c r="A16" s="18" t="n">
        <x:v>11</x:v>
      </x:c>
      <x:c r="B16" s="23" t="n">
        <x:f>'参数'!$B$8+(A16/100)^'参数'!$B$7</x:f>
        <x:v>0.02446213691233934</x:v>
      </x:c>
      <x:c r="C16" s="15" t="n">
        <x:f>'参数'!$B$5*24*B16/SUM($B$6:$B$104)</x:f>
        <x:v>1.44219146169596</x:v>
      </x:c>
      <x:c r="D16" s="18" t="n">
        <x:f>'参数'!$B$9*'参数'!$B$10^(A16-1)</x:f>
        <x:v>806.3498276064734</x:v>
      </x:c>
      <x:c r="E16" s="18" t="n">
        <x:f>D16*'参数'!$B$11</x:f>
        <x:v>21771.44534537478</x:v>
      </x:c>
      <x:c r="F16" s="18" t="n">
        <x:f>ROUNDUP(E16*C16/24/'参数'!$B$6,0)</x:f>
        <x:v>262</x:v>
      </x:c>
      <x:c r="G16" s="18" t="n">
        <x:f>F16*'参数'!$B$6</x:f>
        <x:v>1310</x:v>
      </x:c>
      <x:c r="H16" s="18" t="n">
        <x:f>O16+D16*P16</x:f>
        <x:v>21771.44534537478</x:v>
      </x:c>
      <x:c r="I16" s="15" t="n">
        <x:f>G16/H16*24</x:f>
        <x:v>1.4440933755773475</x:v>
      </x:c>
      <x:c r="J16" s="15" t="n">
        <x:f>SUM($I$6:I16)/24</x:f>
        <x:v>0.29281800361046556</x:v>
      </x:c>
      <x:c r="K16" s="18" t="n">
        <x:f>SUM($G$6:G16)</x:f>
        <x:v>5875</x:v>
      </x:c>
      <x:c r="L16" s="18" t="n">
        <x:f>IF(A16=20,1,IF(A16=40,2,IF(A16=60,3,IF(A16=80,5,0))))</x:f>
        <x:v>0</x:v>
      </x:c>
      <x:c r="M16" s="18" t="n">
        <x:f>L16*'参数'!$B$6</x:f>
        <x:v>0</x:v>
      </x:c>
      <x:c r="N16" s="18" t="n">
        <x:f>SUM($M$6:M16)</x:f>
        <x:v>0</x:v>
      </x:c>
      <x:c r="O16" s="31" t="n">
        <x:f>D16*('参数'!$B$12+'参数'!$B$13+'参数'!$B$14)</x:f>
        <x:v>21771.44534537478</x:v>
      </x:c>
      <x:c r="P16" s="31" t="n">
        <x:f>'参数'!$B$71</x:f>
        <x:v>0</x:v>
      </x:c>
      <x:c r="Q16" s="31" t="n">
        <x:f>'参数'!$B$72</x:f>
        <x:v>54</x:v>
      </x:c>
      <x:c r="R16" s="31" t="n">
        <x:f>O16+D16*Q16</x:f>
        <x:v>65314.33603612434</x:v>
      </x:c>
      <x:c r="S16" s="33" t="n">
        <x:f>G16/R16*24</x:f>
        <x:v>0.4813644585257826</x:v>
      </x:c>
      <x:c r="T16" s="33" t="n">
        <x:f>SUM($S$6:S16)/24</x:f>
        <x:v>0.0976060012034885</x:v>
      </x:c>
      <x:c r="U16" s="33" t="n">
        <x:f>G16/O16*24</x:f>
        <x:v>1.4440933755773475</x:v>
      </x:c>
      <x:c r="V16" s="33" t="n">
        <x:f>SUM($U$6:U16)/24</x:f>
        <x:v>0.29281800361046556</x:v>
      </x:c>
    </x:row>
    <x:row r="17" ht="22" customHeight="1">
      <x:c r="A17" s="19" t="n">
        <x:v>12</x:v>
      </x:c>
      <x:c r="B17" s="24" t="n">
        <x:f>'参数'!$B$8+(A17/100)^'参数'!$B$7</x:f>
        <x:v>0.028202456111493402</x:v>
      </x:c>
      <x:c r="C17" s="20" t="n">
        <x:f>'参数'!$B$5*24*B17/SUM($B$6:$B$104)</x:f>
        <x:v>1.6627059830710922</x:v>
      </x:c>
      <x:c r="D17" s="19" t="n">
        <x:f>'参数'!$B$9*'参数'!$B$10^(A17-1)</x:f>
        <x:v>830.5403224346676</x:v>
      </x:c>
      <x:c r="E17" s="19" t="n">
        <x:f>D17*'参数'!$B$11</x:f>
        <x:v>22424.588705736023</x:v>
      </x:c>
      <x:c r="F17" s="19" t="n">
        <x:f>ROUNDUP(E17*C17/24/'参数'!$B$6,0)</x:f>
        <x:v>311</x:v>
      </x:c>
      <x:c r="G17" s="19" t="n">
        <x:f>F17*'参数'!$B$6</x:f>
        <x:v>1555</x:v>
      </x:c>
      <x:c r="H17" s="19" t="n">
        <x:f>O17+D17*P17</x:f>
        <x:v>22424.588705736023</x:v>
      </x:c>
      <x:c r="I17" s="20" t="n">
        <x:f>G17/H17*24</x:f>
        <x:v>1.664244570534926</x:v>
      </x:c>
      <x:c r="J17" s="20" t="n">
        <x:f>SUM($I$6:I17)/24</x:f>
        <x:v>0.36216152738275414</x:v>
      </x:c>
      <x:c r="K17" s="19" t="n">
        <x:f>SUM($G$6:G17)</x:f>
        <x:v>7430</x:v>
      </x:c>
      <x:c r="L17" s="19" t="n">
        <x:f>IF(A17=20,1,IF(A17=40,2,IF(A17=60,3,IF(A17=80,5,0))))</x:f>
        <x:v>0</x:v>
      </x:c>
      <x:c r="M17" s="19" t="n">
        <x:f>L17*'参数'!$B$6</x:f>
        <x:v>0</x:v>
      </x:c>
      <x:c r="N17" s="19" t="n">
        <x:f>SUM($M$6:M17)</x:f>
        <x:v>0</x:v>
      </x:c>
      <x:c r="O17" s="32" t="n">
        <x:f>D17*('参数'!$B$12+'参数'!$B$13+'参数'!$B$14)</x:f>
        <x:v>22424.588705736023</x:v>
      </x:c>
      <x:c r="P17" s="32" t="n">
        <x:f>'参数'!$B$71</x:f>
        <x:v>0</x:v>
      </x:c>
      <x:c r="Q17" s="32" t="n">
        <x:f>'参数'!$B$72</x:f>
        <x:v>54</x:v>
      </x:c>
      <x:c r="R17" s="32" t="n">
        <x:f>O17+D17*Q17</x:f>
        <x:v>67273.76611720807</x:v>
      </x:c>
      <x:c r="S17" s="34" t="n">
        <x:f>G17/R17*24</x:f>
        <x:v>0.5547481901783087</x:v>
      </x:c>
      <x:c r="T17" s="34" t="n">
        <x:f>SUM($S$6:S17)/24</x:f>
        <x:v>0.1207205091275847</x:v>
      </x:c>
      <x:c r="U17" s="34" t="n">
        <x:f>G17/O17*24</x:f>
        <x:v>1.664244570534926</x:v>
      </x:c>
      <x:c r="V17" s="34" t="n">
        <x:f>SUM($U$6:U17)/24</x:f>
        <x:v>0.36216152738275414</x:v>
      </x:c>
    </x:row>
    <x:row r="18" ht="22" customHeight="1">
      <x:c r="A18" s="18" t="n">
        <x:v>13</x:v>
      </x:c>
      <x:c r="B18" s="23" t="n">
        <x:f>'参数'!$B$8+(A18/100)^'参数'!$B$7</x:f>
        <x:v>0.03216762421052692</x:v>
      </x:c>
      <x:c r="C18" s="15" t="n">
        <x:f>'参数'!$B$5*24*B18/SUM($B$6:$B$104)</x:f>
        <x:v>1.8964767119778856</x:v>
      </x:c>
      <x:c r="D18" s="18" t="n">
        <x:f>'参数'!$B$9*'参数'!$B$10^(A18-1)</x:f>
        <x:v>855.4565321077076</x:v>
      </x:c>
      <x:c r="E18" s="18" t="n">
        <x:f>D18*'参数'!$B$11</x:f>
        <x:v>23097.326366908106</x:v>
      </x:c>
      <x:c r="F18" s="18" t="n">
        <x:f>ROUNDUP(E18*C18/24/'参数'!$B$6,0)</x:f>
        <x:v>366</x:v>
      </x:c>
      <x:c r="G18" s="18" t="n">
        <x:f>F18*'参数'!$B$6</x:f>
        <x:v>1830</x:v>
      </x:c>
      <x:c r="H18" s="18" t="n">
        <x:f>O18+D18*P18</x:f>
        <x:v>23097.326366908106</x:v>
      </x:c>
      <x:c r="I18" s="15" t="n">
        <x:f>G18/H18*24</x:f>
        <x:v>1.9015187863009486</x:v>
      </x:c>
      <x:c r="J18" s="15" t="n">
        <x:f>SUM($I$6:I18)/24</x:f>
        <x:v>0.4413914768119604</x:v>
      </x:c>
      <x:c r="K18" s="18" t="n">
        <x:f>SUM($G$6:G18)</x:f>
        <x:v>9260</x:v>
      </x:c>
      <x:c r="L18" s="18" t="n">
        <x:f>IF(A18=20,1,IF(A18=40,2,IF(A18=60,3,IF(A18=80,5,0))))</x:f>
        <x:v>0</x:v>
      </x:c>
      <x:c r="M18" s="18" t="n">
        <x:f>L18*'参数'!$B$6</x:f>
        <x:v>0</x:v>
      </x:c>
      <x:c r="N18" s="18" t="n">
        <x:f>SUM($M$6:M18)</x:f>
        <x:v>0</x:v>
      </x:c>
      <x:c r="O18" s="31" t="n">
        <x:f>D18*('参数'!$B$12+'参数'!$B$13+'参数'!$B$14)</x:f>
        <x:v>23097.326366908106</x:v>
      </x:c>
      <x:c r="P18" s="31" t="n">
        <x:f>'参数'!$B$71</x:f>
        <x:v>0</x:v>
      </x:c>
      <x:c r="Q18" s="31" t="n">
        <x:f>'参数'!$B$72</x:f>
        <x:v>54</x:v>
      </x:c>
      <x:c r="R18" s="31" t="n">
        <x:f>O18+D18*Q18</x:f>
        <x:v>69291.97910072432</x:v>
      </x:c>
      <x:c r="S18" s="33" t="n">
        <x:f>G18/R18*24</x:f>
        <x:v>0.6338395954336495</x:v>
      </x:c>
      <x:c r="T18" s="33" t="n">
        <x:f>SUM($S$6:S18)/24</x:f>
        <x:v>0.14713049227065342</x:v>
      </x:c>
      <x:c r="U18" s="33" t="n">
        <x:f>G18/O18*24</x:f>
        <x:v>1.9015187863009486</x:v>
      </x:c>
      <x:c r="V18" s="33" t="n">
        <x:f>SUM($U$6:U18)/24</x:f>
        <x:v>0.4413914768119604</x:v>
      </x:c>
    </x:row>
    <x:row r="19" ht="22" customHeight="1">
      <x:c r="A19" s="19" t="n">
        <x:v>14</x:v>
      </x:c>
      <x:c r="B19" s="24" t="n">
        <x:f>'参数'!$B$8+(A19/100)^'参数'!$B$7</x:f>
        <x:v>0.0363522989137322</x:v>
      </x:c>
      <x:c r="C19" s="20" t="n">
        <x:f>'参数'!$B$5*24*B19/SUM($B$6:$B$104)</x:f>
        <x:v>2.143188687655426</x:v>
      </x:c>
      <x:c r="D19" s="19" t="n">
        <x:f>'参数'!$B$9*'参数'!$B$10^(A19-1)</x:f>
        <x:v>881.1202280709389</x:v>
      </x:c>
      <x:c r="E19" s="19" t="n">
        <x:f>D19*'参数'!$B$11</x:f>
        <x:v>23790.24615791535</x:v>
      </x:c>
      <x:c r="F19" s="19" t="n">
        <x:f>ROUNDUP(E19*C19/24/'参数'!$B$6,0)</x:f>
        <x:v>425</x:v>
      </x:c>
      <x:c r="G19" s="19" t="n">
        <x:f>F19*'参数'!$B$6</x:f>
        <x:v>2125</x:v>
      </x:c>
      <x:c r="H19" s="19" t="n">
        <x:f>O19+D19*P19</x:f>
        <x:v>23790.24615791535</x:v>
      </x:c>
      <x:c r="I19" s="20" t="n">
        <x:f>G19/H19*24</x:f>
        <x:v>2.1437356999785218</x:v>
      </x:c>
      <x:c r="J19" s="20" t="n">
        <x:f>SUM($I$6:I19)/24</x:f>
        <x:v>0.5307137976443989</x:v>
      </x:c>
      <x:c r="K19" s="19" t="n">
        <x:f>SUM($G$6:G19)</x:f>
        <x:v>11385</x:v>
      </x:c>
      <x:c r="L19" s="19" t="n">
        <x:f>IF(A19=20,1,IF(A19=40,2,IF(A19=60,3,IF(A19=80,5,0))))</x:f>
        <x:v>0</x:v>
      </x:c>
      <x:c r="M19" s="19" t="n">
        <x:f>L19*'参数'!$B$6</x:f>
        <x:v>0</x:v>
      </x:c>
      <x:c r="N19" s="19" t="n">
        <x:f>SUM($M$6:M19)</x:f>
        <x:v>0</x:v>
      </x:c>
      <x:c r="O19" s="32" t="n">
        <x:f>D19*('参数'!$B$12+'参数'!$B$13+'参数'!$B$14)</x:f>
        <x:v>23790.24615791535</x:v>
      </x:c>
      <x:c r="P19" s="32" t="n">
        <x:f>'参数'!$B$71</x:f>
        <x:v>0</x:v>
      </x:c>
      <x:c r="Q19" s="32" t="n">
        <x:f>'参数'!$B$72</x:f>
        <x:v>54</x:v>
      </x:c>
      <x:c r="R19" s="32" t="n">
        <x:f>O19+D19*Q19</x:f>
        <x:v>71370.73847374605</x:v>
      </x:c>
      <x:c r="S19" s="34" t="n">
        <x:f>G19/R19*24</x:f>
        <x:v>0.7145785666595073</x:v>
      </x:c>
      <x:c r="T19" s="34" t="n">
        <x:f>SUM($S$6:S19)/24</x:f>
        <x:v>0.1769045992147996</x:v>
      </x:c>
      <x:c r="U19" s="34" t="n">
        <x:f>G19/O19*24</x:f>
        <x:v>2.1437356999785218</x:v>
      </x:c>
      <x:c r="V19" s="34" t="n">
        <x:f>SUM($U$6:U19)/24</x:f>
        <x:v>0.5307137976443989</x:v>
      </x:c>
    </x:row>
    <x:row r="20" ht="22" customHeight="1">
      <x:c r="A20" s="18" t="n">
        <x:v>15</x:v>
      </x:c>
      <x:c r="B20" s="23" t="n">
        <x:f>'参数'!$B$8+(A20/100)^'参数'!$B$7</x:f>
        <x:v>0.0407516482113081</x:v>
      </x:c>
      <x:c r="C20" s="15" t="n">
        <x:f>'参数'!$B$5*24*B20/SUM($B$6:$B$104)</x:f>
        <x:v>2.402557033794542</x:v>
      </x:c>
      <x:c r="D20" s="18" t="n">
        <x:f>'参数'!$B$9*'参数'!$B$10^(A20-1)</x:f>
        <x:v>907.5538349130671</x:v>
      </x:c>
      <x:c r="E20" s="18" t="n">
        <x:f>D20*'参数'!$B$11</x:f>
        <x:v>24503.953542652813</x:v>
      </x:c>
      <x:c r="F20" s="18" t="n">
        <x:f>ROUNDUP(E20*C20/24/'参数'!$B$6,0)</x:f>
        <x:v>491</x:v>
      </x:c>
      <x:c r="G20" s="18" t="n">
        <x:f>F20*'参数'!$B$6</x:f>
        <x:v>2455</x:v>
      </x:c>
      <x:c r="H20" s="18" t="n">
        <x:f>O20+D20*P20</x:f>
        <x:v>24503.953542652813</x:v>
      </x:c>
      <x:c r="I20" s="15" t="n">
        <x:f>G20/H20*24</x:f>
        <x:v>2.4045099456069767</x:v>
      </x:c>
      <x:c r="J20" s="15" t="n">
        <x:f>SUM($I$6:I20)/24</x:f>
        <x:v>0.6309017120446895</x:v>
      </x:c>
      <x:c r="K20" s="18" t="n">
        <x:f>SUM($G$6:G20)</x:f>
        <x:v>13840</x:v>
      </x:c>
      <x:c r="L20" s="18" t="n">
        <x:f>IF(A20=20,1,IF(A20=40,2,IF(A20=60,3,IF(A20=80,5,0))))</x:f>
        <x:v>0</x:v>
      </x:c>
      <x:c r="M20" s="18" t="n">
        <x:f>L20*'参数'!$B$6</x:f>
        <x:v>0</x:v>
      </x:c>
      <x:c r="N20" s="18" t="n">
        <x:f>SUM($M$6:M20)</x:f>
        <x:v>0</x:v>
      </x:c>
      <x:c r="O20" s="31" t="n">
        <x:f>D20*('参数'!$B$12+'参数'!$B$13+'参数'!$B$14)</x:f>
        <x:v>24503.953542652813</x:v>
      </x:c>
      <x:c r="P20" s="31" t="n">
        <x:f>'参数'!$B$71</x:f>
        <x:v>0</x:v>
      </x:c>
      <x:c r="Q20" s="31" t="n">
        <x:f>'参数'!$B$72</x:f>
        <x:v>54</x:v>
      </x:c>
      <x:c r="R20" s="31" t="n">
        <x:f>O20+D20*Q20</x:f>
        <x:v>73511.86062795843</x:v>
      </x:c>
      <x:c r="S20" s="33" t="n">
        <x:f>G20/R20*24</x:f>
        <x:v>0.8015033152023257</x:v>
      </x:c>
      <x:c r="T20" s="33" t="n">
        <x:f>SUM($S$6:S20)/24</x:f>
        <x:v>0.21030057068156316</x:v>
      </x:c>
      <x:c r="U20" s="33" t="n">
        <x:f>G20/O20*24</x:f>
        <x:v>2.4045099456069767</x:v>
      </x:c>
      <x:c r="V20" s="33" t="n">
        <x:f>SUM($U$6:U20)/24</x:f>
        <x:v>0.6309017120446895</x:v>
      </x:c>
    </x:row>
    <x:row r="21" ht="22" customHeight="1">
      <x:c r="A21" s="19" t="n">
        <x:v>16</x:v>
      </x:c>
      <x:c r="B21" s="24" t="n">
        <x:f>'参数'!$B$8+(A21/100)^'参数'!$B$7</x:f>
        <x:v>0.04536126996192937</x:v>
      </x:c>
      <x:c r="C21" s="20" t="n">
        <x:f>'参数'!$B$5*24*B21/SUM($B$6:$B$104)</x:f>
        <x:v>2.6743222174421155</x:v>
      </x:c>
      <x:c r="D21" s="19" t="n">
        <x:f>'参数'!$B$9*'参数'!$B$10^(A21-1)</x:f>
        <x:v>934.780449960459</x:v>
      </x:c>
      <x:c r="E21" s="19" t="n">
        <x:f>D21*'参数'!$B$11</x:f>
        <x:v>25239.07214893239</x:v>
      </x:c>
      <x:c r="F21" s="19" t="n">
        <x:f>ROUNDUP(E21*C21/24/'参数'!$B$6,0)</x:f>
        <x:v>563</x:v>
      </x:c>
      <x:c r="G21" s="19" t="n">
        <x:f>F21*'参数'!$B$6</x:f>
        <x:v>2815</x:v>
      </x:c>
      <x:c r="H21" s="19" t="n">
        <x:f>O21+D21*P21</x:f>
        <x:v>25239.07214893239</x:v>
      </x:c>
      <x:c r="I21" s="20" t="n">
        <x:f>G21/H21*24</x:f>
        <x:v>2.676802047291496</x:v>
      </x:c>
      <x:c r="J21" s="20" t="n">
        <x:f>SUM($I$6:I21)/24</x:f>
        <x:v>0.7424351306818352</x:v>
      </x:c>
      <x:c r="K21" s="19" t="n">
        <x:f>SUM($G$6:G21)</x:f>
        <x:v>16655</x:v>
      </x:c>
      <x:c r="L21" s="19" t="n">
        <x:f>IF(A21=20,1,IF(A21=40,2,IF(A21=60,3,IF(A21=80,5,0))))</x:f>
        <x:v>0</x:v>
      </x:c>
      <x:c r="M21" s="19" t="n">
        <x:f>L21*'参数'!$B$6</x:f>
        <x:v>0</x:v>
      </x:c>
      <x:c r="N21" s="19" t="n">
        <x:f>SUM($M$6:M21)</x:f>
        <x:v>0</x:v>
      </x:c>
      <x:c r="O21" s="32" t="n">
        <x:f>D21*('参数'!$B$12+'参数'!$B$13+'参数'!$B$14)</x:f>
        <x:v>25239.07214893239</x:v>
      </x:c>
      <x:c r="P21" s="32" t="n">
        <x:f>'参数'!$B$71</x:f>
        <x:v>0</x:v>
      </x:c>
      <x:c r="Q21" s="32" t="n">
        <x:f>'参数'!$B$72</x:f>
        <x:v>54</x:v>
      </x:c>
      <x:c r="R21" s="32" t="n">
        <x:f>O21+D21*Q21</x:f>
        <x:v>75717.21644679717</x:v>
      </x:c>
      <x:c r="S21" s="34" t="n">
        <x:f>G21/R21*24</x:f>
        <x:v>0.8922673490971653</x:v>
      </x:c>
      <x:c r="T21" s="34" t="n">
        <x:f>SUM($S$6:S21)/24</x:f>
        <x:v>0.24747837689394503</x:v>
      </x:c>
      <x:c r="U21" s="34" t="n">
        <x:f>G21/O21*24</x:f>
        <x:v>2.676802047291496</x:v>
      </x:c>
      <x:c r="V21" s="34" t="n">
        <x:f>SUM($U$6:U21)/24</x:f>
        <x:v>0.7424351306818352</x:v>
      </x:c>
    </x:row>
    <x:row r="22" ht="22" customHeight="1">
      <x:c r="A22" s="18" t="n">
        <x:v>17</x:v>
      </x:c>
      <x:c r="B22" s="23" t="n">
        <x:f>'参数'!$B$8+(A22/100)^'参数'!$B$7</x:f>
        <x:v>0.05017712850838173</x:v>
      </x:c>
      <x:c r="C22" s="15" t="n">
        <x:f>'参数'!$B$5*24*B22/SUM($B$6:$B$104)</x:f>
        <x:v>2.95824631210801</x:v>
      </x:c>
      <x:c r="D22" s="18" t="n">
        <x:f>'参数'!$B$9*'参数'!$B$10^(A22-1)</x:f>
        <x:v>962.823863459273</x:v>
      </x:c>
      <x:c r="E22" s="18" t="n">
        <x:f>D22*'参数'!$B$11</x:f>
        <x:v>25996.24431340037</x:v>
      </x:c>
      <x:c r="F22" s="18" t="n">
        <x:f>ROUNDUP(E22*C22/24/'参数'!$B$6,0)</x:f>
        <x:v>641</x:v>
      </x:c>
      <x:c r="G22" s="18" t="n">
        <x:f>F22*'参数'!$B$6</x:f>
        <x:v>3205</x:v>
      </x:c>
      <x:c r="H22" s="18" t="n">
        <x:f>O22+D22*P22</x:f>
        <x:v>25996.24431340037</x:v>
      </x:c>
      <x:c r="I22" s="15" t="n">
        <x:f>G22/H22*24</x:f>
        <x:v>2.958888948445133</x:v>
      </x:c>
      <x:c r="J22" s="15" t="n">
        <x:f>SUM($I$6:I22)/24</x:f>
        <x:v>0.8657221702003824</x:v>
      </x:c>
      <x:c r="K22" s="18" t="n">
        <x:f>SUM($G$6:G22)</x:f>
        <x:v>19860</x:v>
      </x:c>
      <x:c r="L22" s="18" t="n">
        <x:f>IF(A22=20,1,IF(A22=40,2,IF(A22=60,3,IF(A22=80,5,0))))</x:f>
        <x:v>0</x:v>
      </x:c>
      <x:c r="M22" s="18" t="n">
        <x:f>L22*'参数'!$B$6</x:f>
        <x:v>0</x:v>
      </x:c>
      <x:c r="N22" s="18" t="n">
        <x:f>SUM($M$6:M22)</x:f>
        <x:v>0</x:v>
      </x:c>
      <x:c r="O22" s="31" t="n">
        <x:f>D22*('参数'!$B$12+'参数'!$B$13+'参数'!$B$14)</x:f>
        <x:v>25996.24431340037</x:v>
      </x:c>
      <x:c r="P22" s="31" t="n">
        <x:f>'参数'!$B$71</x:f>
        <x:v>0</x:v>
      </x:c>
      <x:c r="Q22" s="31" t="n">
        <x:f>'参数'!$B$72</x:f>
        <x:v>54</x:v>
      </x:c>
      <x:c r="R22" s="31" t="n">
        <x:f>O22+D22*Q22</x:f>
        <x:v>77988.73294020111</x:v>
      </x:c>
      <x:c r="S22" s="33" t="n">
        <x:f>G22/R22*24</x:f>
        <x:v>0.9862963161483779</x:v>
      </x:c>
      <x:c r="T22" s="33" t="n">
        <x:f>SUM($S$6:S22)/24</x:f>
        <x:v>0.28857405673346076</x:v>
      </x:c>
      <x:c r="U22" s="33" t="n">
        <x:f>G22/O22*24</x:f>
        <x:v>2.958888948445133</x:v>
      </x:c>
      <x:c r="V22" s="33" t="n">
        <x:f>SUM($U$6:U22)/24</x:f>
        <x:v>0.8657221702003824</x:v>
      </x:c>
    </x:row>
    <x:row r="23" ht="22" customHeight="1">
      <x:c r="A23" s="19" t="n">
        <x:v>18</x:v>
      </x:c>
      <x:c r="B23" s="24" t="n">
        <x:f>'参数'!$B$8+(A23/100)^'参数'!$B$7</x:f>
        <x:v>0.0551955039051845</x:v>
      </x:c>
      <x:c r="C23" s="20" t="n">
        <x:f>'参数'!$B$5*24*B23/SUM($B$6:$B$104)</x:f>
        <x:v>3.254110004425228</x:v>
      </x:c>
      <x:c r="D23" s="19" t="n">
        <x:f>'参数'!$B$9*'参数'!$B$10^(A23-1)</x:f>
        <x:v>991.7085793630511</x:v>
      </x:c>
      <x:c r="E23" s="19" t="n">
        <x:f>D23*'参数'!$B$11</x:f>
        <x:v>26776.13164280238</x:v>
      </x:c>
      <x:c r="F23" s="19" t="n">
        <x:f>ROUNDUP(E23*C23/24/'参数'!$B$6,0)</x:f>
        <x:v>727</x:v>
      </x:c>
      <x:c r="G23" s="19" t="n">
        <x:f>F23*'参数'!$B$6</x:f>
        <x:v>3635</x:v>
      </x:c>
      <x:c r="H23" s="19" t="n">
        <x:f>O23+D23*P23</x:f>
        <x:v>26776.13164280238</x:v>
      </x:c>
      <x:c r="I23" s="20" t="n">
        <x:f>G23/H23*24</x:f>
        <x:v>3.258125600956655</x:v>
      </x:c>
      <x:c r="J23" s="20" t="n">
        <x:f>SUM($I$6:I23)/24</x:f>
        <x:v>1.0014774035735765</x:v>
      </x:c>
      <x:c r="K23" s="19" t="n">
        <x:f>SUM($G$6:G23)</x:f>
        <x:v>23495</x:v>
      </x:c>
      <x:c r="L23" s="19" t="n">
        <x:f>IF(A23=20,1,IF(A23=40,2,IF(A23=60,3,IF(A23=80,5,0))))</x:f>
        <x:v>0</x:v>
      </x:c>
      <x:c r="M23" s="19" t="n">
        <x:f>L23*'参数'!$B$6</x:f>
        <x:v>0</x:v>
      </x:c>
      <x:c r="N23" s="19" t="n">
        <x:f>SUM($M$6:M23)</x:f>
        <x:v>0</x:v>
      </x:c>
      <x:c r="O23" s="32" t="n">
        <x:f>D23*('参数'!$B$12+'参数'!$B$13+'参数'!$B$14)</x:f>
        <x:v>26776.13164280238</x:v>
      </x:c>
      <x:c r="P23" s="32" t="n">
        <x:f>'参数'!$B$71</x:f>
        <x:v>0</x:v>
      </x:c>
      <x:c r="Q23" s="32" t="n">
        <x:f>'参数'!$B$72</x:f>
        <x:v>54</x:v>
      </x:c>
      <x:c r="R23" s="32" t="n">
        <x:f>O23+D23*Q23</x:f>
        <x:v>80328.39492840713</x:v>
      </x:c>
      <x:c r="S23" s="34" t="n">
        <x:f>G23/R23*24</x:f>
        <x:v>1.0860418669855516</x:v>
      </x:c>
      <x:c r="T23" s="34" t="n">
        <x:f>SUM($S$6:S23)/24</x:f>
        <x:v>0.3338258011911921</x:v>
      </x:c>
      <x:c r="U23" s="34" t="n">
        <x:f>G23/O23*24</x:f>
        <x:v>3.258125600956655</x:v>
      </x:c>
      <x:c r="V23" s="34" t="n">
        <x:f>SUM($U$6:U23)/24</x:f>
        <x:v>1.0014774035735765</x:v>
      </x:c>
    </x:row>
    <x:row r="24" ht="22" customHeight="1">
      <x:c r="A24" s="18" t="n">
        <x:v>19</x:v>
      </x:c>
      <x:c r="B24" s="23" t="n">
        <x:f>'参数'!$B$8+(A24/100)^'参数'!$B$7</x:f>
        <x:v>0.06041295067197238</x:v>
      </x:c>
      <x:c r="C24" s="15" t="n">
        <x:f>'参数'!$B$5*24*B24/SUM($B$6:$B$104)</x:f>
        <x:v>3.5617101624113894</x:v>
      </x:c>
      <x:c r="D24" s="18" t="n">
        <x:f>'参数'!$B$9*'参数'!$B$10^(A24-1)</x:f>
        <x:v>1021.4598367439428</x:v>
      </x:c>
      <x:c r="E24" s="18" t="n">
        <x:f>D24*'参数'!$B$11</x:f>
        <x:v>27579.415592086454</x:v>
      </x:c>
      <x:c r="F24" s="18" t="n">
        <x:f>ROUNDUP(E24*C24/24/'参数'!$B$6,0)</x:f>
        <x:v>819</x:v>
      </x:c>
      <x:c r="G24" s="18" t="n">
        <x:f>F24*'参数'!$B$6</x:f>
        <x:v>4095</x:v>
      </x:c>
      <x:c r="H24" s="18" t="n">
        <x:f>O24+D24*P24</x:f>
        <x:v>27579.415592086454</x:v>
      </x:c>
      <x:c r="I24" s="15" t="n">
        <x:f>G24/H24*24</x:f>
        <x:v>3.5635272862054457</x:v>
      </x:c>
      <x:c r="J24" s="15" t="n">
        <x:f>SUM($I$6:I24)/24</x:f>
        <x:v>1.14995770716547</x:v>
      </x:c>
      <x:c r="K24" s="18" t="n">
        <x:f>SUM($G$6:G24)</x:f>
        <x:v>27590</x:v>
      </x:c>
      <x:c r="L24" s="18" t="n">
        <x:f>IF(A24=20,1,IF(A24=40,2,IF(A24=60,3,IF(A24=80,5,0))))</x:f>
        <x:v>0</x:v>
      </x:c>
      <x:c r="M24" s="18" t="n">
        <x:f>L24*'参数'!$B$6</x:f>
        <x:v>0</x:v>
      </x:c>
      <x:c r="N24" s="18" t="n">
        <x:f>SUM($M$6:M24)</x:f>
        <x:v>0</x:v>
      </x:c>
      <x:c r="O24" s="31" t="n">
        <x:f>D24*('参数'!$B$12+'参数'!$B$13+'参数'!$B$14)</x:f>
        <x:v>27579.415592086454</x:v>
      </x:c>
      <x:c r="P24" s="31" t="n">
        <x:f>'参数'!$B$71</x:f>
        <x:v>0</x:v>
      </x:c>
      <x:c r="Q24" s="31" t="n">
        <x:f>'参数'!$B$72</x:f>
        <x:v>54</x:v>
      </x:c>
      <x:c r="R24" s="31" t="n">
        <x:f>O24+D24*Q24</x:f>
        <x:v>82738.24677625936</x:v>
      </x:c>
      <x:c r="S24" s="33" t="n">
        <x:f>G24/R24*24</x:f>
        <x:v>1.1878424287351486</x:v>
      </x:c>
      <x:c r="T24" s="33" t="n">
        <x:f>SUM($S$6:S24)/24</x:f>
        <x:v>0.3833192357218233</x:v>
      </x:c>
      <x:c r="U24" s="33" t="n">
        <x:f>G24/O24*24</x:f>
        <x:v>3.5635272862054457</x:v>
      </x:c>
      <x:c r="V24" s="33" t="n">
        <x:f>SUM($U$6:U24)/24</x:f>
        <x:v>1.14995770716547</x:v>
      </x:c>
    </x:row>
    <x:row r="25" ht="22" customHeight="1">
      <x:c r="A25" s="19" t="n">
        <x:v>20</x:v>
      </x:c>
      <x:c r="B25" s="24" t="n">
        <x:f>'参数'!$B$8+(A25/100)^'参数'!$B$7</x:f>
        <x:v>0.06582626386771051</x:v>
      </x:c>
      <x:c r="C25" s="20" t="n">
        <x:f>'参数'!$B$5*24*B25/SUM($B$6:$B$104)</x:f>
        <x:v>3.8808578353377685</x:v>
      </x:c>
      <x:c r="D25" s="19" t="n">
        <x:f>'参数'!$B$9*'参数'!$B$10^(A25-1)</x:f>
        <x:v>1052.103631846261</x:v>
      </x:c>
      <x:c r="E25" s="19" t="n">
        <x:f>D25*'参数'!$B$11</x:f>
        <x:v>28406.798059849043</x:v>
      </x:c>
      <x:c r="F25" s="19" t="n">
        <x:f>ROUNDUP(E25*C25/24/'参数'!$B$6,0)</x:f>
        <x:v>919</x:v>
      </x:c>
      <x:c r="G25" s="19" t="n">
        <x:f>F25*'参数'!$B$6</x:f>
        <x:v>4595</x:v>
      </x:c>
      <x:c r="H25" s="19" t="n">
        <x:f>O25+D25*P25</x:f>
        <x:v>28406.798059849043</x:v>
      </x:c>
      <x:c r="I25" s="20" t="n">
        <x:f>G25/H25*24</x:f>
        <x:v>3.8821693232604346</x:v>
      </x:c>
      <x:c r="J25" s="20" t="n">
        <x:f>SUM($I$6:I25)/24</x:f>
        <x:v>1.3117147623013214</x:v>
      </x:c>
      <x:c r="K25" s="19" t="n">
        <x:f>SUM($G$6:G25)</x:f>
        <x:v>32185</x:v>
      </x:c>
      <x:c r="L25" s="19" t="n">
        <x:f>IF(A25=20,1,IF(A25=40,2,IF(A25=60,3,IF(A25=80,5,0))))</x:f>
        <x:v>1</x:v>
      </x:c>
      <x:c r="M25" s="19" t="n">
        <x:f>L25*'参数'!$B$6</x:f>
        <x:v>5</x:v>
      </x:c>
      <x:c r="N25" s="19" t="n">
        <x:f>SUM($M$6:M25)</x:f>
        <x:v>5</x:v>
      </x:c>
      <x:c r="O25" s="32" t="n">
        <x:f>D25*('参数'!$B$12+'参数'!$B$13+'参数'!$B$14)</x:f>
        <x:v>28406.798059849043</x:v>
      </x:c>
      <x:c r="P25" s="32" t="n">
        <x:f>'参数'!$B$71</x:f>
        <x:v>0</x:v>
      </x:c>
      <x:c r="Q25" s="32" t="n">
        <x:f>'参数'!$B$72</x:f>
        <x:v>54</x:v>
      </x:c>
      <x:c r="R25" s="32" t="n">
        <x:f>O25+D25*Q25</x:f>
        <x:v>85220.39417954713</x:v>
      </x:c>
      <x:c r="S25" s="34" t="n">
        <x:f>G25/R25*24</x:f>
        <x:v>1.2940564410868116</x:v>
      </x:c>
      <x:c r="T25" s="34" t="n">
        <x:f>SUM($S$6:S25)/24</x:f>
        <x:v>0.4372382541004404</x:v>
      </x:c>
      <x:c r="U25" s="34" t="n">
        <x:f>G25/O25*24</x:f>
        <x:v>3.8821693232604346</x:v>
      </x:c>
      <x:c r="V25" s="34" t="n">
        <x:f>SUM($U$6:U25)/24</x:f>
        <x:v>1.3117147623013214</x:v>
      </x:c>
    </x:row>
    <x:row r="26" ht="22" customHeight="1">
      <x:c r="A26" s="18" t="n">
        <x:v>21</x:v>
      </x:c>
      <x:c r="B26" s="23" t="n">
        <x:f>'参数'!$B$8+(A26/100)^'参数'!$B$7</x:f>
        <x:v>0.07143245087809973</x:v>
      </x:c>
      <x:c r="C26" s="15" t="n">
        <x:f>'参数'!$B$5*24*B26/SUM($B$6:$B$104)</x:f>
        <x:v>4.211376590425586</x:v>
      </x:c>
      <x:c r="D26" s="18" t="n">
        <x:f>'参数'!$B$9*'参数'!$B$10^(A26-1)</x:f>
        <x:v>1083.666740801649</x:v>
      </x:c>
      <x:c r="E26" s="18" t="n">
        <x:f>D26*'参数'!$B$11</x:f>
        <x:v>29259.002001644523</x:v>
      </x:c>
      <x:c r="F26" s="18" t="n">
        <x:f>ROUNDUP(E26*C26/24/'参数'!$B$6,0)</x:f>
        <x:v>1027</x:v>
      </x:c>
      <x:c r="G26" s="18" t="n">
        <x:f>F26*'参数'!$B$6</x:f>
        <x:v>5135</x:v>
      </x:c>
      <x:c r="H26" s="18" t="n">
        <x:f>O26+D26*P26</x:f>
        <x:v>29259.002001644523</x:v>
      </x:c>
      <x:c r="I26" s="15" t="n">
        <x:f>G26/H26*24</x:f>
        <x:v>4.212037033699003</x:v>
      </x:c>
      <x:c r="J26" s="15" t="n">
        <x:f>SUM($I$6:I26)/24</x:f>
        <x:v>1.4872163053721132</x:v>
      </x:c>
      <x:c r="K26" s="18" t="n">
        <x:f>SUM($G$6:G26)</x:f>
        <x:v>37320</x:v>
      </x:c>
      <x:c r="L26" s="18" t="n">
        <x:f>IF(A26=20,1,IF(A26=40,2,IF(A26=60,3,IF(A26=80,5,0))))</x:f>
        <x:v>0</x:v>
      </x:c>
      <x:c r="M26" s="18" t="n">
        <x:f>L26*'参数'!$B$6</x:f>
        <x:v>0</x:v>
      </x:c>
      <x:c r="N26" s="18" t="n">
        <x:f>SUM($M$6:M26)</x:f>
        <x:v>5</x:v>
      </x:c>
      <x:c r="O26" s="31" t="n">
        <x:f>D26*('参数'!$B$12+'参数'!$B$13+'参数'!$B$14)</x:f>
        <x:v>29259.002001644523</x:v>
      </x:c>
      <x:c r="P26" s="31" t="n">
        <x:f>'参数'!$B$71</x:f>
        <x:v>0</x:v>
      </x:c>
      <x:c r="Q26" s="31" t="n">
        <x:f>'参数'!$B$72</x:f>
        <x:v>54</x:v>
      </x:c>
      <x:c r="R26" s="31" t="n">
        <x:f>O26+D26*Q26</x:f>
        <x:v>87777.00600493357</x:v>
      </x:c>
      <x:c r="S26" s="33" t="n">
        <x:f>G26/R26*24</x:f>
        <x:v>1.4040123445663344</x:v>
      </x:c>
      <x:c r="T26" s="33" t="n">
        <x:f>SUM($S$6:S26)/24</x:f>
        <x:v>0.495738768457371</x:v>
      </x:c>
      <x:c r="U26" s="33" t="n">
        <x:f>G26/O26*24</x:f>
        <x:v>4.212037033699003</x:v>
      </x:c>
      <x:c r="V26" s="33" t="n">
        <x:f>SUM($U$6:U26)/24</x:f>
        <x:v>1.4872163053721132</x:v>
      </x:c>
    </x:row>
    <x:row r="27" ht="22" customHeight="1">
      <x:c r="A27" s="19" t="n">
        <x:v>22</x:v>
      </x:c>
      <x:c r="B27" s="24" t="n">
        <x:f>'参数'!$B$8+(A27/100)^'参数'!$B$7</x:f>
        <x:v>0.07722870772274286</x:v>
      </x:c>
      <x:c r="C27" s="20" t="n">
        <x:f>'参数'!$B$5*24*B27/SUM($B$6:$B$104)</x:f>
        <x:v>4.553101116009629</x:v>
      </x:c>
      <x:c r="D27" s="19" t="n">
        <x:f>'参数'!$B$9*'参数'!$B$10^(A27-1)</x:f>
        <x:v>1116.1767430256982</x:v>
      </x:c>
      <x:c r="E27" s="19" t="n">
        <x:f>D27*'参数'!$B$11</x:f>
        <x:v>30136.772061693853</x:v>
      </x:c>
      <x:c r="F27" s="19" t="n">
        <x:f>ROUNDUP(E27*C27/24/'参数'!$B$6,0)</x:f>
        <x:v>1144</x:v>
      </x:c>
      <x:c r="G27" s="19" t="n">
        <x:f>F27*'参数'!$B$6</x:f>
        <x:v>5720</x:v>
      </x:c>
      <x:c r="H27" s="19" t="n">
        <x:f>O27+D27*P27</x:f>
        <x:v>30136.772061693853</x:v>
      </x:c>
      <x:c r="I27" s="20" t="n">
        <x:f>G27/H27*24</x:f>
        <x:v>4.5552323825182786</x:v>
      </x:c>
      <x:c r="J27" s="20" t="n">
        <x:f>SUM($I$6:I27)/24</x:f>
        <x:v>1.6770176546437081</x:v>
      </x:c>
      <x:c r="K27" s="19" t="n">
        <x:f>SUM($G$6:G27)</x:f>
        <x:v>43040</x:v>
      </x:c>
      <x:c r="L27" s="19" t="n">
        <x:f>IF(A27=20,1,IF(A27=40,2,IF(A27=60,3,IF(A27=80,5,0))))</x:f>
        <x:v>0</x:v>
      </x:c>
      <x:c r="M27" s="19" t="n">
        <x:f>L27*'参数'!$B$6</x:f>
        <x:v>0</x:v>
      </x:c>
      <x:c r="N27" s="19" t="n">
        <x:f>SUM($M$6:M27)</x:f>
        <x:v>5</x:v>
      </x:c>
      <x:c r="O27" s="32" t="n">
        <x:f>D27*('参数'!$B$12+'参数'!$B$13+'参数'!$B$14)</x:f>
        <x:v>30136.772061693853</x:v>
      </x:c>
      <x:c r="P27" s="32" t="n">
        <x:f>'参数'!$B$71</x:f>
        <x:v>0</x:v>
      </x:c>
      <x:c r="Q27" s="32" t="n">
        <x:f>'参数'!$B$72</x:f>
        <x:v>54</x:v>
      </x:c>
      <x:c r="R27" s="32" t="n">
        <x:f>O27+D27*Q27</x:f>
        <x:v>90410.31618508155</x:v>
      </x:c>
      <x:c r="S27" s="34" t="n">
        <x:f>G27/R27*24</x:f>
        <x:v>1.5184107941727598</x:v>
      </x:c>
      <x:c r="T27" s="34" t="n">
        <x:f>SUM($S$6:S27)/24</x:f>
        <x:v>0.5590058848812359</x:v>
      </x:c>
      <x:c r="U27" s="34" t="n">
        <x:f>G27/O27*24</x:f>
        <x:v>4.5552323825182786</x:v>
      </x:c>
      <x:c r="V27" s="34" t="n">
        <x:f>SUM($U$6:U27)/24</x:f>
        <x:v>1.6770176546437081</x:v>
      </x:c>
    </x:row>
    <x:row r="28" ht="22" customHeight="1">
      <x:c r="A28" s="18" t="n">
        <x:v>23</x:v>
      </x:c>
      <x:c r="B28" s="23" t="n">
        <x:f>'参数'!$B$8+(A28/100)^'参数'!$B$7</x:f>
        <x:v>0.08321239898181992</x:v>
      </x:c>
      <x:c r="C28" s="15" t="n">
        <x:f>'参数'!$B$5*24*B28/SUM($B$6:$B$104)</x:f>
        <x:v>4.9058760380939175</x:v>
      </x:c>
      <x:c r="D28" s="18" t="n">
        <x:f>'参数'!$B$9*'参数'!$B$10^(A28-1)</x:f>
        <x:v>1149.6620453164694</x:v>
      </x:c>
      <x:c r="E28" s="18" t="n">
        <x:f>D28*'参数'!$B$11</x:f>
        <x:v>31040.875223544674</x:v>
      </x:c>
      <x:c r="F28" s="18" t="n">
        <x:f>ROUNDUP(E28*C28/24/'参数'!$B$6,0)</x:f>
        <x:v>1270</x:v>
      </x:c>
      <x:c r="G28" s="18" t="n">
        <x:f>F28*'参数'!$B$6</x:f>
        <x:v>6350</x:v>
      </x:c>
      <x:c r="H28" s="18" t="n">
        <x:f>O28+D28*P28</x:f>
        <x:v>31040.875223544674</x:v>
      </x:c>
      <x:c r="I28" s="15" t="n">
        <x:f>G28/H28*24</x:f>
        <x:v>4.909655378673207</x:v>
      </x:c>
      <x:c r="J28" s="15" t="n">
        <x:f>SUM($I$6:I28)/24</x:f>
        <x:v>1.8815866287550918</x:v>
      </x:c>
      <x:c r="K28" s="18" t="n">
        <x:f>SUM($G$6:G28)</x:f>
        <x:v>49390</x:v>
      </x:c>
      <x:c r="L28" s="18" t="n">
        <x:f>IF(A28=20,1,IF(A28=40,2,IF(A28=60,3,IF(A28=80,5,0))))</x:f>
        <x:v>0</x:v>
      </x:c>
      <x:c r="M28" s="18" t="n">
        <x:f>L28*'参数'!$B$6</x:f>
        <x:v>0</x:v>
      </x:c>
      <x:c r="N28" s="18" t="n">
        <x:f>SUM($M$6:M28)</x:f>
        <x:v>5</x:v>
      </x:c>
      <x:c r="O28" s="31" t="n">
        <x:f>D28*('参数'!$B$12+'参数'!$B$13+'参数'!$B$14)</x:f>
        <x:v>31040.875223544674</x:v>
      </x:c>
      <x:c r="P28" s="31" t="n">
        <x:f>'参数'!$B$71</x:f>
        <x:v>0</x:v>
      </x:c>
      <x:c r="Q28" s="31" t="n">
        <x:f>'参数'!$B$72</x:f>
        <x:v>54</x:v>
      </x:c>
      <x:c r="R28" s="31" t="n">
        <x:f>O28+D28*Q28</x:f>
        <x:v>93122.62567063402</x:v>
      </x:c>
      <x:c r="S28" s="33" t="n">
        <x:f>G28/R28*24</x:f>
        <x:v>1.6365517928910691</x:v>
      </x:c>
      <x:c r="T28" s="33" t="n">
        <x:f>SUM($S$6:S28)/24</x:f>
        <x:v>0.6271955429183639</x:v>
      </x:c>
      <x:c r="U28" s="33" t="n">
        <x:f>G28/O28*24</x:f>
        <x:v>4.909655378673207</x:v>
      </x:c>
      <x:c r="V28" s="33" t="n">
        <x:f>SUM($U$6:U28)/24</x:f>
        <x:v>1.8815866287550918</x:v>
      </x:c>
    </x:row>
    <x:row r="29" ht="22" customHeight="1">
      <x:c r="A29" s="19" t="n">
        <x:v>24</x:v>
      </x:c>
      <x:c r="B29" s="24" t="n">
        <x:f>'参数'!$B$8+(A29/100)^'参数'!$B$7</x:f>
        <x:v>0.08938104065334336</x:v>
      </x:c>
      <x:c r="C29" s="20" t="n">
        <x:f>'参数'!$B$5*24*B29/SUM($B$6:$B$104)</x:f>
        <x:v>5.269554909682827</x:v>
      </x:c>
      <x:c r="D29" s="19" t="n">
        <x:f>'参数'!$B$9*'参数'!$B$10^(A29-1)</x:f>
        <x:v>1184.1519066759636</x:v>
      </x:c>
      <x:c r="E29" s="19" t="n">
        <x:f>D29*'参数'!$B$11</x:f>
        <x:v>31972.101480251018</x:v>
      </x:c>
      <x:c r="F29" s="19" t="n">
        <x:f>ROUNDUP(E29*C29/24/'参数'!$B$6,0)</x:f>
        <x:v>1404</x:v>
      </x:c>
      <x:c r="G29" s="19" t="n">
        <x:f>F29*'参数'!$B$6</x:f>
        <x:v>7020</x:v>
      </x:c>
      <x:c r="H29" s="19" t="n">
        <x:f>O29+D29*P29</x:f>
        <x:v>31972.101480251018</x:v>
      </x:c>
      <x:c r="I29" s="20" t="n">
        <x:f>G29/H29*24</x:f>
        <x:v>5.269594183668819</x:v>
      </x:c>
      <x:c r="J29" s="20" t="n">
        <x:f>SUM($I$6:I29)/24</x:f>
        <x:v>2.101153053074626</x:v>
      </x:c>
      <x:c r="K29" s="19" t="n">
        <x:f>SUM($G$6:G29)</x:f>
        <x:v>56410</x:v>
      </x:c>
      <x:c r="L29" s="19" t="n">
        <x:f>IF(A29=20,1,IF(A29=40,2,IF(A29=60,3,IF(A29=80,5,0))))</x:f>
        <x:v>0</x:v>
      </x:c>
      <x:c r="M29" s="19" t="n">
        <x:f>L29*'参数'!$B$6</x:f>
        <x:v>0</x:v>
      </x:c>
      <x:c r="N29" s="19" t="n">
        <x:f>SUM($M$6:M29)</x:f>
        <x:v>5</x:v>
      </x:c>
      <x:c r="O29" s="32" t="n">
        <x:f>D29*('参数'!$B$12+'参数'!$B$13+'参数'!$B$14)</x:f>
        <x:v>31972.101480251018</x:v>
      </x:c>
      <x:c r="P29" s="32" t="n">
        <x:f>'参数'!$B$71</x:f>
        <x:v>0</x:v>
      </x:c>
      <x:c r="Q29" s="32" t="n">
        <x:f>'参数'!$B$72</x:f>
        <x:v>54</x:v>
      </x:c>
      <x:c r="R29" s="32" t="n">
        <x:f>O29+D29*Q29</x:f>
        <x:v>95916.30444075305</x:v>
      </x:c>
      <x:c r="S29" s="34" t="n">
        <x:f>G29/R29*24</x:f>
        <x:v>1.756531394556273</x:v>
      </x:c>
      <x:c r="T29" s="34" t="n">
        <x:f>SUM($S$6:S29)/24</x:f>
        <x:v>0.7003843510248752</x:v>
      </x:c>
      <x:c r="U29" s="34" t="n">
        <x:f>G29/O29*24</x:f>
        <x:v>5.269594183668819</x:v>
      </x:c>
      <x:c r="V29" s="34" t="n">
        <x:f>SUM($U$6:U29)/24</x:f>
        <x:v>2.101153053074626</x:v>
      </x:c>
    </x:row>
    <x:row r="30" ht="22" customHeight="1">
      <x:c r="A30" s="18" t="n">
        <x:v>25</x:v>
      </x:c>
      <x:c r="B30" s="23" t="n">
        <x:f>'参数'!$B$8+(A30/100)^'参数'!$B$7</x:f>
        <x:v>0.09573228540689989</x:v>
      </x:c>
      <x:c r="C30" s="15" t="n">
        <x:f>'参数'!$B$5*24*B30/SUM($B$6:$B$104)</x:f>
        <x:v>5.643999341399669</x:v>
      </x:c>
      <x:c r="D30" s="18" t="n">
        <x:f>'参数'!$B$9*'参数'!$B$10^(A30-1)</x:f>
        <x:v>1219.6764638762425</x:v>
      </x:c>
      <x:c r="E30" s="18" t="n">
        <x:f>D30*'参数'!$B$11</x:f>
        <x:v>32931.264524658545</x:v>
      </x:c>
      <x:c r="F30" s="18" t="n">
        <x:f>ROUNDUP(E30*C30/24/'参数'!$B$6,0)</x:f>
        <x:v>1549</x:v>
      </x:c>
      <x:c r="G30" s="18" t="n">
        <x:f>F30*'参数'!$B$6</x:f>
        <x:v>7745</x:v>
      </x:c>
      <x:c r="H30" s="18" t="n">
        <x:f>O30+D30*P30</x:f>
        <x:v>32931.264524658545</x:v>
      </x:c>
      <x:c r="I30" s="15" t="n">
        <x:f>G30/H30*24</x:f>
        <x:v>5.644484130295551</x:v>
      </x:c>
      <x:c r="J30" s="15" t="n">
        <x:f>SUM($I$6:I30)/24</x:f>
        <x:v>2.3363398918369405</x:v>
      </x:c>
      <x:c r="K30" s="18" t="n">
        <x:f>SUM($G$6:G30)</x:f>
        <x:v>64155</x:v>
      </x:c>
      <x:c r="L30" s="18" t="n">
        <x:f>IF(A30=20,1,IF(A30=40,2,IF(A30=60,3,IF(A30=80,5,0))))</x:f>
        <x:v>0</x:v>
      </x:c>
      <x:c r="M30" s="18" t="n">
        <x:f>L30*'参数'!$B$6</x:f>
        <x:v>0</x:v>
      </x:c>
      <x:c r="N30" s="18" t="n">
        <x:f>SUM($M$6:M30)</x:f>
        <x:v>5</x:v>
      </x:c>
      <x:c r="O30" s="31" t="n">
        <x:f>D30*('参数'!$B$12+'参数'!$B$13+'参数'!$B$14)</x:f>
        <x:v>32931.264524658545</x:v>
      </x:c>
      <x:c r="P30" s="31" t="n">
        <x:f>'参数'!$B$71</x:f>
        <x:v>0</x:v>
      </x:c>
      <x:c r="Q30" s="31" t="n">
        <x:f>'参数'!$B$72</x:f>
        <x:v>54</x:v>
      </x:c>
      <x:c r="R30" s="31" t="n">
        <x:f>O30+D30*Q30</x:f>
        <x:v>98793.79357397564</x:v>
      </x:c>
      <x:c r="S30" s="33" t="n">
        <x:f>G30/R30*24</x:f>
        <x:v>1.8814947100985169</x:v>
      </x:c>
      <x:c r="T30" s="33" t="n">
        <x:f>SUM($S$6:S30)/24</x:f>
        <x:v>0.7787799639456466</x:v>
      </x:c>
      <x:c r="U30" s="33" t="n">
        <x:f>G30/O30*24</x:f>
        <x:v>5.644484130295551</x:v>
      </x:c>
      <x:c r="V30" s="33" t="n">
        <x:f>SUM($U$6:U30)/24</x:f>
        <x:v>2.3363398918369405</x:v>
      </x:c>
    </x:row>
    <x:row r="31" ht="22" customHeight="1">
      <x:c r="A31" s="19" t="n">
        <x:v>26</x:v>
      </x:c>
      <x:c r="B31" s="24" t="n">
        <x:f>'参数'!$B$8+(A31/100)^'参数'!$B$7</x:f>
        <x:v>0.10226390981492446</x:v>
      </x:c>
      <x:c r="C31" s="20" t="n">
        <x:f>'参数'!$B$5*24*B31/SUM($B$6:$B$104)</x:f>
        <x:v>6.029078248692775</x:v>
      </x:c>
      <x:c r="D31" s="19" t="n">
        <x:f>'参数'!$B$9*'参数'!$B$10^(A31-1)</x:f>
        <x:v>1256.2667577925297</x:v>
      </x:c>
      <x:c r="E31" s="19" t="n">
        <x:f>D31*'参数'!$B$11</x:f>
        <x:v>33919.2024603983</x:v>
      </x:c>
      <x:c r="F31" s="19" t="n">
        <x:f>ROUNDUP(E31*C31/24/'参数'!$B$6,0)</x:f>
        <x:v>1705</x:v>
      </x:c>
      <x:c r="G31" s="19" t="n">
        <x:f>F31*'参数'!$B$6</x:f>
        <x:v>8525</x:v>
      </x:c>
      <x:c r="H31" s="19" t="n">
        <x:f>O31+D31*P31</x:f>
        <x:v>33919.2024603983</x:v>
      </x:c>
      <x:c r="I31" s="20" t="n">
        <x:f>G31/H31*24</x:f>
        <x:v>6.031981448823176</x:v>
      </x:c>
      <x:c r="J31" s="20" t="n">
        <x:f>SUM($I$6:I31)/24</x:f>
        <x:v>2.587672452204573</x:v>
      </x:c>
      <x:c r="K31" s="19" t="n">
        <x:f>SUM($G$6:G31)</x:f>
        <x:v>72680</x:v>
      </x:c>
      <x:c r="L31" s="19" t="n">
        <x:f>IF(A31=20,1,IF(A31=40,2,IF(A31=60,3,IF(A31=80,5,0))))</x:f>
        <x:v>0</x:v>
      </x:c>
      <x:c r="M31" s="19" t="n">
        <x:f>L31*'参数'!$B$6</x:f>
        <x:v>0</x:v>
      </x:c>
      <x:c r="N31" s="19" t="n">
        <x:f>SUM($M$6:M31)</x:f>
        <x:v>5</x:v>
      </x:c>
      <x:c r="O31" s="32" t="n">
        <x:f>D31*('参数'!$B$12+'参数'!$B$13+'参数'!$B$14)</x:f>
        <x:v>33919.2024603983</x:v>
      </x:c>
      <x:c r="P31" s="32" t="n">
        <x:f>'参数'!$B$71</x:f>
        <x:v>0</x:v>
      </x:c>
      <x:c r="Q31" s="32" t="n">
        <x:f>'参数'!$B$72</x:f>
        <x:v>54</x:v>
      </x:c>
      <x:c r="R31" s="32" t="n">
        <x:f>O31+D31*Q31</x:f>
        <x:v>101757.6073811949</x:v>
      </x:c>
      <x:c r="S31" s="34" t="n">
        <x:f>G31/R31*24</x:f>
        <x:v>2.010660482941059</x:v>
      </x:c>
      <x:c r="T31" s="34" t="n">
        <x:f>SUM($S$6:S31)/24</x:f>
        <x:v>0.8625574840681908</x:v>
      </x:c>
      <x:c r="U31" s="34" t="n">
        <x:f>G31/O31*24</x:f>
        <x:v>6.031981448823176</x:v>
      </x:c>
      <x:c r="V31" s="34" t="n">
        <x:f>SUM($U$6:U31)/24</x:f>
        <x:v>2.587672452204573</x:v>
      </x:c>
    </x:row>
    <x:row r="32" ht="22" customHeight="1">
      <x:c r="A32" s="18" t="n">
        <x:v>27</x:v>
      </x:c>
      <x:c r="B32" s="23" t="n">
        <x:f>'参数'!$B$8+(A32/100)^'参数'!$B$7</x:f>
        <x:v>0.10897380322932981</x:v>
      </x:c>
      <x:c r="C32" s="15" t="n">
        <x:f>'参数'!$B$5*24*B32/SUM($B$6:$B$104)</x:f>
        <x:v>6.424667196045287</x:v>
      </x:c>
      <x:c r="D32" s="18" t="n">
        <x:f>'参数'!$B$9*'参数'!$B$10^(A32-1)</x:f>
        <x:v>1293.9547605263056</x:v>
      </x:c>
      <x:c r="E32" s="18" t="n">
        <x:f>D32*'参数'!$B$11</x:f>
        <x:v>34936.77853421025</x:v>
      </x:c>
      <x:c r="F32" s="18" t="n">
        <x:f>ROUNDUP(E32*C32/24/'参数'!$B$6,0)</x:f>
        <x:v>1871</x:v>
      </x:c>
      <x:c r="G32" s="18" t="n">
        <x:f>F32*'参数'!$B$6</x:f>
        <x:v>9355</x:v>
      </x:c>
      <x:c r="H32" s="18" t="n">
        <x:f>O32+D32*P32</x:f>
        <x:v>34936.77853421025</x:v>
      </x:c>
      <x:c r="I32" s="15" t="n">
        <x:f>G32/H32*24</x:f>
        <x:v>6.426465444721785</x:v>
      </x:c>
      <x:c r="J32" s="15" t="n">
        <x:f>SUM($I$6:I32)/24</x:f>
        <x:v>2.855441845734647</x:v>
      </x:c>
      <x:c r="K32" s="18" t="n">
        <x:f>SUM($G$6:G32)</x:f>
        <x:v>82035</x:v>
      </x:c>
      <x:c r="L32" s="18" t="n">
        <x:f>IF(A32=20,1,IF(A32=40,2,IF(A32=60,3,IF(A32=80,5,0))))</x:f>
        <x:v>0</x:v>
      </x:c>
      <x:c r="M32" s="18" t="n">
        <x:f>L32*'参数'!$B$6</x:f>
        <x:v>0</x:v>
      </x:c>
      <x:c r="N32" s="18" t="n">
        <x:f>SUM($M$6:M32)</x:f>
        <x:v>5</x:v>
      </x:c>
      <x:c r="O32" s="31" t="n">
        <x:f>D32*('参数'!$B$12+'参数'!$B$13+'参数'!$B$14)</x:f>
        <x:v>34936.77853421025</x:v>
      </x:c>
      <x:c r="P32" s="31" t="n">
        <x:f>'参数'!$B$71</x:f>
        <x:v>0</x:v>
      </x:c>
      <x:c r="Q32" s="31" t="n">
        <x:f>'参数'!$B$72</x:f>
        <x:v>54</x:v>
      </x:c>
      <x:c r="R32" s="31" t="n">
        <x:f>O32+D32*Q32</x:f>
        <x:v>104810.33560263074</x:v>
      </x:c>
      <x:c r="S32" s="33" t="n">
        <x:f>G32/R32*24</x:f>
        <x:v>2.1421551482405956</x:v>
      </x:c>
      <x:c r="T32" s="33" t="n">
        <x:f>SUM($S$6:S32)/24</x:f>
        <x:v>0.9518139485782156</x:v>
      </x:c>
      <x:c r="U32" s="33" t="n">
        <x:f>G32/O32*24</x:f>
        <x:v>6.426465444721785</x:v>
      </x:c>
      <x:c r="V32" s="33" t="n">
        <x:f>SUM($U$6:U32)/24</x:f>
        <x:v>2.855441845734647</x:v>
      </x:c>
    </x:row>
    <x:row r="33" ht="22" customHeight="1">
      <x:c r="A33" s="19" t="n">
        <x:v>28</x:v>
      </x:c>
      <x:c r="B33" s="24" t="n">
        <x:f>'参数'!$B$8+(A33/100)^'参数'!$B$7</x:f>
        <x:v>0.11585995803752368</x:v>
      </x:c>
      <x:c r="C33" s="20" t="n">
        <x:f>'参数'!$B$5*24*B33/SUM($B$6:$B$104)</x:f>
        <x:v>6.8306478225082286</x:v>
      </x:c>
      <x:c r="D33" s="19" t="n">
        <x:f>'参数'!$B$9*'参数'!$B$10^(A33-1)</x:f>
        <x:v>1332.773403342095</x:v>
      </x:c>
      <x:c r="E33" s="19" t="n">
        <x:f>D33*'参数'!$B$11</x:f>
        <x:v>35984.88189023657</x:v>
      </x:c>
      <x:c r="F33" s="19" t="n">
        <x:f>ROUNDUP(E33*C33/24/'参数'!$B$6,0)</x:f>
        <x:v>2049</x:v>
      </x:c>
      <x:c r="G33" s="19" t="n">
        <x:f>F33*'参数'!$B$6</x:f>
        <x:v>10245</x:v>
      </x:c>
      <x:c r="H33" s="19" t="n">
        <x:f>O33+D33*P33</x:f>
        <x:v>35984.88189023657</x:v>
      </x:c>
      <x:c r="I33" s="20" t="n">
        <x:f>G33/H33*24</x:f>
        <x:v>6.8328694463969395</x:v>
      </x:c>
      <x:c r="J33" s="20" t="n">
        <x:f>SUM($I$6:I33)/24</x:f>
        <x:v>3.1401447393345197</x:v>
      </x:c>
      <x:c r="K33" s="19" t="n">
        <x:f>SUM($G$6:G33)</x:f>
        <x:v>92280</x:v>
      </x:c>
      <x:c r="L33" s="19" t="n">
        <x:f>IF(A33=20,1,IF(A33=40,2,IF(A33=60,3,IF(A33=80,5,0))))</x:f>
        <x:v>0</x:v>
      </x:c>
      <x:c r="M33" s="19" t="n">
        <x:f>L33*'参数'!$B$6</x:f>
        <x:v>0</x:v>
      </x:c>
      <x:c r="N33" s="19" t="n">
        <x:f>SUM($M$6:M33)</x:f>
        <x:v>5</x:v>
      </x:c>
      <x:c r="O33" s="32" t="n">
        <x:f>D33*('参数'!$B$12+'参数'!$B$13+'参数'!$B$14)</x:f>
        <x:v>35984.88189023657</x:v>
      </x:c>
      <x:c r="P33" s="32" t="n">
        <x:f>'参数'!$B$71</x:f>
        <x:v>0</x:v>
      </x:c>
      <x:c r="Q33" s="32" t="n">
        <x:f>'参数'!$B$72</x:f>
        <x:v>54</x:v>
      </x:c>
      <x:c r="R33" s="32" t="n">
        <x:f>O33+D33*Q33</x:f>
        <x:v>107954.6456707097</x:v>
      </x:c>
      <x:c r="S33" s="34" t="n">
        <x:f>G33/R33*24</x:f>
        <x:v>2.27762314879898</x:v>
      </x:c>
      <x:c r="T33" s="34" t="n">
        <x:f>SUM($S$6:S33)/24</x:f>
        <x:v>1.0467149131115063</x:v>
      </x:c>
      <x:c r="U33" s="34" t="n">
        <x:f>G33/O33*24</x:f>
        <x:v>6.8328694463969395</x:v>
      </x:c>
      <x:c r="V33" s="34" t="n">
        <x:f>SUM($U$6:U33)/24</x:f>
        <x:v>3.1401447393345197</x:v>
      </x:c>
    </x:row>
    <x:row r="34" ht="22" customHeight="1">
      <x:c r="A34" s="18" t="n">
        <x:v>29</x:v>
      </x:c>
      <x:c r="B34" s="23" t="n">
        <x:f>'参数'!$B$8+(A34/100)^'参数'!$B$7</x:f>
        <x:v>0.12292046108293285</x:v>
      </x:c>
      <x:c r="C34" s="15" t="n">
        <x:f>'参数'!$B$5*24*B34/SUM($B$6:$B$104)</x:f>
        <x:v>7.246907335888316</x:v>
      </x:c>
      <x:c r="D34" s="18" t="n">
        <x:f>'参数'!$B$9*'参数'!$B$10^(A34-1)</x:f>
        <x:v>1372.7566054423578</x:v>
      </x:c>
      <x:c r="E34" s="18" t="n">
        <x:f>D34*'参数'!$B$11</x:f>
        <x:v>37064.42834694366</x:v>
      </x:c>
      <x:c r="F34" s="18" t="n">
        <x:f>ROUNDUP(E34*C34/24/'参数'!$B$6,0)</x:f>
        <x:v>2239</x:v>
      </x:c>
      <x:c r="G34" s="18" t="n">
        <x:f>F34*'参数'!$B$6</x:f>
        <x:v>11195</x:v>
      </x:c>
      <x:c r="H34" s="18" t="n">
        <x:f>O34+D34*P34</x:f>
        <x:v>37064.42834694366</x:v>
      </x:c>
      <x:c r="I34" s="15" t="n">
        <x:f>G34/H34*24</x:f>
        <x:v>7.2489988914709755</x:v>
      </x:c>
      <x:c r="J34" s="15" t="n">
        <x:f>SUM($I$6:I34)/24</x:f>
        <x:v>3.4421863598124767</x:v>
      </x:c>
      <x:c r="K34" s="18" t="n">
        <x:f>SUM($G$6:G34)</x:f>
        <x:v>103475</x:v>
      </x:c>
      <x:c r="L34" s="18" t="n">
        <x:f>IF(A34=20,1,IF(A34=40,2,IF(A34=60,3,IF(A34=80,5,0))))</x:f>
        <x:v>0</x:v>
      </x:c>
      <x:c r="M34" s="18" t="n">
        <x:f>L34*'参数'!$B$6</x:f>
        <x:v>0</x:v>
      </x:c>
      <x:c r="N34" s="18" t="n">
        <x:f>SUM($M$6:M34)</x:f>
        <x:v>5</x:v>
      </x:c>
      <x:c r="O34" s="31" t="n">
        <x:f>D34*('参数'!$B$12+'参数'!$B$13+'参数'!$B$14)</x:f>
        <x:v>37064.42834694366</x:v>
      </x:c>
      <x:c r="P34" s="31" t="n">
        <x:f>'参数'!$B$71</x:f>
        <x:v>0</x:v>
      </x:c>
      <x:c r="Q34" s="31" t="n">
        <x:f>'参数'!$B$72</x:f>
        <x:v>54</x:v>
      </x:c>
      <x:c r="R34" s="31" t="n">
        <x:f>O34+D34*Q34</x:f>
        <x:v>111193.28504083099</x:v>
      </x:c>
      <x:c r="S34" s="33" t="n">
        <x:f>G34/R34*24</x:f>
        <x:v>2.4163329638236584</x:v>
      </x:c>
      <x:c r="T34" s="33" t="n">
        <x:f>SUM($S$6:S34)/24</x:f>
        <x:v>1.1473954532708255</x:v>
      </x:c>
      <x:c r="U34" s="33" t="n">
        <x:f>G34/O34*24</x:f>
        <x:v>7.2489988914709755</x:v>
      </x:c>
      <x:c r="V34" s="33" t="n">
        <x:f>SUM($U$6:U34)/24</x:f>
        <x:v>3.4421863598124767</x:v>
      </x:c>
    </x:row>
    <x:row r="35" ht="22" customHeight="1">
      <x:c r="A35" s="19" t="n">
        <x:v>30</x:v>
      </x:c>
      <x:c r="B35" s="24" t="n">
        <x:f>'参数'!$B$8+(A35/100)^'参数'!$B$7</x:f>
        <x:v>0.13015348607498026</x:v>
      </x:c>
      <x:c r="C35" s="20" t="n">
        <x:f>'参数'!$B$5*24*B35/SUM($B$6:$B$104)</x:f>
        <x:v>7.6733380652700305</x:v>
      </x:c>
      <x:c r="D35" s="19" t="n">
        <x:f>'参数'!$B$9*'参数'!$B$10^(A35-1)</x:f>
        <x:v>1413.9393036056285</x:v>
      </x:c>
      <x:c r="E35" s="19" t="n">
        <x:f>D35*'参数'!$B$11</x:f>
        <x:v>38176.36119735197</x:v>
      </x:c>
      <x:c r="F35" s="19" t="n">
        <x:f>ROUNDUP(E35*C35/24/'参数'!$B$6,0)</x:f>
        <x:v>2442</x:v>
      </x:c>
      <x:c r="G35" s="19" t="n">
        <x:f>F35*'参数'!$B$6</x:f>
        <x:v>12210</x:v>
      </x:c>
      <x:c r="H35" s="19" t="n">
        <x:f>O35+D35*P35</x:f>
        <x:v>38176.36119735197</x:v>
      </x:c>
      <x:c r="I35" s="20" t="n">
        <x:f>G35/H35*24</x:f>
        <x:v>7.675954198073915</x:v>
      </x:c>
      <x:c r="J35" s="20" t="n">
        <x:f>SUM($I$6:I35)/24</x:f>
        <x:v>3.762017784732223</x:v>
      </x:c>
      <x:c r="K35" s="19" t="n">
        <x:f>SUM($G$6:G35)</x:f>
        <x:v>115685</x:v>
      </x:c>
      <x:c r="L35" s="19" t="n">
        <x:f>IF(A35=20,1,IF(A35=40,2,IF(A35=60,3,IF(A35=80,5,0))))</x:f>
        <x:v>0</x:v>
      </x:c>
      <x:c r="M35" s="19" t="n">
        <x:f>L35*'参数'!$B$6</x:f>
        <x:v>0</x:v>
      </x:c>
      <x:c r="N35" s="19" t="n">
        <x:f>SUM($M$6:M35)</x:f>
        <x:v>5</x:v>
      </x:c>
      <x:c r="O35" s="32" t="n">
        <x:f>D35*('参数'!$B$12+'参数'!$B$13+'参数'!$B$14)</x:f>
        <x:v>38176.36119735197</x:v>
      </x:c>
      <x:c r="P35" s="32" t="n">
        <x:f>'参数'!$B$71</x:f>
        <x:v>0</x:v>
      </x:c>
      <x:c r="Q35" s="32" t="n">
        <x:f>'参数'!$B$72</x:f>
        <x:v>54</x:v>
      </x:c>
      <x:c r="R35" s="32" t="n">
        <x:f>O35+D35*Q35</x:f>
        <x:v>114529.08359205592</x:v>
      </x:c>
      <x:c r="S35" s="34" t="n">
        <x:f>G35/R35*24</x:f>
        <x:v>2.558651399357972</x:v>
      </x:c>
      <x:c r="T35" s="34" t="n">
        <x:f>SUM($S$6:S35)/24</x:f>
        <x:v>1.2540059282440745</x:v>
      </x:c>
      <x:c r="U35" s="34" t="n">
        <x:f>G35/O35*24</x:f>
        <x:v>7.675954198073915</x:v>
      </x:c>
      <x:c r="V35" s="34" t="n">
        <x:f>SUM($U$6:U35)/24</x:f>
        <x:v>3.762017784732223</x:v>
      </x:c>
    </x:row>
    <x:row r="36" ht="22" customHeight="1">
      <x:c r="A36" s="18" t="n">
        <x:v>31</x:v>
      </x:c>
      <x:c r="B36" s="23" t="n">
        <x:f>'参数'!$B$8+(A36/100)^'参数'!$B$7</x:f>
        <x:v>0.13755728684480814</x:v>
      </x:c>
      <x:c r="C36" s="15" t="n">
        <x:f>'参数'!$B$5*24*B36/SUM($B$6:$B$104)</x:f>
        <x:v>8.10983706339957</x:v>
      </x:c>
      <x:c r="D36" s="18" t="n">
        <x:f>'参数'!$B$9*'参数'!$B$10^(A36-1)</x:f>
        <x:v>1456.3574827137973</x:v>
      </x:c>
      <x:c r="E36" s="18" t="n">
        <x:f>D36*'参数'!$B$11</x:f>
        <x:v>39321.65203327253</x:v>
      </x:c>
      <x:c r="F36" s="18" t="n">
        <x:f>ROUNDUP(E36*C36/24/'参数'!$B$6,0)</x:f>
        <x:v>2658</x:v>
      </x:c>
      <x:c r="G36" s="18" t="n">
        <x:f>F36*'参数'!$B$6</x:f>
        <x:v>13290</x:v>
      </x:c>
      <x:c r="H36" s="18" t="n">
        <x:f>O36+D36*P36</x:f>
        <x:v>39321.65203327253</x:v>
      </x:c>
      <x:c r="I36" s="15" t="n">
        <x:f>G36/H36*24</x:f>
        <x:v>8.111561531802067</x:v>
      </x:c>
      <x:c r="J36" s="15" t="n">
        <x:f>SUM($I$6:I36)/24</x:f>
        <x:v>4.099999515223976</x:v>
      </x:c>
      <x:c r="K36" s="18" t="n">
        <x:f>SUM($G$6:G36)</x:f>
        <x:v>128975</x:v>
      </x:c>
      <x:c r="L36" s="18" t="n">
        <x:f>IF(A36=20,1,IF(A36=40,2,IF(A36=60,3,IF(A36=80,5,0))))</x:f>
        <x:v>0</x:v>
      </x:c>
      <x:c r="M36" s="18" t="n">
        <x:f>L36*'参数'!$B$6</x:f>
        <x:v>0</x:v>
      </x:c>
      <x:c r="N36" s="18" t="n">
        <x:f>SUM($M$6:M36)</x:f>
        <x:v>5</x:v>
      </x:c>
      <x:c r="O36" s="31" t="n">
        <x:f>D36*('参数'!$B$12+'参数'!$B$13+'参数'!$B$14)</x:f>
        <x:v>39321.65203327253</x:v>
      </x:c>
      <x:c r="P36" s="31" t="n">
        <x:f>'参数'!$B$71</x:f>
        <x:v>0</x:v>
      </x:c>
      <x:c r="Q36" s="31" t="n">
        <x:f>'参数'!$B$72</x:f>
        <x:v>54</x:v>
      </x:c>
      <x:c r="R36" s="31" t="n">
        <x:f>O36+D36*Q36</x:f>
        <x:v>117964.95609981759</x:v>
      </x:c>
      <x:c r="S36" s="33" t="n">
        <x:f>G36/R36*24</x:f>
        <x:v>2.7038538439340223</x:v>
      </x:c>
      <x:c r="T36" s="33" t="n">
        <x:f>SUM($S$6:S36)/24</x:f>
        <x:v>1.3666665050746587</x:v>
      </x:c>
      <x:c r="U36" s="33" t="n">
        <x:f>G36/O36*24</x:f>
        <x:v>8.111561531802067</x:v>
      </x:c>
      <x:c r="V36" s="33" t="n">
        <x:f>SUM($U$6:U36)/24</x:f>
        <x:v>4.099999515223976</x:v>
      </x:c>
    </x:row>
    <x:row r="37" ht="22" customHeight="1">
      <x:c r="A37" s="19" t="n">
        <x:v>32</x:v>
      </x:c>
      <x:c r="B37" s="24" t="n">
        <x:f>'参数'!$B$8+(A37/100)^'参数'!$B$7</x:f>
        <x:v>0.1451301913279321</x:v>
      </x:c>
      <x:c r="C37" s="20" t="n">
        <x:f>'参数'!$B$5*24*B37/SUM($B$6:$B$104)</x:f>
        <x:v>8.556305751925768</x:v>
      </x:c>
      <x:c r="D37" s="19" t="n">
        <x:f>'参数'!$B$9*'参数'!$B$10^(A37-1)</x:f>
        <x:v>1500.0482071952113</x:v>
      </x:c>
      <x:c r="E37" s="19" t="n">
        <x:f>D37*'参数'!$B$11</x:f>
        <x:v>40501.301594270706</x:v>
      </x:c>
      <x:c r="F37" s="19" t="n">
        <x:f>ROUNDUP(E37*C37/24/'参数'!$B$6,0)</x:f>
        <x:v>2888</x:v>
      </x:c>
      <x:c r="G37" s="19" t="n">
        <x:f>F37*'参数'!$B$6</x:f>
        <x:v>14440</x:v>
      </x:c>
      <x:c r="H37" s="19" t="n">
        <x:f>O37+D37*P37</x:f>
        <x:v>40501.301594270706</x:v>
      </x:c>
      <x:c r="I37" s="20" t="n">
        <x:f>G37/H37*24</x:f>
        <x:v>8.556762038705052</x:v>
      </x:c>
      <x:c r="J37" s="20" t="n">
        <x:f>SUM($I$6:I37)/24</x:f>
        <x:v>4.456531266836687</x:v>
      </x:c>
      <x:c r="K37" s="19" t="n">
        <x:f>SUM($G$6:G37)</x:f>
        <x:v>143415</x:v>
      </x:c>
      <x:c r="L37" s="19" t="n">
        <x:f>IF(A37=20,1,IF(A37=40,2,IF(A37=60,3,IF(A37=80,5,0))))</x:f>
        <x:v>0</x:v>
      </x:c>
      <x:c r="M37" s="19" t="n">
        <x:f>L37*'参数'!$B$6</x:f>
        <x:v>0</x:v>
      </x:c>
      <x:c r="N37" s="19" t="n">
        <x:f>SUM($M$6:M37)</x:f>
        <x:v>5</x:v>
      </x:c>
      <x:c r="O37" s="32" t="n">
        <x:f>D37*('参数'!$B$12+'参数'!$B$13+'参数'!$B$14)</x:f>
        <x:v>40501.301594270706</x:v>
      </x:c>
      <x:c r="P37" s="32" t="n">
        <x:f>'参数'!$B$71</x:f>
        <x:v>0</x:v>
      </x:c>
      <x:c r="Q37" s="32" t="n">
        <x:f>'参数'!$B$72</x:f>
        <x:v>54</x:v>
      </x:c>
      <x:c r="R37" s="32" t="n">
        <x:f>O37+D37*Q37</x:f>
        <x:v>121503.90478281211</x:v>
      </x:c>
      <x:c r="S37" s="34" t="n">
        <x:f>G37/R37*24</x:f>
        <x:v>2.8522540129016845</x:v>
      </x:c>
      <x:c r="T37" s="34" t="n">
        <x:f>SUM($S$6:S37)/24</x:f>
        <x:v>1.4855104222788953</x:v>
      </x:c>
      <x:c r="U37" s="34" t="n">
        <x:f>G37/O37*24</x:f>
        <x:v>8.556762038705052</x:v>
      </x:c>
      <x:c r="V37" s="34" t="n">
        <x:f>SUM($U$6:U37)/24</x:f>
        <x:v>4.456531266836687</x:v>
      </x:c>
    </x:row>
    <x:row r="38" ht="22" customHeight="1">
      <x:c r="A38" s="18" t="n">
        <x:v>33</x:v>
      </x:c>
      <x:c r="B38" s="23" t="n">
        <x:f>'参数'!$B$8+(A38/100)^'参数'!$B$7</x:f>
        <x:v>0.15287059617493762</x:v>
      </x:c>
      <x:c r="C38" s="15" t="n">
        <x:f>'参数'!$B$5*24*B38/SUM($B$6:$B$104)</x:f>
        <x:v>9.012649603667944</x:v>
      </x:c>
      <x:c r="D38" s="18" t="n">
        <x:f>'参数'!$B$9*'参数'!$B$10^(A38-1)</x:f>
        <x:v>1545.0496534110678</x:v>
      </x:c>
      <x:c r="E38" s="18" t="n">
        <x:f>D38*'参数'!$B$11</x:f>
        <x:v>41716.34064209883</x:v>
      </x:c>
      <x:c r="F38" s="18" t="n">
        <x:f>ROUNDUP(E38*C38/24/'参数'!$B$6,0)</x:f>
        <x:v>3134</x:v>
      </x:c>
      <x:c r="G38" s="18" t="n">
        <x:f>F38*'参数'!$B$6</x:f>
        <x:v>15670</x:v>
      </x:c>
      <x:c r="H38" s="18" t="n">
        <x:f>O38+D38*P38</x:f>
        <x:v>41716.34064209883</x:v>
      </x:c>
      <x:c r="I38" s="15" t="n">
        <x:f>G38/H38*24</x:f>
        <x:v>9.015172333224065</x:v>
      </x:c>
      <x:c r="J38" s="15" t="n">
        <x:f>SUM($I$6:I38)/24</x:f>
        <x:v>4.832163447387689</x:v>
      </x:c>
      <x:c r="K38" s="18" t="n">
        <x:f>SUM($G$6:G38)</x:f>
        <x:v>159085</x:v>
      </x:c>
      <x:c r="L38" s="18" t="n">
        <x:f>IF(A38=20,1,IF(A38=40,2,IF(A38=60,3,IF(A38=80,5,0))))</x:f>
        <x:v>0</x:v>
      </x:c>
      <x:c r="M38" s="18" t="n">
        <x:f>L38*'参数'!$B$6</x:f>
        <x:v>0</x:v>
      </x:c>
      <x:c r="N38" s="18" t="n">
        <x:f>SUM($M$6:M38)</x:f>
        <x:v>5</x:v>
      </x:c>
      <x:c r="O38" s="31" t="n">
        <x:f>D38*('参数'!$B$12+'参数'!$B$13+'参数'!$B$14)</x:f>
        <x:v>41716.34064209883</x:v>
      </x:c>
      <x:c r="P38" s="31" t="n">
        <x:f>'参数'!$B$71</x:f>
        <x:v>0</x:v>
      </x:c>
      <x:c r="Q38" s="31" t="n">
        <x:f>'参数'!$B$72</x:f>
        <x:v>54</x:v>
      </x:c>
      <x:c r="R38" s="31" t="n">
        <x:f>O38+D38*Q38</x:f>
        <x:v>125149.0219262965</x:v>
      </x:c>
      <x:c r="S38" s="33" t="n">
        <x:f>G38/R38*24</x:f>
        <x:v>3.005057444408022</x:v>
      </x:c>
      <x:c r="T38" s="33" t="n">
        <x:f>SUM($S$6:S38)/24</x:f>
        <x:v>1.6107211491292297</x:v>
      </x:c>
      <x:c r="U38" s="33" t="n">
        <x:f>G38/O38*24</x:f>
        <x:v>9.015172333224065</x:v>
      </x:c>
      <x:c r="V38" s="33" t="n">
        <x:f>SUM($U$6:U38)/24</x:f>
        <x:v>4.832163447387689</x:v>
      </x:c>
    </x:row>
    <x:row r="39" ht="22" customHeight="1">
      <x:c r="A39" s="19" t="n">
        <x:v>34</x:v>
      </x:c>
      <x:c r="B39" s="24" t="n">
        <x:f>'参数'!$B$8+(A39/100)^'参数'!$B$7</x:f>
        <x:v>0.1607769619074064</x:v>
      </x:c>
      <x:c r="C39" s="20" t="n">
        <x:f>'参数'!$B$5*24*B39/SUM($B$6:$B$104)</x:f>
        <x:v>9.478777857028357</x:v>
      </x:c>
      <x:c r="D39" s="19" t="n">
        <x:f>'参数'!$B$9*'参数'!$B$10^(A39-1)</x:f>
        <x:v>1591.4011430133996</x:v>
      </x:c>
      <x:c r="E39" s="19" t="n">
        <x:f>D39*'参数'!$B$11</x:f>
        <x:v>42967.83086136179</x:v>
      </x:c>
      <x:c r="F39" s="19" t="n">
        <x:f>ROUNDUP(E39*C39/24/'参数'!$B$6,0)</x:f>
        <x:v>3395</x:v>
      </x:c>
      <x:c r="G39" s="19" t="n">
        <x:f>F39*'参数'!$B$6</x:f>
        <x:v>16975</x:v>
      </x:c>
      <x:c r="H39" s="19" t="n">
        <x:f>O39+D39*P39</x:f>
        <x:v>42967.83086136179</x:v>
      </x:c>
      <x:c r="I39" s="20" t="n">
        <x:f>G39/H39*24</x:f>
        <x:v>9.481511908629965</x:v>
      </x:c>
      <x:c r="J39" s="20" t="n">
        <x:f>SUM($I$6:I39)/24</x:f>
        <x:v>5.227226443580604</x:v>
      </x:c>
      <x:c r="K39" s="19" t="n">
        <x:f>SUM($G$6:G39)</x:f>
        <x:v>176060</x:v>
      </x:c>
      <x:c r="L39" s="19" t="n">
        <x:f>IF(A39=20,1,IF(A39=40,2,IF(A39=60,3,IF(A39=80,5,0))))</x:f>
        <x:v>0</x:v>
      </x:c>
      <x:c r="M39" s="19" t="n">
        <x:f>L39*'参数'!$B$6</x:f>
        <x:v>0</x:v>
      </x:c>
      <x:c r="N39" s="19" t="n">
        <x:f>SUM($M$6:M39)</x:f>
        <x:v>5</x:v>
      </x:c>
      <x:c r="O39" s="32" t="n">
        <x:f>D39*('参数'!$B$12+'参数'!$B$13+'参数'!$B$14)</x:f>
        <x:v>42967.83086136179</x:v>
      </x:c>
      <x:c r="P39" s="32" t="n">
        <x:f>'参数'!$B$71</x:f>
        <x:v>0</x:v>
      </x:c>
      <x:c r="Q39" s="32" t="n">
        <x:f>'参数'!$B$72</x:f>
        <x:v>54</x:v>
      </x:c>
      <x:c r="R39" s="32" t="n">
        <x:f>O39+D39*Q39</x:f>
        <x:v>128903.49258408538</x:v>
      </x:c>
      <x:c r="S39" s="34" t="n">
        <x:f>G39/R39*24</x:f>
        <x:v>3.1605039695433215</x:v>
      </x:c>
      <x:c r="T39" s="34" t="n">
        <x:f>SUM($S$6:S39)/24</x:f>
        <x:v>1.7424088145268681</x:v>
      </x:c>
      <x:c r="U39" s="34" t="n">
        <x:f>G39/O39*24</x:f>
        <x:v>9.481511908629965</x:v>
      </x:c>
      <x:c r="V39" s="34" t="n">
        <x:f>SUM($U$6:U39)/24</x:f>
        <x:v>5.227226443580604</x:v>
      </x:c>
    </x:row>
    <x:row r="40" ht="22" customHeight="1">
      <x:c r="A40" s="18" t="n">
        <x:v>35</x:v>
      </x:c>
      <x:c r="B40" s="23" t="n">
        <x:f>'参数'!$B$8+(A40/100)^'参数'!$B$7</x:f>
        <x:v>0.16884780854932097</x:v>
      </x:c>
      <x:c r="C40" s="15" t="n">
        <x:f>'参数'!$B$5*24*B40/SUM($B$6:$B$104)</x:f>
        <x:v>9.954603258436984</x:v>
      </x:c>
      <x:c r="D40" s="18" t="n">
        <x:f>'参数'!$B$9*'参数'!$B$10^(A40-1)</x:f>
        <x:v>1639.1431773038016</x:v>
      </x:c>
      <x:c r="E40" s="18" t="n">
        <x:f>D40*'参数'!$B$11</x:f>
        <x:v>44256.865787202645</x:v>
      </x:c>
      <x:c r="F40" s="18" t="n">
        <x:f>ROUNDUP(E40*C40/24/'参数'!$B$6,0)</x:f>
        <x:v>3672</x:v>
      </x:c>
      <x:c r="G40" s="18" t="n">
        <x:f>F40*'参数'!$B$6</x:f>
        <x:v>18360</x:v>
      </x:c>
      <x:c r="H40" s="18" t="n">
        <x:f>O40+D40*P40</x:f>
        <x:v>44256.865787202645</x:v>
      </x:c>
      <x:c r="I40" s="15" t="n">
        <x:f>G40/H40*24</x:f>
        <x:v>9.956421272999767</x:v>
      </x:c>
      <x:c r="J40" s="15" t="n">
        <x:f>SUM($I$6:I40)/24</x:f>
        <x:v>5.642077329955595</x:v>
      </x:c>
      <x:c r="K40" s="18" t="n">
        <x:f>SUM($G$6:G40)</x:f>
        <x:v>194420</x:v>
      </x:c>
      <x:c r="L40" s="18" t="n">
        <x:f>IF(A40=20,1,IF(A40=40,2,IF(A40=60,3,IF(A40=80,5,0))))</x:f>
        <x:v>0</x:v>
      </x:c>
      <x:c r="M40" s="18" t="n">
        <x:f>L40*'参数'!$B$6</x:f>
        <x:v>0</x:v>
      </x:c>
      <x:c r="N40" s="18" t="n">
        <x:f>SUM($M$6:M40)</x:f>
        <x:v>5</x:v>
      </x:c>
      <x:c r="O40" s="31" t="n">
        <x:f>D40*('参数'!$B$12+'参数'!$B$13+'参数'!$B$14)</x:f>
        <x:v>44256.865787202645</x:v>
      </x:c>
      <x:c r="P40" s="31" t="n">
        <x:f>'参数'!$B$71</x:f>
        <x:v>0</x:v>
      </x:c>
      <x:c r="Q40" s="31" t="n">
        <x:f>'参数'!$B$72</x:f>
        <x:v>54</x:v>
      </x:c>
      <x:c r="R40" s="31" t="n">
        <x:f>O40+D40*Q40</x:f>
        <x:v>132770.59736160794</x:v>
      </x:c>
      <x:c r="S40" s="33" t="n">
        <x:f>G40/R40*24</x:f>
        <x:v>3.318807090999922</x:v>
      </x:c>
      <x:c r="T40" s="33" t="n">
        <x:f>SUM($S$6:S40)/24</x:f>
        <x:v>1.8806924433185312</x:v>
      </x:c>
      <x:c r="U40" s="33" t="n">
        <x:f>G40/O40*24</x:f>
        <x:v>9.956421272999767</x:v>
      </x:c>
      <x:c r="V40" s="33" t="n">
        <x:f>SUM($U$6:U40)/24</x:f>
        <x:v>5.642077329955595</x:v>
      </x:c>
    </x:row>
    <x:row r="41" ht="22" customHeight="1">
      <x:c r="A41" s="19" t="n">
        <x:v>36</x:v>
      </x:c>
      <x:c r="B41" s="24" t="n">
        <x:f>'参数'!$B$8+(A41/100)^'参数'!$B$7</x:f>
        <x:v>0.17708171167487932</x:v>
      </x:c>
      <x:c r="C41" s="20" t="n">
        <x:f>'参数'!$B$5*24*B41/SUM($B$6:$B$104)</x:f>
        <x:v>10.440041829346214</x:v>
      </x:c>
      <x:c r="D41" s="19" t="n">
        <x:f>'参数'!$B$9*'参数'!$B$10^(A41-1)</x:f>
        <x:v>1688.3174726229158</x:v>
      </x:c>
      <x:c r="E41" s="19" t="n">
        <x:f>D41*'参数'!$B$11</x:f>
        <x:v>45584.571760818726</x:v>
      </x:c>
      <x:c r="F41" s="19" t="n">
        <x:f>ROUNDUP(E41*C41/24/'参数'!$B$6,0)</x:f>
        <x:v>3966</x:v>
      </x:c>
      <x:c r="G41" s="19" t="n">
        <x:f>F41*'参数'!$B$6</x:f>
        <x:v>19830</x:v>
      </x:c>
      <x:c r="H41" s="19" t="n">
        <x:f>O41+D41*P41</x:f>
        <x:v>45584.571760818726</x:v>
      </x:c>
      <x:c r="I41" s="20" t="n">
        <x:f>G41/H41*24</x:f>
        <x:v>10.440374486726387</x:v>
      </x:c>
      <x:c r="J41" s="20" t="n">
        <x:f>SUM($I$6:I41)/24</x:f>
        <x:v>6.077092933569195</x:v>
      </x:c>
      <x:c r="K41" s="19" t="n">
        <x:f>SUM($G$6:G41)</x:f>
        <x:v>214250</x:v>
      </x:c>
      <x:c r="L41" s="19" t="n">
        <x:f>IF(A41=20,1,IF(A41=40,2,IF(A41=60,3,IF(A41=80,5,0))))</x:f>
        <x:v>0</x:v>
      </x:c>
      <x:c r="M41" s="19" t="n">
        <x:f>L41*'参数'!$B$6</x:f>
        <x:v>0</x:v>
      </x:c>
      <x:c r="N41" s="19" t="n">
        <x:f>SUM($M$6:M41)</x:f>
        <x:v>5</x:v>
      </x:c>
      <x:c r="O41" s="32" t="n">
        <x:f>D41*('参数'!$B$12+'参数'!$B$13+'参数'!$B$14)</x:f>
        <x:v>45584.571760818726</x:v>
      </x:c>
      <x:c r="P41" s="32" t="n">
        <x:f>'参数'!$B$71</x:f>
        <x:v>0</x:v>
      </x:c>
      <x:c r="Q41" s="32" t="n">
        <x:f>'参数'!$B$72</x:f>
        <x:v>54</x:v>
      </x:c>
      <x:c r="R41" s="32" t="n">
        <x:f>O41+D41*Q41</x:f>
        <x:v>136753.7152824562</x:v>
      </x:c>
      <x:c r="S41" s="34" t="n">
        <x:f>G41/R41*24</x:f>
        <x:v>3.4801248289087954</x:v>
      </x:c>
      <x:c r="T41" s="34" t="n">
        <x:f>SUM($S$6:S41)/24</x:f>
        <x:v>2.0256976445230643</x:v>
      </x:c>
      <x:c r="U41" s="34" t="n">
        <x:f>G41/O41*24</x:f>
        <x:v>10.440374486726387</x:v>
      </x:c>
      <x:c r="V41" s="34" t="n">
        <x:f>SUM($U$6:U41)/24</x:f>
        <x:v>6.077092933569195</x:v>
      </x:c>
    </x:row>
    <x:row r="42" ht="22" customHeight="1">
      <x:c r="A42" s="18" t="n">
        <x:v>37</x:v>
      </x:c>
      <x:c r="B42" s="23" t="n">
        <x:f>'参数'!$B$8+(A42/100)^'参数'!$B$7</x:f>
        <x:v>0.1854772988224424</x:v>
      </x:c>
      <x:c r="C42" s="15" t="n">
        <x:f>'参数'!$B$5*24*B42/SUM($B$6:$B$104)</x:f>
        <x:v>10.935012654811272</x:v>
      </x:c>
      <x:c r="D42" s="18" t="n">
        <x:f>'参数'!$B$9*'参数'!$B$10^(A42-1)</x:f>
        <x:v>1738.9669968016035</x:v>
      </x:c>
      <x:c r="E42" s="18" t="n">
        <x:f>D42*'参数'!$B$11</x:f>
        <x:v>46952.10891364329</x:v>
      </x:c>
      <x:c r="F42" s="18" t="n">
        <x:f>ROUNDUP(E42*C42/24/'参数'!$B$6,0)</x:f>
        <x:v>4279</x:v>
      </x:c>
      <x:c r="G42" s="18" t="n">
        <x:f>F42*'参数'!$B$6</x:f>
        <x:v>21395</x:v>
      </x:c>
      <x:c r="H42" s="18" t="n">
        <x:f>O42+D42*P42</x:f>
        <x:v>46952.10891364329</x:v>
      </x:c>
      <x:c r="I42" s="15" t="n">
        <x:f>G42/H42*24</x:f>
        <x:v>10.936249976426373</x:v>
      </x:c>
      <x:c r="J42" s="15" t="n">
        <x:f>SUM($I$6:I42)/24</x:f>
        <x:v>6.532770015920295</x:v>
      </x:c>
      <x:c r="K42" s="18" t="n">
        <x:f>SUM($G$6:G42)</x:f>
        <x:v>235645</x:v>
      </x:c>
      <x:c r="L42" s="18" t="n">
        <x:f>IF(A42=20,1,IF(A42=40,2,IF(A42=60,3,IF(A42=80,5,0))))</x:f>
        <x:v>0</x:v>
      </x:c>
      <x:c r="M42" s="18" t="n">
        <x:f>L42*'参数'!$B$6</x:f>
        <x:v>0</x:v>
      </x:c>
      <x:c r="N42" s="18" t="n">
        <x:f>SUM($M$6:M42)</x:f>
        <x:v>5</x:v>
      </x:c>
      <x:c r="O42" s="31" t="n">
        <x:f>D42*('参数'!$B$12+'参数'!$B$13+'参数'!$B$14)</x:f>
        <x:v>46952.10891364329</x:v>
      </x:c>
      <x:c r="P42" s="31" t="n">
        <x:f>'参数'!$B$71</x:f>
        <x:v>0</x:v>
      </x:c>
      <x:c r="Q42" s="31" t="n">
        <x:f>'参数'!$B$72</x:f>
        <x:v>54</x:v>
      </x:c>
      <x:c r="R42" s="31" t="n">
        <x:f>O42+D42*Q42</x:f>
        <x:v>140856.3267409299</x:v>
      </x:c>
      <x:c r="S42" s="33" t="n">
        <x:f>G42/R42*24</x:f>
        <x:v>3.6454166588087915</x:v>
      </x:c>
      <x:c r="T42" s="33" t="n">
        <x:f>SUM($S$6:S42)/24</x:f>
        <x:v>2.177590005306764</x:v>
      </x:c>
      <x:c r="U42" s="33" t="n">
        <x:f>G42/O42*24</x:f>
        <x:v>10.936249976426373</x:v>
      </x:c>
      <x:c r="V42" s="33" t="n">
        <x:f>SUM($U$6:U42)/24</x:f>
        <x:v>6.532770015920295</x:v>
      </x:c>
    </x:row>
    <x:row r="43" ht="22" customHeight="1">
      <x:c r="A43" s="19" t="n">
        <x:v>38</x:v>
      </x:c>
      <x:c r="B43" s="24" t="n">
        <x:f>'参数'!$B$8+(A43/100)^'参数'!$B$7</x:f>
        <x:v>0.19403324623161752</x:v>
      </x:c>
      <x:c r="C43" s="20" t="n">
        <x:f>'参数'!$B$5*24*B43/SUM($B$6:$B$104)</x:f>
        <x:v>11.439437691121478</x:v>
      </x:c>
      <x:c r="D43" s="19" t="n">
        <x:f>'参数'!$B$9*'参数'!$B$10^(A43-1)</x:f>
        <x:v>1791.1360067056514</x:v>
      </x:c>
      <x:c r="E43" s="19" t="n">
        <x:f>D43*'参数'!$B$11</x:f>
        <x:v>48360.672181052585</x:v>
      </x:c>
      <x:c r="F43" s="19" t="n">
        <x:f>ROUNDUP(E43*C43/24/'参数'!$B$6,0)</x:f>
        <x:v>4611</x:v>
      </x:c>
      <x:c r="G43" s="19" t="n">
        <x:f>F43*'参数'!$B$6</x:f>
        <x:v>23055</x:v>
      </x:c>
      <x:c r="H43" s="19" t="n">
        <x:f>O43+D43*P43</x:f>
        <x:v>48360.672181052585</x:v>
      </x:c>
      <x:c r="I43" s="20" t="n">
        <x:f>G43/H43*24</x:f>
        <x:v>11.441528313098745</x:v>
      </x:c>
      <x:c r="J43" s="20" t="n">
        <x:f>SUM($I$6:I43)/24</x:f>
        <x:v>7.009500362299409</x:v>
      </x:c>
      <x:c r="K43" s="19" t="n">
        <x:f>SUM($G$6:G43)</x:f>
        <x:v>258700</x:v>
      </x:c>
      <x:c r="L43" s="19" t="n">
        <x:f>IF(A43=20,1,IF(A43=40,2,IF(A43=60,3,IF(A43=80,5,0))))</x:f>
        <x:v>0</x:v>
      </x:c>
      <x:c r="M43" s="19" t="n">
        <x:f>L43*'参数'!$B$6</x:f>
        <x:v>0</x:v>
      </x:c>
      <x:c r="N43" s="19" t="n">
        <x:f>SUM($M$6:M43)</x:f>
        <x:v>5</x:v>
      </x:c>
      <x:c r="O43" s="32" t="n">
        <x:f>D43*('参数'!$B$12+'参数'!$B$13+'参数'!$B$14)</x:f>
        <x:v>48360.672181052585</x:v>
      </x:c>
      <x:c r="P43" s="32" t="n">
        <x:f>'参数'!$B$71</x:f>
        <x:v>0</x:v>
      </x:c>
      <x:c r="Q43" s="32" t="n">
        <x:f>'参数'!$B$72</x:f>
        <x:v>54</x:v>
      </x:c>
      <x:c r="R43" s="32" t="n">
        <x:f>O43+D43*Q43</x:f>
        <x:v>145082.01654315775</x:v>
      </x:c>
      <x:c r="S43" s="34" t="n">
        <x:f>G43/R43*24</x:f>
        <x:v>3.813842771032915</x:v>
      </x:c>
      <x:c r="T43" s="34" t="n">
        <x:f>SUM($S$6:S43)/24</x:f>
        <x:v>2.336500120766469</x:v>
      </x:c>
      <x:c r="U43" s="34" t="n">
        <x:f>G43/O43*24</x:f>
        <x:v>11.441528313098745</x:v>
      </x:c>
      <x:c r="V43" s="34" t="n">
        <x:f>SUM($U$6:U43)/24</x:f>
        <x:v>7.009500362299409</x:v>
      </x:c>
    </x:row>
    <x:row r="44" ht="22" customHeight="1">
      <x:c r="A44" s="18" t="n">
        <x:v>39</x:v>
      </x:c>
      <x:c r="B44" s="23" t="n">
        <x:f>'参数'!$B$8+(A44/100)^'参数'!$B$7</x:f>
        <x:v>0.20274827586653896</x:v>
      </x:c>
      <x:c r="C44" s="15" t="n">
        <x:f>'参数'!$B$5*24*B44/SUM($B$6:$B$104)</x:f>
        <x:v>11.953241590304584</x:v>
      </x:c>
      <x:c r="D44" s="18" t="n">
        <x:f>'参数'!$B$9*'参数'!$B$10^(A44-1)</x:f>
        <x:v>1844.8700869068214</x:v>
      </x:c>
      <x:c r="E44" s="18" t="n">
        <x:f>D44*'参数'!$B$11</x:f>
        <x:v>49811.49234648418</x:v>
      </x:c>
      <x:c r="F44" s="18" t="n">
        <x:f>ROUNDUP(E44*C44/24/'参数'!$B$6,0)</x:f>
        <x:v>4962</x:v>
      </x:c>
      <x:c r="G44" s="18" t="n">
        <x:f>F44*'参数'!$B$6</x:f>
        <x:v>24810</x:v>
      </x:c>
      <x:c r="H44" s="18" t="n">
        <x:f>O44+D44*P44</x:f>
        <x:v>49811.49234648418</x:v>
      </x:c>
      <x:c r="I44" s="15" t="n">
        <x:f>G44/H44*24</x:f>
        <x:v>11.953867911809867</x:v>
      </x:c>
      <x:c r="J44" s="15" t="n">
        <x:f>SUM($I$6:I44)/24</x:f>
        <x:v>7.507578191958154</x:v>
      </x:c>
      <x:c r="K44" s="18" t="n">
        <x:f>SUM($G$6:G44)</x:f>
        <x:v>283510</x:v>
      </x:c>
      <x:c r="L44" s="18" t="n">
        <x:f>IF(A44=20,1,IF(A44=40,2,IF(A44=60,3,IF(A44=80,5,0))))</x:f>
        <x:v>0</x:v>
      </x:c>
      <x:c r="M44" s="18" t="n">
        <x:f>L44*'参数'!$B$6</x:f>
        <x:v>0</x:v>
      </x:c>
      <x:c r="N44" s="18" t="n">
        <x:f>SUM($M$6:M44)</x:f>
        <x:v>5</x:v>
      </x:c>
      <x:c r="O44" s="31" t="n">
        <x:f>D44*('参数'!$B$12+'参数'!$B$13+'参数'!$B$14)</x:f>
        <x:v>49811.49234648418</x:v>
      </x:c>
      <x:c r="P44" s="31" t="n">
        <x:f>'参数'!$B$71</x:f>
        <x:v>0</x:v>
      </x:c>
      <x:c r="Q44" s="31" t="n">
        <x:f>'参数'!$B$72</x:f>
        <x:v>54</x:v>
      </x:c>
      <x:c r="R44" s="31" t="n">
        <x:f>O44+D44*Q44</x:f>
        <x:v>149434.47703945253</x:v>
      </x:c>
      <x:c r="S44" s="33" t="n">
        <x:f>G44/R44*24</x:f>
        <x:v>3.984622637269956</x:v>
      </x:c>
      <x:c r="T44" s="33" t="n">
        <x:f>SUM($S$6:S44)/24</x:f>
        <x:v>2.5025260639860503</x:v>
      </x:c>
      <x:c r="U44" s="33" t="n">
        <x:f>G44/O44*24</x:f>
        <x:v>11.953867911809867</x:v>
      </x:c>
      <x:c r="V44" s="33" t="n">
        <x:f>SUM($U$6:U44)/24</x:f>
        <x:v>7.507578191958154</x:v>
      </x:c>
    </x:row>
    <x:row r="45" ht="22" customHeight="1">
      <x:c r="A45" s="19" t="n">
        <x:v>40</x:v>
      </x:c>
      <x:c r="B45" s="24" t="n">
        <x:f>'参数'!$B$8+(A45/100)^'参数'!$B$7</x:f>
        <x:v>0.211621152693478</x:v>
      </x:c>
      <x:c r="C45" s="20" t="n">
        <x:f>'参数'!$B$5*24*B45/SUM($B$6:$B$104)</x:f>
        <x:v>12.476351539625348</x:v>
      </x:c>
      <x:c r="D45" s="19" t="n">
        <x:f>'参数'!$B$9*'参数'!$B$10^(A45-1)</x:f>
        <x:v>1900.2161895140257</x:v>
      </x:c>
      <x:c r="E45" s="19" t="n">
        <x:f>D45*'参数'!$B$11</x:f>
        <x:v>51305.83711687869</x:v>
      </x:c>
      <x:c r="F45" s="19" t="n">
        <x:f>ROUNDUP(E45*C45/24/'参数'!$B$6,0)</x:f>
        <x:v>5335</x:v>
      </x:c>
      <x:c r="G45" s="19" t="n">
        <x:f>F45*'参数'!$B$6</x:f>
        <x:v>26675</x:v>
      </x:c>
      <x:c r="H45" s="19" t="n">
        <x:f>O45+D45*P45</x:f>
        <x:v>51305.83711687869</x:v>
      </x:c>
      <x:c r="I45" s="20" t="n">
        <x:f>G45/H45*24</x:f>
        <x:v>12.478112354771145</x:v>
      </x:c>
      <x:c r="J45" s="20" t="n">
        <x:f>SUM($I$6:I45)/24</x:f>
        <x:v>8.027499540073618</x:v>
      </x:c>
      <x:c r="K45" s="19" t="n">
        <x:f>SUM($G$6:G45)</x:f>
        <x:v>310185</x:v>
      </x:c>
      <x:c r="L45" s="19" t="n">
        <x:f>IF(A45=20,1,IF(A45=40,2,IF(A45=60,3,IF(A45=80,5,0))))</x:f>
        <x:v>2</x:v>
      </x:c>
      <x:c r="M45" s="19" t="n">
        <x:f>L45*'参数'!$B$6</x:f>
        <x:v>10</x:v>
      </x:c>
      <x:c r="N45" s="19" t="n">
        <x:f>SUM($M$6:M45)</x:f>
        <x:v>15</x:v>
      </x:c>
      <x:c r="O45" s="32" t="n">
        <x:f>D45*('参数'!$B$12+'参数'!$B$13+'参数'!$B$14)</x:f>
        <x:v>51305.83711687869</x:v>
      </x:c>
      <x:c r="P45" s="32" t="n">
        <x:f>'参数'!$B$71</x:f>
        <x:v>0</x:v>
      </x:c>
      <x:c r="Q45" s="32" t="n">
        <x:f>'参数'!$B$72</x:f>
        <x:v>54</x:v>
      </x:c>
      <x:c r="R45" s="32" t="n">
        <x:f>O45+D45*Q45</x:f>
        <x:v>153917.51135063608</x:v>
      </x:c>
      <x:c r="S45" s="34" t="n">
        <x:f>G45/R45*24</x:f>
        <x:v>4.1593707849237145</x:v>
      </x:c>
      <x:c r="T45" s="34" t="n">
        <x:f>SUM($S$6:S45)/24</x:f>
        <x:v>2.6758331800245383</x:v>
      </x:c>
      <x:c r="U45" s="34" t="n">
        <x:f>G45/O45*24</x:f>
        <x:v>12.478112354771145</x:v>
      </x:c>
      <x:c r="V45" s="34" t="n">
        <x:f>SUM($U$6:U45)/24</x:f>
        <x:v>8.027499540073618</x:v>
      </x:c>
    </x:row>
    <x:row r="46" ht="22" customHeight="1">
      <x:c r="A46" s="18" t="n">
        <x:v>41</x:v>
      </x:c>
      <x:c r="B46" s="23" t="n">
        <x:f>'参数'!$B$8+(A46/100)^'参数'!$B$7</x:f>
        <x:v>0.2206506821851787</x:v>
      </x:c>
      <x:c r="C46" s="15" t="n">
        <x:f>'参数'!$B$5*24*B46/SUM($B$6:$B$104)</x:f>
        <x:v>13.008697114450982</x:v>
      </x:c>
      <x:c r="D46" s="18" t="n">
        <x:f>'参数'!$B$9*'参数'!$B$10^(A46-1)</x:f>
        <x:v>1957.2226751994467</x:v>
      </x:c>
      <x:c r="E46" s="18" t="n">
        <x:f>D46*'参数'!$B$11</x:f>
        <x:v>52845.01223038506</x:v>
      </x:c>
      <x:c r="F46" s="18" t="n">
        <x:f>ROUNDUP(E46*C46/24/'参数'!$B$6,0)</x:f>
        <x:v>5729</x:v>
      </x:c>
      <x:c r="G46" s="18" t="n">
        <x:f>F46*'参数'!$B$6</x:f>
        <x:v>28645</x:v>
      </x:c>
      <x:c r="H46" s="18" t="n">
        <x:f>O46+D46*P46</x:f>
        <x:v>52845.01223038506</x:v>
      </x:c>
      <x:c r="I46" s="15" t="n">
        <x:f>G46/H46*24</x:f>
        <x:v>13.009364005875085</x:v>
      </x:c>
      <x:c r="J46" s="15" t="n">
        <x:f>SUM($I$6:I46)/24</x:f>
        <x:v>8.569556373651748</x:v>
      </x:c>
      <x:c r="K46" s="18" t="n">
        <x:f>SUM($G$6:G46)</x:f>
        <x:v>338830</x:v>
      </x:c>
      <x:c r="L46" s="18" t="n">
        <x:f>IF(A46=20,1,IF(A46=40,2,IF(A46=60,3,IF(A46=80,5,0))))</x:f>
        <x:v>0</x:v>
      </x:c>
      <x:c r="M46" s="18" t="n">
        <x:f>L46*'参数'!$B$6</x:f>
        <x:v>0</x:v>
      </x:c>
      <x:c r="N46" s="18" t="n">
        <x:f>SUM($M$6:M46)</x:f>
        <x:v>15</x:v>
      </x:c>
      <x:c r="O46" s="31" t="n">
        <x:f>D46*('参数'!$B$12+'参数'!$B$13+'参数'!$B$14)</x:f>
        <x:v>52845.01223038506</x:v>
      </x:c>
      <x:c r="P46" s="31" t="n">
        <x:f>'参数'!$B$71</x:f>
        <x:v>0</x:v>
      </x:c>
      <x:c r="Q46" s="31" t="n">
        <x:f>'参数'!$B$72</x:f>
        <x:v>54</x:v>
      </x:c>
      <x:c r="R46" s="31" t="n">
        <x:f>O46+D46*Q46</x:f>
        <x:v>158535.03669115517</x:v>
      </x:c>
      <x:c r="S46" s="33" t="n">
        <x:f>G46/R46*24</x:f>
        <x:v>4.336454668625028</x:v>
      </x:c>
      <x:c r="T46" s="33" t="n">
        <x:f>SUM($S$6:S46)/24</x:f>
        <x:v>2.8565187912172476</x:v>
      </x:c>
      <x:c r="U46" s="33" t="n">
        <x:f>G46/O46*24</x:f>
        <x:v>13.009364005875085</x:v>
      </x:c>
      <x:c r="V46" s="33" t="n">
        <x:f>SUM($U$6:U46)/24</x:f>
        <x:v>8.569556373651748</x:v>
      </x:c>
    </x:row>
    <x:row r="47" ht="22" customHeight="1">
      <x:c r="A47" s="19" t="n">
        <x:v>42</x:v>
      </x:c>
      <x:c r="B47" s="24" t="n">
        <x:f>'参数'!$B$8+(A47/100)^'参数'!$B$7</x:f>
        <x:v>0.22983570802791736</x:v>
      </x:c>
      <x:c r="C47" s="20" t="n">
        <x:f>'参数'!$B$5*24*B47/SUM($B$6:$B$104)</x:f>
        <x:v>13.550210143068384</x:v>
      </x:c>
      <x:c r="D47" s="19" t="n">
        <x:f>'参数'!$B$9*'参数'!$B$10^(A47-1)</x:f>
        <x:v>2015.9393554554301</x:v>
      </x:c>
      <x:c r="E47" s="19" t="n">
        <x:f>D47*'参数'!$B$11</x:f>
        <x:v>54430.36259729661</x:v>
      </x:c>
      <x:c r="F47" s="19" t="n">
        <x:f>ROUNDUP(E47*C47/24/'参数'!$B$6,0)</x:f>
        <x:v>6147</x:v>
      </x:c>
      <x:c r="G47" s="19" t="n">
        <x:f>F47*'参数'!$B$6</x:f>
        <x:v>30735</x:v>
      </x:c>
      <x:c r="H47" s="19" t="n">
        <x:f>O47+D47*P47</x:f>
        <x:v>54430.36259729661</x:v>
      </x:c>
      <x:c r="I47" s="20" t="n">
        <x:f>G47/H47*24</x:f>
        <x:v>13.55199496754108</x:v>
      </x:c>
      <x:c r="J47" s="20" t="n">
        <x:f>SUM($I$6:I47)/24</x:f>
        <x:v>9.134222830632625</x:v>
      </x:c>
      <x:c r="K47" s="19" t="n">
        <x:f>SUM($G$6:G47)</x:f>
        <x:v>369565</x:v>
      </x:c>
      <x:c r="L47" s="19" t="n">
        <x:f>IF(A47=20,1,IF(A47=40,2,IF(A47=60,3,IF(A47=80,5,0))))</x:f>
        <x:v>0</x:v>
      </x:c>
      <x:c r="M47" s="19" t="n">
        <x:f>L47*'参数'!$B$6</x:f>
        <x:v>0</x:v>
      </x:c>
      <x:c r="N47" s="19" t="n">
        <x:f>SUM($M$6:M47)</x:f>
        <x:v>15</x:v>
      </x:c>
      <x:c r="O47" s="32" t="n">
        <x:f>D47*('参数'!$B$12+'参数'!$B$13+'参数'!$B$14)</x:f>
        <x:v>54430.36259729661</x:v>
      </x:c>
      <x:c r="P47" s="32" t="n">
        <x:f>'参数'!$B$71</x:f>
        <x:v>0</x:v>
      </x:c>
      <x:c r="Q47" s="32" t="n">
        <x:f>'参数'!$B$72</x:f>
        <x:v>54</x:v>
      </x:c>
      <x:c r="R47" s="32" t="n">
        <x:f>O47+D47*Q47</x:f>
        <x:v>163291.08779188985</x:v>
      </x:c>
      <x:c r="S47" s="34" t="n">
        <x:f>G47/R47*24</x:f>
        <x:v>4.517331655847027</x:v>
      </x:c>
      <x:c r="T47" s="34" t="n">
        <x:f>SUM($S$6:S47)/24</x:f>
        <x:v>3.044740943544207</x:v>
      </x:c>
      <x:c r="U47" s="34" t="n">
        <x:f>G47/O47*24</x:f>
        <x:v>13.55199496754108</x:v>
      </x:c>
      <x:c r="V47" s="34" t="n">
        <x:f>SUM($U$6:U47)/24</x:f>
        <x:v>9.134222830632625</x:v>
      </x:c>
    </x:row>
    <x:row r="48" ht="22" customHeight="1">
      <x:c r="A48" s="18" t="n">
        <x:v>43</x:v>
      </x:c>
      <x:c r="B48" s="23" t="n">
        <x:f>'参数'!$B$8+(A48/100)^'参数'!$B$7</x:f>
        <x:v>0.23917511001034147</x:v>
      </x:c>
      <x:c r="C48" s="15" t="n">
        <x:f>'参数'!$B$5*24*B48/SUM($B$6:$B$104)</x:f>
        <x:v>14.10082458221839</x:v>
      </x:c>
      <x:c r="D48" s="18" t="n">
        <x:f>'参数'!$B$9*'参数'!$B$10^(A48-1)</x:f>
        <x:v>2076.4175361190933</x:v>
      </x:c>
      <x:c r="E48" s="18" t="n">
        <x:f>D48*'参数'!$B$11</x:f>
        <x:v>56063.273475215516</x:v>
      </x:c>
      <x:c r="F48" s="18" t="n">
        <x:f>ROUNDUP(E48*C48/24/'参数'!$B$6,0)</x:f>
        <x:v>6588</x:v>
      </x:c>
      <x:c r="G48" s="18" t="n">
        <x:f>F48*'参数'!$B$6</x:f>
        <x:v>32940</x:v>
      </x:c>
      <x:c r="H48" s="18" t="n">
        <x:f>O48+D48*P48</x:f>
        <x:v>56063.273475215516</x:v>
      </x:c>
      <x:c r="I48" s="15" t="n">
        <x:f>G48/H48*24</x:f>
        <x:v>14.101210132681446</x:v>
      </x:c>
      <x:c r="J48" s="15" t="n">
        <x:f>SUM($I$6:I48)/24</x:f>
        <x:v>9.721773252827687</x:v>
      </x:c>
      <x:c r="K48" s="18" t="n">
        <x:f>SUM($G$6:G48)</x:f>
        <x:v>402505</x:v>
      </x:c>
      <x:c r="L48" s="18" t="n">
        <x:f>IF(A48=20,1,IF(A48=40,2,IF(A48=60,3,IF(A48=80,5,0))))</x:f>
        <x:v>0</x:v>
      </x:c>
      <x:c r="M48" s="18" t="n">
        <x:f>L48*'参数'!$B$6</x:f>
        <x:v>0</x:v>
      </x:c>
      <x:c r="N48" s="18" t="n">
        <x:f>SUM($M$6:M48)</x:f>
        <x:v>15</x:v>
      </x:c>
      <x:c r="O48" s="31" t="n">
        <x:f>D48*('参数'!$B$12+'参数'!$B$13+'参数'!$B$14)</x:f>
        <x:v>56063.273475215516</x:v>
      </x:c>
      <x:c r="P48" s="31" t="n">
        <x:f>'参数'!$B$71</x:f>
        <x:v>0</x:v>
      </x:c>
      <x:c r="Q48" s="31" t="n">
        <x:f>'参数'!$B$72</x:f>
        <x:v>54</x:v>
      </x:c>
      <x:c r="R48" s="31" t="n">
        <x:f>O48+D48*Q48</x:f>
        <x:v>168189.82042564655</x:v>
      </x:c>
      <x:c r="S48" s="33" t="n">
        <x:f>G48/R48*24</x:f>
        <x:v>4.700403377560482</x:v>
      </x:c>
      <x:c r="T48" s="33" t="n">
        <x:f>SUM($S$6:S48)/24</x:f>
        <x:v>3.2405910842758936</x:v>
      </x:c>
      <x:c r="U48" s="33" t="n">
        <x:f>G48/O48*24</x:f>
        <x:v>14.101210132681446</x:v>
      </x:c>
      <x:c r="V48" s="33" t="n">
        <x:f>SUM($U$6:U48)/24</x:f>
        <x:v>9.721773252827687</x:v>
      </x:c>
    </x:row>
    <x:row r="49" ht="22" customHeight="1">
      <x:c r="A49" s="19" t="n">
        <x:v>44</x:v>
      </x:c>
      <x:c r="B49" s="24" t="n">
        <x:f>'参数'!$B$8+(A49/100)^'参数'!$B$7</x:f>
        <x:v>0.24866780207574785</x:v>
      </x:c>
      <x:c r="C49" s="20" t="n">
        <x:f>'参数'!$B$5*24*B49/SUM($B$6:$B$104)</x:f>
        <x:v>14.660476402265735</x:v>
      </x:c>
      <x:c r="D49" s="19" t="n">
        <x:f>'参数'!$B$9*'参数'!$B$10^(A49-1)</x:f>
        <x:v>2138.710062202666</x:v>
      </x:c>
      <x:c r="E49" s="19" t="n">
        <x:f>D49*'参数'!$B$11</x:f>
        <x:v>57745.17167947198</x:v>
      </x:c>
      <x:c r="F49" s="19" t="n">
        <x:f>ROUNDUP(E49*C49/24/'参数'!$B$6,0)</x:f>
        <x:v>7055</x:v>
      </x:c>
      <x:c r="G49" s="19" t="n">
        <x:f>F49*'参数'!$B$6</x:f>
        <x:v>35275</x:v>
      </x:c>
      <x:c r="H49" s="19" t="n">
        <x:f>O49+D49*P49</x:f>
        <x:v>57745.17167947198</x:v>
      </x:c>
      <x:c r="I49" s="20" t="n">
        <x:f>G49/H49*24</x:f>
        <x:v>14.660966023259057</x:v>
      </x:c>
      <x:c r="J49" s="20" t="n">
        <x:f>SUM($I$6:I49)/24</x:f>
        <x:v>10.332646837130147</x:v>
      </x:c>
      <x:c r="K49" s="19" t="n">
        <x:f>SUM($G$6:G49)</x:f>
        <x:v>437780</x:v>
      </x:c>
      <x:c r="L49" s="19" t="n">
        <x:f>IF(A49=20,1,IF(A49=40,2,IF(A49=60,3,IF(A49=80,5,0))))</x:f>
        <x:v>0</x:v>
      </x:c>
      <x:c r="M49" s="19" t="n">
        <x:f>L49*'参数'!$B$6</x:f>
        <x:v>0</x:v>
      </x:c>
      <x:c r="N49" s="19" t="n">
        <x:f>SUM($M$6:M49)</x:f>
        <x:v>15</x:v>
      </x:c>
      <x:c r="O49" s="32" t="n">
        <x:f>D49*('参数'!$B$12+'参数'!$B$13+'参数'!$B$14)</x:f>
        <x:v>57745.17167947198</x:v>
      </x:c>
      <x:c r="P49" s="32" t="n">
        <x:f>'参数'!$B$71</x:f>
        <x:v>0</x:v>
      </x:c>
      <x:c r="Q49" s="32" t="n">
        <x:f>'参数'!$B$72</x:f>
        <x:v>54</x:v>
      </x:c>
      <x:c r="R49" s="32" t="n">
        <x:f>O49+D49*Q49</x:f>
        <x:v>173235.51503841596</x:v>
      </x:c>
      <x:c r="S49" s="34" t="n">
        <x:f>G49/R49*24</x:f>
        <x:v>4.886988674419686</x:v>
      </x:c>
      <x:c r="T49" s="34" t="n">
        <x:f>SUM($S$6:S49)/24</x:f>
        <x:v>3.444215612376714</x:v>
      </x:c>
      <x:c r="U49" s="34" t="n">
        <x:f>G49/O49*24</x:f>
        <x:v>14.660966023259057</x:v>
      </x:c>
      <x:c r="V49" s="34" t="n">
        <x:f>SUM($U$6:U49)/24</x:f>
        <x:v>10.332646837130147</x:v>
      </x:c>
    </x:row>
    <x:row r="50" ht="22" customHeight="1">
      <x:c r="A50" s="18" t="n">
        <x:v>45</x:v>
      </x:c>
      <x:c r="B50" s="23" t="n">
        <x:f>'参数'!$B$8+(A50/100)^'参数'!$B$7</x:f>
        <x:v>0.2583127305216894</x:v>
      </x:c>
      <x:c r="C50" s="15" t="n">
        <x:f>'参数'!$B$5*24*B50/SUM($B$6:$B$104)</x:f>
        <x:v>15.229103481054953</x:v>
      </x:c>
      <x:c r="D50" s="18" t="n">
        <x:f>'参数'!$B$9*'参数'!$B$10^(A50-1)</x:f>
        <x:v>2202.871364068746</x:v>
      </x:c>
      <x:c r="E50" s="18" t="n">
        <x:f>D50*'参数'!$B$11</x:f>
        <x:v>59477.52682985614</x:v>
      </x:c>
      <x:c r="F50" s="18" t="n">
        <x:f>ROUNDUP(E50*C50/24/'参数'!$B$6,0)</x:f>
        <x:v>7549</x:v>
      </x:c>
      <x:c r="G50" s="18" t="n">
        <x:f>F50*'参数'!$B$6</x:f>
        <x:v>37745</x:v>
      </x:c>
      <x:c r="H50" s="18" t="n">
        <x:f>O50+D50*P50</x:f>
        <x:v>59477.52682985614</x:v>
      </x:c>
      <x:c r="I50" s="15" t="n">
        <x:f>G50/H50*24</x:f>
        <x:v>15.230626562388808</x:v>
      </x:c>
      <x:c r="J50" s="15" t="n">
        <x:f>SUM($I$6:I50)/24</x:f>
        <x:v>10.96725627722968</x:v>
      </x:c>
      <x:c r="K50" s="18" t="n">
        <x:f>SUM($G$6:G50)</x:f>
        <x:v>475525</x:v>
      </x:c>
      <x:c r="L50" s="18" t="n">
        <x:f>IF(A50=20,1,IF(A50=40,2,IF(A50=60,3,IF(A50=80,5,0))))</x:f>
        <x:v>0</x:v>
      </x:c>
      <x:c r="M50" s="18" t="n">
        <x:f>L50*'参数'!$B$6</x:f>
        <x:v>0</x:v>
      </x:c>
      <x:c r="N50" s="18" t="n">
        <x:f>SUM($M$6:M50)</x:f>
        <x:v>15</x:v>
      </x:c>
      <x:c r="O50" s="31" t="n">
        <x:f>D50*('参数'!$B$12+'参数'!$B$13+'参数'!$B$14)</x:f>
        <x:v>59477.52682985614</x:v>
      </x:c>
      <x:c r="P50" s="31" t="n">
        <x:f>'参数'!$B$71</x:f>
        <x:v>0</x:v>
      </x:c>
      <x:c r="Q50" s="31" t="n">
        <x:f>'参数'!$B$72</x:f>
        <x:v>54</x:v>
      </x:c>
      <x:c r="R50" s="31" t="n">
        <x:f>O50+D50*Q50</x:f>
        <x:v>178432.5804895684</x:v>
      </x:c>
      <x:c r="S50" s="33" t="n">
        <x:f>G50/R50*24</x:f>
        <x:v>5.0768755207962695</x:v>
      </x:c>
      <x:c r="T50" s="33" t="n">
        <x:f>SUM($S$6:S50)/24</x:f>
        <x:v>3.6557520924098914</x:v>
      </x:c>
      <x:c r="U50" s="33" t="n">
        <x:f>G50/O50*24</x:f>
        <x:v>15.230626562388808</x:v>
      </x:c>
      <x:c r="V50" s="33" t="n">
        <x:f>SUM($U$6:U50)/24</x:f>
        <x:v>10.96725627722968</x:v>
      </x:c>
    </x:row>
    <x:row r="51" ht="22" customHeight="1">
      <x:c r="A51" s="19" t="n">
        <x:v>46</x:v>
      </x:c>
      <x:c r="B51" s="24" t="n">
        <x:f>'参数'!$B$8+(A51/100)^'参数'!$B$7</x:f>
        <x:v>0.2681088723327127</x:v>
      </x:c>
      <x:c r="C51" s="20" t="n">
        <x:f>'参数'!$B$5*24*B51/SUM($B$6:$B$104)</x:f>
        <x:v>15.806645505615124</x:v>
      </x:c>
      <x:c r="D51" s="19" t="n">
        <x:f>'参数'!$B$9*'参数'!$B$10^(A51-1)</x:f>
        <x:v>2268.957504990808</x:v>
      </x:c>
      <x:c r="E51" s="19" t="n">
        <x:f>D51*'参数'!$B$11</x:f>
        <x:v>61261.85263475182</x:v>
      </x:c>
      <x:c r="F51" s="19" t="n">
        <x:f>ROUNDUP(E51*C51/24/'参数'!$B$6,0)</x:f>
        <x:v>8070</x:v>
      </x:c>
      <x:c r="G51" s="19" t="n">
        <x:f>F51*'参数'!$B$6</x:f>
        <x:v>40350</x:v>
      </x:c>
      <x:c r="H51" s="19" t="n">
        <x:f>O51+D51*P51</x:f>
        <x:v>61261.85263475182</x:v>
      </x:c>
      <x:c r="I51" s="20" t="n">
        <x:f>G51/H51*24</x:f>
        <x:v>15.807553287258223</x:v>
      </x:c>
      <x:c r="J51" s="20" t="n">
        <x:f>SUM($I$6:I51)/24</x:f>
        <x:v>11.625904330865438</x:v>
      </x:c>
      <x:c r="K51" s="19" t="n">
        <x:f>SUM($G$6:G51)</x:f>
        <x:v>515875</x:v>
      </x:c>
      <x:c r="L51" s="19" t="n">
        <x:f>IF(A51=20,1,IF(A51=40,2,IF(A51=60,3,IF(A51=80,5,0))))</x:f>
        <x:v>0</x:v>
      </x:c>
      <x:c r="M51" s="19" t="n">
        <x:f>L51*'参数'!$B$6</x:f>
        <x:v>0</x:v>
      </x:c>
      <x:c r="N51" s="19" t="n">
        <x:f>SUM($M$6:M51)</x:f>
        <x:v>15</x:v>
      </x:c>
      <x:c r="O51" s="32" t="n">
        <x:f>D51*('参数'!$B$12+'参数'!$B$13+'参数'!$B$14)</x:f>
        <x:v>61261.85263475182</x:v>
      </x:c>
      <x:c r="P51" s="32" t="n">
        <x:f>'参数'!$B$71</x:f>
        <x:v>0</x:v>
      </x:c>
      <x:c r="Q51" s="32" t="n">
        <x:f>'参数'!$B$72</x:f>
        <x:v>54</x:v>
      </x:c>
      <x:c r="R51" s="32" t="n">
        <x:f>O51+D51*Q51</x:f>
        <x:v>183785.55790425546</x:v>
      </x:c>
      <x:c r="S51" s="34" t="n">
        <x:f>G51/R51*24</x:f>
        <x:v>5.269184429086074</x:v>
      </x:c>
      <x:c r="T51" s="34" t="n">
        <x:f>SUM($S$6:S51)/24</x:f>
        <x:v>3.8753014436218116</x:v>
      </x:c>
      <x:c r="U51" s="34" t="n">
        <x:f>G51/O51*24</x:f>
        <x:v>15.807553287258223</x:v>
      </x:c>
      <x:c r="V51" s="34" t="n">
        <x:f>SUM($U$6:U51)/24</x:f>
        <x:v>11.625904330865438</x:v>
      </x:c>
    </x:row>
    <x:row r="52" ht="22" customHeight="1">
      <x:c r="A52" s="18" t="n">
        <x:v>47</x:v>
      </x:c>
      <x:c r="B52" s="23" t="n">
        <x:f>'参数'!$B$8+(A52/100)^'参数'!$B$7</x:f>
        <x:v>0.27805523363367834</x:v>
      </x:c>
      <x:c r="C52" s="15" t="n">
        <x:f>'参数'!$B$5*24*B52/SUM($B$6:$B$104)</x:f>
        <x:v>16.39304388097374</x:v>
      </x:c>
      <x:c r="D52" s="18" t="n">
        <x:f>'参数'!$B$9*'参数'!$B$10^(A52-1)</x:f>
        <x:v>2337.026230140533</x:v>
      </x:c>
      <x:c r="E52" s="18" t="n">
        <x:f>D52*'参数'!$B$11</x:f>
        <x:v>63099.70821379439</x:v>
      </x:c>
      <x:c r="F52" s="18" t="n">
        <x:f>ROUNDUP(E52*C52/24/'参数'!$B$6,0)</x:f>
        <x:v>8620</x:v>
      </x:c>
      <x:c r="G52" s="18" t="n">
        <x:f>F52*'参数'!$B$6</x:f>
        <x:v>43100</x:v>
      </x:c>
      <x:c r="H52" s="18" t="n">
        <x:f>O52+D52*P52</x:f>
        <x:v>63099.70821379439</x:v>
      </x:c>
      <x:c r="I52" s="15" t="n">
        <x:f>G52/H52*24</x:f>
        <x:v>16.39310274613706</x:v>
      </x:c>
      <x:c r="J52" s="15" t="n">
        <x:f>SUM($I$6:I52)/24</x:f>
        <x:v>12.308950278621149</x:v>
      </x:c>
      <x:c r="K52" s="18" t="n">
        <x:f>SUM($G$6:G52)</x:f>
        <x:v>558975</x:v>
      </x:c>
      <x:c r="L52" s="18" t="n">
        <x:f>IF(A52=20,1,IF(A52=40,2,IF(A52=60,3,IF(A52=80,5,0))))</x:f>
        <x:v>0</x:v>
      </x:c>
      <x:c r="M52" s="18" t="n">
        <x:f>L52*'参数'!$B$6</x:f>
        <x:v>0</x:v>
      </x:c>
      <x:c r="N52" s="18" t="n">
        <x:f>SUM($M$6:M52)</x:f>
        <x:v>15</x:v>
      </x:c>
      <x:c r="O52" s="31" t="n">
        <x:f>D52*('参数'!$B$12+'参数'!$B$13+'参数'!$B$14)</x:f>
        <x:v>63099.70821379439</x:v>
      </x:c>
      <x:c r="P52" s="31" t="n">
        <x:f>'参数'!$B$71</x:f>
        <x:v>0</x:v>
      </x:c>
      <x:c r="Q52" s="31" t="n">
        <x:f>'参数'!$B$72</x:f>
        <x:v>54</x:v>
      </x:c>
      <x:c r="R52" s="31" t="n">
        <x:f>O52+D52*Q52</x:f>
        <x:v>189299.12464138315</x:v>
      </x:c>
      <x:c r="S52" s="33" t="n">
        <x:f>G52/R52*24</x:f>
        <x:v>5.4643675820456865</x:v>
      </x:c>
      <x:c r="T52" s="33" t="n">
        <x:f>SUM($S$6:S52)/24</x:f>
        <x:v>4.102983426207048</x:v>
      </x:c>
      <x:c r="U52" s="33" t="n">
        <x:f>G52/O52*24</x:f>
        <x:v>16.39310274613706</x:v>
      </x:c>
      <x:c r="V52" s="33" t="n">
        <x:f>SUM($U$6:U52)/24</x:f>
        <x:v>12.308950278621149</x:v>
      </x:c>
    </x:row>
    <x:row r="53" ht="22" customHeight="1">
      <x:c r="A53" s="19" t="n">
        <x:v>48</x:v>
      </x:c>
      <x:c r="B53" s="24" t="n">
        <x:f>'参数'!$B$8+(A53/100)^'参数'!$B$7</x:f>
        <x:v>0.28815084825254406</x:v>
      </x:c>
      <x:c r="C53" s="20" t="n">
        <x:f>'参数'!$B$5*24*B53/SUM($B$6:$B$104)</x:f>
        <x:v>16.98824164542402</x:v>
      </x:c>
      <x:c r="D53" s="19" t="n">
        <x:f>'参数'!$B$9*'参数'!$B$10^(A53-1)</x:f>
        <x:v>2407.1370170447485</x:v>
      </x:c>
      <x:c r="E53" s="19" t="n">
        <x:f>D53*'参数'!$B$11</x:f>
        <x:v>64992.69946020821</x:v>
      </x:c>
      <x:c r="F53" s="19" t="n">
        <x:f>ROUNDUP(E53*C53/24/'参数'!$B$6,0)</x:f>
        <x:v>9201</x:v>
      </x:c>
      <x:c r="G53" s="19" t="n">
        <x:f>F53*'参数'!$B$6</x:f>
        <x:v>46005</x:v>
      </x:c>
      <x:c r="H53" s="19" t="n">
        <x:f>O53+D53*P53</x:f>
        <x:v>64992.69946020821</x:v>
      </x:c>
      <x:c r="I53" s="20" t="n">
        <x:f>G53/H53*24</x:f>
        <x:v>16.988369604127577</x:v>
      </x:c>
      <x:c r="J53" s="20" t="n">
        <x:f>SUM($I$6:I53)/24</x:f>
        <x:v>13.016799012126464</x:v>
      </x:c>
      <x:c r="K53" s="19" t="n">
        <x:f>SUM($G$6:G53)</x:f>
        <x:v>604980</x:v>
      </x:c>
      <x:c r="L53" s="19" t="n">
        <x:f>IF(A53=20,1,IF(A53=40,2,IF(A53=60,3,IF(A53=80,5,0))))</x:f>
        <x:v>0</x:v>
      </x:c>
      <x:c r="M53" s="19" t="n">
        <x:f>L53*'参数'!$B$6</x:f>
        <x:v>0</x:v>
      </x:c>
      <x:c r="N53" s="19" t="n">
        <x:f>SUM($M$6:M53)</x:f>
        <x:v>15</x:v>
      </x:c>
      <x:c r="O53" s="32" t="n">
        <x:f>D53*('参数'!$B$12+'参数'!$B$13+'参数'!$B$14)</x:f>
        <x:v>64992.69946020821</x:v>
      </x:c>
      <x:c r="P53" s="32" t="n">
        <x:f>'参数'!$B$71</x:f>
        <x:v>0</x:v>
      </x:c>
      <x:c r="Q53" s="32" t="n">
        <x:f>'参数'!$B$72</x:f>
        <x:v>54</x:v>
      </x:c>
      <x:c r="R53" s="32" t="n">
        <x:f>O53+D53*Q53</x:f>
        <x:v>194978.09838062464</x:v>
      </x:c>
      <x:c r="S53" s="34" t="n">
        <x:f>G53/R53*24</x:f>
        <x:v>5.662789868042525</x:v>
      </x:c>
      <x:c r="T53" s="34" t="n">
        <x:f>SUM($S$6:S53)/24</x:f>
        <x:v>4.338933004042153</x:v>
      </x:c>
      <x:c r="U53" s="34" t="n">
        <x:f>G53/O53*24</x:f>
        <x:v>16.988369604127577</x:v>
      </x:c>
      <x:c r="V53" s="34" t="n">
        <x:f>SUM($U$6:U53)/24</x:f>
        <x:v>13.016799012126464</x:v>
      </x:c>
    </x:row>
    <x:row r="54" ht="22" customHeight="1">
      <x:c r="A54" s="18" t="n">
        <x:v>49</x:v>
      </x:c>
      <x:c r="B54" s="23" t="n">
        <x:f>'参数'!$B$8+(A54/100)^'参数'!$B$7</x:f>
        <x:v>0.2983947763827253</x:v>
      </x:c>
      <x:c r="C54" s="15" t="n">
        <x:f>'参数'!$B$5*24*B54/SUM($B$6:$B$104)</x:f>
        <x:v>17.59218339166297</x:v>
      </x:c>
      <x:c r="D54" s="18" t="n">
        <x:f>'参数'!$B$9*'参数'!$B$10^(A54-1)</x:f>
        <x:v>2479.3511275560913</x:v>
      </x:c>
      <x:c r="E54" s="18" t="n">
        <x:f>D54*'参数'!$B$11</x:f>
        <x:v>66942.48044401447</x:v>
      </x:c>
      <x:c r="F54" s="18" t="n">
        <x:f>ROUNDUP(E54*C54/24/'参数'!$B$6,0)</x:f>
        <x:v>9814</x:v>
      </x:c>
      <x:c r="G54" s="18" t="n">
        <x:f>F54*'参数'!$B$6</x:f>
        <x:v>49070</x:v>
      </x:c>
      <x:c r="H54" s="18" t="n">
        <x:f>O54+D54*P54</x:f>
        <x:v>66942.48044401447</x:v>
      </x:c>
      <x:c r="I54" s="15" t="n">
        <x:f>G54/H54*24</x:f>
        <x:v>17.59241653713326</x:v>
      </x:c>
      <x:c r="J54" s="15" t="n">
        <x:f>SUM($I$6:I54)/24</x:f>
        <x:v>13.749816367840351</x:v>
      </x:c>
      <x:c r="K54" s="18" t="n">
        <x:f>SUM($G$6:G54)</x:f>
        <x:v>654050</x:v>
      </x:c>
      <x:c r="L54" s="18" t="n">
        <x:f>IF(A54=20,1,IF(A54=40,2,IF(A54=60,3,IF(A54=80,5,0))))</x:f>
        <x:v>0</x:v>
      </x:c>
      <x:c r="M54" s="18" t="n">
        <x:f>L54*'参数'!$B$6</x:f>
        <x:v>0</x:v>
      </x:c>
      <x:c r="N54" s="18" t="n">
        <x:f>SUM($M$6:M54)</x:f>
        <x:v>15</x:v>
      </x:c>
      <x:c r="O54" s="31" t="n">
        <x:f>D54*('参数'!$B$12+'参数'!$B$13+'参数'!$B$14)</x:f>
        <x:v>66942.48044401447</x:v>
      </x:c>
      <x:c r="P54" s="31" t="n">
        <x:f>'参数'!$B$71</x:f>
        <x:v>0</x:v>
      </x:c>
      <x:c r="Q54" s="31" t="n">
        <x:f>'参数'!$B$72</x:f>
        <x:v>54</x:v>
      </x:c>
      <x:c r="R54" s="31" t="n">
        <x:f>O54+D54*Q54</x:f>
        <x:v>200827.44133204338</x:v>
      </x:c>
      <x:c r="S54" s="33" t="n">
        <x:f>G54/R54*24</x:f>
        <x:v>5.8641388457110875</x:v>
      </x:c>
      <x:c r="T54" s="33" t="n">
        <x:f>SUM($S$6:S54)/24</x:f>
        <x:v>4.583272122613448</x:v>
      </x:c>
      <x:c r="U54" s="33" t="n">
        <x:f>G54/O54*24</x:f>
        <x:v>17.59241653713326</x:v>
      </x:c>
      <x:c r="V54" s="33" t="n">
        <x:f>SUM($U$6:U54)/24</x:f>
        <x:v>13.749816367840351</x:v>
      </x:c>
    </x:row>
    <x:row r="55" ht="22" customHeight="1">
      <x:c r="A55" s="19" t="n">
        <x:v>50</x:v>
      </x:c>
      <x:c r="B55" s="24" t="n">
        <x:f>'参数'!$B$8+(A55/100)^'参数'!$B$7</x:f>
        <x:v>0.3087861033362291</x:v>
      </x:c>
      <x:c r="C55" s="20" t="n">
        <x:f>'参数'!$B$5*24*B55/SUM($B$6:$B$104)</x:f>
        <x:v>18.204815193281036</x:v>
      </x:c>
      <x:c r="D55" s="19" t="n">
        <x:f>'参数'!$B$9*'参数'!$B$10^(A55-1)</x:f>
        <x:v>2553.731661382774</x:v>
      </x:c>
      <x:c r="E55" s="19" t="n">
        <x:f>D55*'参数'!$B$11</x:f>
        <x:v>68950.75485733489</x:v>
      </x:c>
      <x:c r="F55" s="19" t="n">
        <x:f>ROUNDUP(E55*C55/24/'参数'!$B$6,0)</x:f>
        <x:v>10461</x:v>
      </x:c>
      <x:c r="G55" s="19" t="n">
        <x:f>F55*'参数'!$B$6</x:f>
        <x:v>52305</x:v>
      </x:c>
      <x:c r="H55" s="19" t="n">
        <x:f>O55+D55*P55</x:f>
        <x:v>68950.75485733489</x:v>
      </x:c>
      <x:c r="I55" s="20" t="n">
        <x:f>G55/H55*24</x:f>
        <x:v>18.206037085415037</x:v>
      </x:c>
      <x:c r="J55" s="20" t="n">
        <x:f>SUM($I$6:I55)/24</x:f>
        <x:v>14.50840124639931</x:v>
      </x:c>
      <x:c r="K55" s="19" t="n">
        <x:f>SUM($G$6:G55)</x:f>
        <x:v>706355</x:v>
      </x:c>
      <x:c r="L55" s="19" t="n">
        <x:f>IF(A55=20,1,IF(A55=40,2,IF(A55=60,3,IF(A55=80,5,0))))</x:f>
        <x:v>0</x:v>
      </x:c>
      <x:c r="M55" s="19" t="n">
        <x:f>L55*'参数'!$B$6</x:f>
        <x:v>0</x:v>
      </x:c>
      <x:c r="N55" s="19" t="n">
        <x:f>SUM($M$6:M55)</x:f>
        <x:v>15</x:v>
      </x:c>
      <x:c r="O55" s="32" t="n">
        <x:f>D55*('参数'!$B$12+'参数'!$B$13+'参数'!$B$14)</x:f>
        <x:v>68950.75485733489</x:v>
      </x:c>
      <x:c r="P55" s="32" t="n">
        <x:f>'参数'!$B$71</x:f>
        <x:v>0</x:v>
      </x:c>
      <x:c r="Q55" s="32" t="n">
        <x:f>'参数'!$B$72</x:f>
        <x:v>54</x:v>
      </x:c>
      <x:c r="R55" s="32" t="n">
        <x:f>O55+D55*Q55</x:f>
        <x:v>206852.26457200467</x:v>
      </x:c>
      <x:c r="S55" s="34" t="n">
        <x:f>G55/R55*24</x:f>
        <x:v>6.06867902847168</x:v>
      </x:c>
      <x:c r="T55" s="34" t="n">
        <x:f>SUM($S$6:S55)/24</x:f>
        <x:v>4.836133748799768</x:v>
      </x:c>
      <x:c r="U55" s="34" t="n">
        <x:f>G55/O55*24</x:f>
        <x:v>18.206037085415037</x:v>
      </x:c>
      <x:c r="V55" s="34" t="n">
        <x:f>SUM($U$6:U55)/24</x:f>
        <x:v>14.50840124639931</x:v>
      </x:c>
    </x:row>
    <x:row r="56" ht="22" customHeight="1">
      <x:c r="A56" s="18" t="n">
        <x:v>51</x:v>
      </x:c>
      <x:c r="B56" s="23" t="n">
        <x:f>'参数'!$B$8+(A56/100)^'参数'!$B$7</x:f>
        <x:v>0.31932393837969403</x:v>
      </x:c>
      <x:c r="C56" s="15" t="n">
        <x:f>'参数'!$B$5*24*B56/SUM($B$6:$B$104)</x:f>
        <x:v>18.82608453613961</x:v>
      </x:c>
      <x:c r="D56" s="18" t="n">
        <x:f>'参数'!$B$9*'参数'!$B$10^(A56-1)</x:f>
        <x:v>2630.3436112242575</x:v>
      </x:c>
      <x:c r="E56" s="18" t="n">
        <x:f>D56*'参数'!$B$11</x:f>
        <x:v>71019.27750305495</x:v>
      </x:c>
      <x:c r="F56" s="18" t="n">
        <x:f>ROUNDUP(E56*C56/24/'参数'!$B$6,0)</x:f>
        <x:v>11142</x:v>
      </x:c>
      <x:c r="G56" s="18" t="n">
        <x:f>F56*'参数'!$B$6</x:f>
        <x:v>55710</x:v>
      </x:c>
      <x:c r="H56" s="18" t="n">
        <x:f>O56+D56*P56</x:f>
        <x:v>71019.27750305495</x:v>
      </x:c>
      <x:c r="I56" s="15" t="n">
        <x:f>G56/H56*24</x:f>
        <x:v>18.826437651980985</x:v>
      </x:c>
      <x:c r="J56" s="15" t="n">
        <x:f>SUM($I$6:I56)/24</x:f>
        <x:v>15.292836148565186</x:v>
      </x:c>
      <x:c r="K56" s="18" t="n">
        <x:f>SUM($G$6:G56)</x:f>
        <x:v>762065</x:v>
      </x:c>
      <x:c r="L56" s="18" t="n">
        <x:f>IF(A56=20,1,IF(A56=40,2,IF(A56=60,3,IF(A56=80,5,0))))</x:f>
        <x:v>0</x:v>
      </x:c>
      <x:c r="M56" s="18" t="n">
        <x:f>L56*'参数'!$B$6</x:f>
        <x:v>0</x:v>
      </x:c>
      <x:c r="N56" s="18" t="n">
        <x:f>SUM($M$6:M56)</x:f>
        <x:v>15</x:v>
      </x:c>
      <x:c r="O56" s="31" t="n">
        <x:f>D56*('参数'!$B$12+'参数'!$B$13+'参数'!$B$14)</x:f>
        <x:v>71019.27750305495</x:v>
      </x:c>
      <x:c r="P56" s="31" t="n">
        <x:f>'参数'!$B$71</x:f>
        <x:v>0</x:v>
      </x:c>
      <x:c r="Q56" s="31" t="n">
        <x:f>'参数'!$B$72</x:f>
        <x:v>54</x:v>
      </x:c>
      <x:c r="R56" s="31" t="n">
        <x:f>O56+D56*Q56</x:f>
        <x:v>213057.83250916487</x:v>
      </x:c>
      <x:c r="S56" s="33" t="n">
        <x:f>G56/R56*24</x:f>
        <x:v>6.275479217326996</x:v>
      </x:c>
      <x:c r="T56" s="33" t="n">
        <x:f>SUM($S$6:S56)/24</x:f>
        <x:v>5.097612049521726</x:v>
      </x:c>
      <x:c r="U56" s="33" t="n">
        <x:f>G56/O56*24</x:f>
        <x:v>18.826437651980985</x:v>
      </x:c>
      <x:c r="V56" s="33" t="n">
        <x:f>SUM($U$6:U56)/24</x:f>
        <x:v>15.292836148565186</x:v>
      </x:c>
    </x:row>
    <x:row r="57" ht="22" customHeight="1">
      <x:c r="A57" s="19" t="n">
        <x:v>52</x:v>
      </x:c>
      <x:c r="B57" s="24" t="n">
        <x:f>'参数'!$B$8+(A57/100)^'参数'!$B$7</x:f>
        <x:v>0.33000741364629643</x:v>
      </x:c>
      <x:c r="C57" s="20" t="n">
        <x:f>'参数'!$B$5*24*B57/SUM($B$6:$B$104)</x:f>
        <x:v>19.455940254221296</x:v>
      </x:c>
      <x:c r="D57" s="19" t="n">
        <x:f>'参数'!$B$9*'参数'!$B$10^(A57-1)</x:f>
        <x:v>2709.253919560985</x:v>
      </x:c>
      <x:c r="E57" s="19" t="n">
        <x:f>D57*'参数'!$B$11</x:f>
        <x:v>73149.8558281466</x:v>
      </x:c>
      <x:c r="F57" s="19" t="n">
        <x:f>ROUNDUP(E57*C57/24/'参数'!$B$6,0)</x:f>
        <x:v>11860</x:v>
      </x:c>
      <x:c r="G57" s="19" t="n">
        <x:f>F57*'参数'!$B$6</x:f>
        <x:v>59300</x:v>
      </x:c>
      <x:c r="H57" s="19" t="n">
        <x:f>O57+D57*P57</x:f>
        <x:v>73149.8558281466</x:v>
      </x:c>
      <x:c r="I57" s="20" t="n">
        <x:f>G57/H57*24</x:f>
        <x:v>19.455950854415505</x:v>
      </x:c>
      <x:c r="J57" s="20" t="n">
        <x:f>SUM($I$6:I57)/24</x:f>
        <x:v>16.103500767499167</x:v>
      </x:c>
      <x:c r="K57" s="19" t="n">
        <x:f>SUM($G$6:G57)</x:f>
        <x:v>821365</x:v>
      </x:c>
      <x:c r="L57" s="19" t="n">
        <x:f>IF(A57=20,1,IF(A57=40,2,IF(A57=60,3,IF(A57=80,5,0))))</x:f>
        <x:v>0</x:v>
      </x:c>
      <x:c r="M57" s="19" t="n">
        <x:f>L57*'参数'!$B$6</x:f>
        <x:v>0</x:v>
      </x:c>
      <x:c r="N57" s="19" t="n">
        <x:f>SUM($M$6:M57)</x:f>
        <x:v>15</x:v>
      </x:c>
      <x:c r="O57" s="32" t="n">
        <x:f>D57*('参数'!$B$12+'参数'!$B$13+'参数'!$B$14)</x:f>
        <x:v>73149.8558281466</x:v>
      </x:c>
      <x:c r="P57" s="32" t="n">
        <x:f>'参数'!$B$71</x:f>
        <x:v>0</x:v>
      </x:c>
      <x:c r="Q57" s="32" t="n">
        <x:f>'参数'!$B$72</x:f>
        <x:v>54</x:v>
      </x:c>
      <x:c r="R57" s="32" t="n">
        <x:f>O57+D57*Q57</x:f>
        <x:v>219449.5674844398</x:v>
      </x:c>
      <x:c r="S57" s="34" t="n">
        <x:f>G57/R57*24</x:f>
        <x:v>6.485316951471836</x:v>
      </x:c>
      <x:c r="T57" s="34" t="n">
        <x:f>SUM($S$6:S57)/24</x:f>
        <x:v>5.367833589166387</x:v>
      </x:c>
      <x:c r="U57" s="34" t="n">
        <x:f>G57/O57*24</x:f>
        <x:v>19.455950854415505</x:v>
      </x:c>
      <x:c r="V57" s="34" t="n">
        <x:f>SUM($U$6:U57)/24</x:f>
        <x:v>16.103500767499167</x:v>
      </x:c>
    </x:row>
    <x:row r="58" ht="22" customHeight="1">
      <x:c r="A58" s="18" t="n">
        <x:v>53</x:v>
      </x:c>
      <x:c r="B58" s="23" t="n">
        <x:f>'参数'!$B$8+(A58/100)^'参数'!$B$7</x:f>
        <x:v>0.3408356831172015</x:v>
      </x:c>
      <x:c r="C58" s="15" t="n">
        <x:f>'参数'!$B$5*24*B58/SUM($B$6:$B$104)</x:f>
        <x:v>20.094332469580248</x:v>
      </x:c>
      <x:c r="D58" s="18" t="n">
        <x:f>'参数'!$B$9*'参数'!$B$10^(A58-1)</x:f>
        <x:v>2790.5315371478146</x:v>
      </x:c>
      <x:c r="E58" s="18" t="n">
        <x:f>D58*'参数'!$B$11</x:f>
        <x:v>75344.35150299099</x:v>
      </x:c>
      <x:c r="F58" s="18" t="n">
        <x:f>ROUNDUP(E58*C58/24/'参数'!$B$6,0)</x:f>
        <x:v>12617</x:v>
      </x:c>
      <x:c r="G58" s="18" t="n">
        <x:f>F58*'参数'!$B$6</x:f>
        <x:v>63085</x:v>
      </x:c>
      <x:c r="H58" s="18" t="n">
        <x:f>O58+D58*P58</x:f>
        <x:v>75344.35150299099</x:v>
      </x:c>
      <x:c r="I58" s="15" t="n">
        <x:f>G58/H58*24</x:f>
        <x:v>20.09493704302301</x:v>
      </x:c>
      <x:c r="J58" s="15" t="n">
        <x:f>SUM($I$6:I58)/24</x:f>
        <x:v>16.94078981095846</x:v>
      </x:c>
      <x:c r="K58" s="18" t="n">
        <x:f>SUM($G$6:G58)</x:f>
        <x:v>884450</x:v>
      </x:c>
      <x:c r="L58" s="18" t="n">
        <x:f>IF(A58=20,1,IF(A58=40,2,IF(A58=60,3,IF(A58=80,5,0))))</x:f>
        <x:v>0</x:v>
      </x:c>
      <x:c r="M58" s="18" t="n">
        <x:f>L58*'参数'!$B$6</x:f>
        <x:v>0</x:v>
      </x:c>
      <x:c r="N58" s="18" t="n">
        <x:f>SUM($M$6:M58)</x:f>
        <x:v>15</x:v>
      </x:c>
      <x:c r="O58" s="31" t="n">
        <x:f>D58*('参数'!$B$12+'参数'!$B$13+'参数'!$B$14)</x:f>
        <x:v>75344.35150299099</x:v>
      </x:c>
      <x:c r="P58" s="31" t="n">
        <x:f>'参数'!$B$71</x:f>
        <x:v>0</x:v>
      </x:c>
      <x:c r="Q58" s="31" t="n">
        <x:f>'参数'!$B$72</x:f>
        <x:v>54</x:v>
      </x:c>
      <x:c r="R58" s="31" t="n">
        <x:f>O58+D58*Q58</x:f>
        <x:v>226033.05450897297</x:v>
      </x:c>
      <x:c r="S58" s="33" t="n">
        <x:f>G58/R58*24</x:f>
        <x:v>6.698312347674336</x:v>
      </x:c>
      <x:c r="T58" s="33" t="n">
        <x:f>SUM($S$6:S58)/24</x:f>
        <x:v>5.646929936986151</x:v>
      </x:c>
      <x:c r="U58" s="33" t="n">
        <x:f>G58/O58*24</x:f>
        <x:v>20.09493704302301</x:v>
      </x:c>
      <x:c r="V58" s="33" t="n">
        <x:f>SUM($U$6:U58)/24</x:f>
        <x:v>16.94078981095846</x:v>
      </x:c>
    </x:row>
    <x:row r="59" ht="22" customHeight="1">
      <x:c r="A59" s="19" t="n">
        <x:v>54</x:v>
      </x:c>
      <x:c r="B59" s="24" t="n">
        <x:f>'参数'!$B$8+(A59/100)^'参数'!$B$7</x:f>
        <x:v>0.3518079216668791</x:v>
      </x:c>
      <x:c r="C59" s="20" t="n">
        <x:f>'参数'!$B$5*24*B59/SUM($B$6:$B$104)</x:f>
        <x:v>20.741212536057766</x:v>
      </x:c>
      <x:c r="D59" s="19" t="n">
        <x:f>'参数'!$B$9*'参数'!$B$10^(A59-1)</x:f>
        <x:v>2874.2474832622493</x:v>
      </x:c>
      <x:c r="E59" s="19" t="n">
        <x:f>D59*'参数'!$B$11</x:f>
        <x:v>77604.68204808074</x:v>
      </x:c>
      <x:c r="F59" s="19" t="n">
        <x:f>ROUNDUP(E59*C59/24/'参数'!$B$6,0)</x:f>
        <x:v>13414</x:v>
      </x:c>
      <x:c r="G59" s="19" t="n">
        <x:f>F59*'参数'!$B$6</x:f>
        <x:v>67070</x:v>
      </x:c>
      <x:c r="H59" s="19" t="n">
        <x:f>O59+D59*P59</x:f>
        <x:v>77604.68204808074</x:v>
      </x:c>
      <x:c r="I59" s="20" t="n">
        <x:f>G59/H59*24</x:f>
        <x:v>20.742047483716345</x:v>
      </x:c>
      <x:c r="J59" s="20" t="n">
        <x:f>SUM($I$6:I59)/24</x:f>
        <x:v>17.80504178944664</x:v>
      </x:c>
      <x:c r="K59" s="19" t="n">
        <x:f>SUM($G$6:G59)</x:f>
        <x:v>951520</x:v>
      </x:c>
      <x:c r="L59" s="19" t="n">
        <x:f>IF(A59=20,1,IF(A59=40,2,IF(A59=60,3,IF(A59=80,5,0))))</x:f>
        <x:v>0</x:v>
      </x:c>
      <x:c r="M59" s="19" t="n">
        <x:f>L59*'参数'!$B$6</x:f>
        <x:v>0</x:v>
      </x:c>
      <x:c r="N59" s="19" t="n">
        <x:f>SUM($M$6:M59)</x:f>
        <x:v>15</x:v>
      </x:c>
      <x:c r="O59" s="32" t="n">
        <x:f>D59*('参数'!$B$12+'参数'!$B$13+'参数'!$B$14)</x:f>
        <x:v>77604.68204808074</x:v>
      </x:c>
      <x:c r="P59" s="32" t="n">
        <x:f>'参数'!$B$71</x:f>
        <x:v>0</x:v>
      </x:c>
      <x:c r="Q59" s="32" t="n">
        <x:f>'参数'!$B$72</x:f>
        <x:v>54</x:v>
      </x:c>
      <x:c r="R59" s="32" t="n">
        <x:f>O59+D59*Q59</x:f>
        <x:v>232814.04614424222</x:v>
      </x:c>
      <x:c r="S59" s="34" t="n">
        <x:f>G59/R59*24</x:f>
        <x:v>6.914015827905448</x:v>
      </x:c>
      <x:c r="T59" s="34" t="n">
        <x:f>SUM($S$6:S59)/24</x:f>
        <x:v>5.935013929815544</x:v>
      </x:c>
      <x:c r="U59" s="34" t="n">
        <x:f>G59/O59*24</x:f>
        <x:v>20.742047483716345</x:v>
      </x:c>
      <x:c r="V59" s="34" t="n">
        <x:f>SUM($U$6:U59)/24</x:f>
        <x:v>17.80504178944664</x:v>
      </x:c>
    </x:row>
    <x:row r="60" ht="22" customHeight="1">
      <x:c r="A60" s="18" t="n">
        <x:v>55</x:v>
      </x:c>
      <x:c r="B60" s="23" t="n">
        <x:f>'参数'!$B$8+(A60/100)^'参数'!$B$7</x:f>
        <x:v>0.36292332416716155</x:v>
      </x:c>
      <x:c r="C60" s="15" t="n">
        <x:f>'参数'!$B$5*24*B60/SUM($B$6:$B$104)</x:f>
        <x:v>21.396532986461064</x:v>
      </x:c>
      <x:c r="D60" s="18" t="n">
        <x:f>'参数'!$B$9*'参数'!$B$10^(A60-1)</x:f>
        <x:v>2960.474907760117</x:v>
      </x:c>
      <x:c r="E60" s="18" t="n">
        <x:f>D60*'参数'!$B$11</x:f>
        <x:v>79932.82250952316</x:v>
      </x:c>
      <x:c r="F60" s="18" t="n">
        <x:f>ROUNDUP(E60*C60/24/'参数'!$B$6,0)</x:f>
        <x:v>14253</x:v>
      </x:c>
      <x:c r="G60" s="18" t="n">
        <x:f>F60*'参数'!$B$6</x:f>
        <x:v>71265</x:v>
      </x:c>
      <x:c r="H60" s="18" t="n">
        <x:f>O60+D60*P60</x:f>
        <x:v>79932.82250952316</x:v>
      </x:c>
      <x:c r="I60" s="15" t="n">
        <x:f>G60/H60*24</x:f>
        <x:v>21.397467852411047</x:v>
      </x:c>
      <x:c r="J60" s="15" t="n">
        <x:f>SUM($I$6:I60)/24</x:f>
        <x:v>18.69660294996377</x:v>
      </x:c>
      <x:c r="K60" s="18" t="n">
        <x:f>SUM($G$6:G60)</x:f>
        <x:v>1022785</x:v>
      </x:c>
      <x:c r="L60" s="18" t="n">
        <x:f>IF(A60=20,1,IF(A60=40,2,IF(A60=60,3,IF(A60=80,5,0))))</x:f>
        <x:v>0</x:v>
      </x:c>
      <x:c r="M60" s="18" t="n">
        <x:f>L60*'参数'!$B$6</x:f>
        <x:v>0</x:v>
      </x:c>
      <x:c r="N60" s="18" t="n">
        <x:f>SUM($M$6:M60)</x:f>
        <x:v>15</x:v>
      </x:c>
      <x:c r="O60" s="31" t="n">
        <x:f>D60*('参数'!$B$12+'参数'!$B$13+'参数'!$B$14)</x:f>
        <x:v>79932.82250952316</x:v>
      </x:c>
      <x:c r="P60" s="31" t="n">
        <x:f>'参数'!$B$71</x:f>
        <x:v>0</x:v>
      </x:c>
      <x:c r="Q60" s="31" t="n">
        <x:f>'参数'!$B$72</x:f>
        <x:v>54</x:v>
      </x:c>
      <x:c r="R60" s="31" t="n">
        <x:f>O60+D60*Q60</x:f>
        <x:v>239798.46752856948</x:v>
      </x:c>
      <x:c r="S60" s="33" t="n">
        <x:f>G60/R60*24</x:f>
        <x:v>7.132489284137016</x:v>
      </x:c>
      <x:c r="T60" s="33" t="n">
        <x:f>SUM($S$6:S60)/24</x:f>
        <x:v>6.2322009833212535</x:v>
      </x:c>
      <x:c r="U60" s="33" t="n">
        <x:f>G60/O60*24</x:f>
        <x:v>21.397467852411047</x:v>
      </x:c>
      <x:c r="V60" s="33" t="n">
        <x:f>SUM($U$6:U60)/24</x:f>
        <x:v>18.69660294996377</x:v>
      </x:c>
    </x:row>
    <x:row r="61" ht="22" customHeight="1">
      <x:c r="A61" s="19" t="n">
        <x:v>56</x:v>
      </x:c>
      <x:c r="B61" s="24" t="n">
        <x:f>'参数'!$B$8+(A61/100)^'参数'!$B$7</x:f>
        <x:v>0.37418110464542104</x:v>
      </x:c>
      <x:c r="C61" s="20" t="n">
        <x:f>'参数'!$B$5*24*B61/SUM($B$6:$B$104)</x:f>
        <x:v>22.06024748293269</x:v>
      </x:c>
      <x:c r="D61" s="19" t="n">
        <x:f>'参数'!$B$9*'参数'!$B$10^(A61-1)</x:f>
        <x:v>3049.2891549929204</x:v>
      </x:c>
      <x:c r="E61" s="19" t="n">
        <x:f>D61*'参数'!$B$11</x:f>
        <x:v>82330.80718480886</x:v>
      </x:c>
      <x:c r="F61" s="19" t="n">
        <x:f>ROUNDUP(E61*C61/24/'参数'!$B$6,0)</x:f>
        <x:v>15136</x:v>
      </x:c>
      <x:c r="G61" s="19" t="n">
        <x:f>F61*'参数'!$B$6</x:f>
        <x:v>75680</x:v>
      </x:c>
      <x:c r="H61" s="19" t="n">
        <x:f>O61+D61*P61</x:f>
        <x:v>82330.80718480886</x:v>
      </x:c>
      <x:c r="I61" s="20" t="n">
        <x:f>G61/H61*24</x:f>
        <x:v>22.06124368394551</x:v>
      </x:c>
      <x:c r="J61" s="20" t="n">
        <x:f>SUM($I$6:I61)/24</x:f>
        <x:v>19.615821436794832</x:v>
      </x:c>
      <x:c r="K61" s="19" t="n">
        <x:f>SUM($G$6:G61)</x:f>
        <x:v>1098465</x:v>
      </x:c>
      <x:c r="L61" s="19" t="n">
        <x:f>IF(A61=20,1,IF(A61=40,2,IF(A61=60,3,IF(A61=80,5,0))))</x:f>
        <x:v>0</x:v>
      </x:c>
      <x:c r="M61" s="19" t="n">
        <x:f>L61*'参数'!$B$6</x:f>
        <x:v>0</x:v>
      </x:c>
      <x:c r="N61" s="19" t="n">
        <x:f>SUM($M$6:M61)</x:f>
        <x:v>15</x:v>
      </x:c>
      <x:c r="O61" s="32" t="n">
        <x:f>D61*('参数'!$B$12+'参数'!$B$13+'参数'!$B$14)</x:f>
        <x:v>82330.80718480886</x:v>
      </x:c>
      <x:c r="P61" s="32" t="n">
        <x:f>'参数'!$B$71</x:f>
        <x:v>0</x:v>
      </x:c>
      <x:c r="Q61" s="32" t="n">
        <x:f>'参数'!$B$72</x:f>
        <x:v>54</x:v>
      </x:c>
      <x:c r="R61" s="32" t="n">
        <x:f>O61+D61*Q61</x:f>
        <x:v>246992.42155442658</x:v>
      </x:c>
      <x:c r="S61" s="34" t="n">
        <x:f>G61/R61*24</x:f>
        <x:v>7.353747894648503</x:v>
      </x:c>
      <x:c r="T61" s="34" t="n">
        <x:f>SUM($S$6:S61)/24</x:f>
        <x:v>6.538607145598275</x:v>
      </x:c>
      <x:c r="U61" s="34" t="n">
        <x:f>G61/O61*24</x:f>
        <x:v>22.06124368394551</x:v>
      </x:c>
      <x:c r="V61" s="34" t="n">
        <x:f>SUM($U$6:U61)/24</x:f>
        <x:v>19.615821436794832</x:v>
      </x:c>
    </x:row>
    <x:row r="62" ht="22" customHeight="1">
      <x:c r="A62" s="18" t="n">
        <x:v>57</x:v>
      </x:c>
      <x:c r="B62" s="23" t="n">
        <x:f>'参数'!$B$8+(A62/100)^'参数'!$B$7</x:f>
        <x:v>0.3855804954926819</x:v>
      </x:c>
      <x:c r="C62" s="15" t="n">
        <x:f>'参数'!$B$5*24*B62/SUM($B$6:$B$104)</x:f>
        <x:v>22.73231077026397</x:v>
      </x:c>
      <x:c r="D62" s="18" t="n">
        <x:f>'参数'!$B$9*'参数'!$B$10^(A62-1)</x:f>
        <x:v>3140.7678296427084</x:v>
      </x:c>
      <x:c r="E62" s="18" t="n">
        <x:f>D62*'参数'!$B$11</x:f>
        <x:v>84800.73140035312</x:v>
      </x:c>
      <x:c r="F62" s="18" t="n">
        <x:f>ROUNDUP(E62*C62/24/'参数'!$B$6,0)</x:f>
        <x:v>16065</x:v>
      </x:c>
      <x:c r="G62" s="18" t="n">
        <x:f>F62*'参数'!$B$6</x:f>
        <x:v>80325</x:v>
      </x:c>
      <x:c r="H62" s="18" t="n">
        <x:f>O62+D62*P62</x:f>
        <x:v>84800.73140035312</x:v>
      </x:c>
      <x:c r="I62" s="15" t="n">
        <x:f>G62/H62*24</x:f>
        <x:v>22.733294491278084</x:v>
      </x:c>
      <x:c r="J62" s="15" t="n">
        <x:f>SUM($I$6:I62)/24</x:f>
        <x:v>20.563042040598084</x:v>
      </x:c>
      <x:c r="K62" s="18" t="n">
        <x:f>SUM($G$6:G62)</x:f>
        <x:v>1178790</x:v>
      </x:c>
      <x:c r="L62" s="18" t="n">
        <x:f>IF(A62=20,1,IF(A62=40,2,IF(A62=60,3,IF(A62=80,5,0))))</x:f>
        <x:v>0</x:v>
      </x:c>
      <x:c r="M62" s="18" t="n">
        <x:f>L62*'参数'!$B$6</x:f>
        <x:v>0</x:v>
      </x:c>
      <x:c r="N62" s="18" t="n">
        <x:f>SUM($M$6:M62)</x:f>
        <x:v>15</x:v>
      </x:c>
      <x:c r="O62" s="31" t="n">
        <x:f>D62*('参数'!$B$12+'参数'!$B$13+'参数'!$B$14)</x:f>
        <x:v>84800.73140035312</x:v>
      </x:c>
      <x:c r="P62" s="31" t="n">
        <x:f>'参数'!$B$71</x:f>
        <x:v>0</x:v>
      </x:c>
      <x:c r="Q62" s="31" t="n">
        <x:f>'参数'!$B$72</x:f>
        <x:v>54</x:v>
      </x:c>
      <x:c r="R62" s="31" t="n">
        <x:f>O62+D62*Q62</x:f>
        <x:v>254402.19420105935</x:v>
      </x:c>
      <x:c r="S62" s="33" t="n">
        <x:f>G62/R62*24</x:f>
        <x:v>7.577764830426028</x:v>
      </x:c>
      <x:c r="T62" s="33" t="n">
        <x:f>SUM($S$6:S62)/24</x:f>
        <x:v>6.854347346866025</x:v>
      </x:c>
      <x:c r="U62" s="33" t="n">
        <x:f>G62/O62*24</x:f>
        <x:v>22.733294491278084</x:v>
      </x:c>
      <x:c r="V62" s="33" t="n">
        <x:f>SUM($U$6:U62)/24</x:f>
        <x:v>20.563042040598084</x:v>
      </x:c>
    </x:row>
    <x:row r="63" ht="22" customHeight="1">
      <x:c r="A63" s="19" t="n">
        <x:v>58</x:v>
      </x:c>
      <x:c r="B63" s="24" t="n">
        <x:f>'参数'!$B$8+(A63/100)^'参数'!$B$7</x:f>
        <x:v>0.39712074671787745</x:v>
      </x:c>
      <x:c r="C63" s="20" t="n">
        <x:f>'参数'!$B$5*24*B63/SUM($B$6:$B$104)</x:f>
        <x:v>23.412678631928916</x:v>
      </x:c>
      <x:c r="D63" s="19" t="n">
        <x:f>'参数'!$B$9*'参数'!$B$10^(A63-1)</x:f>
        <x:v>3234.9908645319897</x:v>
      </x:c>
      <x:c r="E63" s="19" t="n">
        <x:f>D63*'参数'!$B$11</x:f>
        <x:v>87344.75334236372</x:v>
      </x:c>
      <x:c r="F63" s="19" t="n">
        <x:f>ROUNDUP(E63*C63/24/'参数'!$B$6,0)</x:f>
        <x:v>17042</x:v>
      </x:c>
      <x:c r="G63" s="19" t="n">
        <x:f>F63*'参数'!$B$6</x:f>
        <x:v>85210</x:v>
      </x:c>
      <x:c r="H63" s="19" t="n">
        <x:f>O63+D63*P63</x:f>
        <x:v>87344.75334236372</x:v>
      </x:c>
      <x:c r="I63" s="20" t="n">
        <x:f>G63/H63*24</x:f>
        <x:v>23.413426928851603</x:v>
      </x:c>
      <x:c r="J63" s="20" t="n">
        <x:f>SUM($I$6:I63)/24</x:f>
        <x:v>21.5386014959669</x:v>
      </x:c>
      <x:c r="K63" s="19" t="n">
        <x:f>SUM($G$6:G63)</x:f>
        <x:v>1264000</x:v>
      </x:c>
      <x:c r="L63" s="19" t="n">
        <x:f>IF(A63=20,1,IF(A63=40,2,IF(A63=60,3,IF(A63=80,5,0))))</x:f>
        <x:v>0</x:v>
      </x:c>
      <x:c r="M63" s="19" t="n">
        <x:f>L63*'参数'!$B$6</x:f>
        <x:v>0</x:v>
      </x:c>
      <x:c r="N63" s="19" t="n">
        <x:f>SUM($M$6:M63)</x:f>
        <x:v>15</x:v>
      </x:c>
      <x:c r="O63" s="32" t="n">
        <x:f>D63*('参数'!$B$12+'参数'!$B$13+'参数'!$B$14)</x:f>
        <x:v>87344.75334236372</x:v>
      </x:c>
      <x:c r="P63" s="32" t="n">
        <x:f>'参数'!$B$71</x:f>
        <x:v>0</x:v>
      </x:c>
      <x:c r="Q63" s="32" t="n">
        <x:f>'参数'!$B$72</x:f>
        <x:v>54</x:v>
      </x:c>
      <x:c r="R63" s="32" t="n">
        <x:f>O63+D63*Q63</x:f>
        <x:v>262034.26002709116</x:v>
      </x:c>
      <x:c r="S63" s="34" t="n">
        <x:f>G63/R63*24</x:f>
        <x:v>7.8044756429505355</x:v>
      </x:c>
      <x:c r="T63" s="34" t="n">
        <x:f>SUM($S$6:S63)/24</x:f>
        <x:v>7.179533831988965</x:v>
      </x:c>
      <x:c r="U63" s="34" t="n">
        <x:f>G63/O63*24</x:f>
        <x:v>23.413426928851603</x:v>
      </x:c>
      <x:c r="V63" s="34" t="n">
        <x:f>SUM($U$6:U63)/24</x:f>
        <x:v>21.5386014959669</x:v>
      </x:c>
    </x:row>
    <x:row r="64" ht="22" customHeight="1">
      <x:c r="A64" s="18" t="n">
        <x:v>59</x:v>
      </x:c>
      <x:c r="B64" s="23" t="n">
        <x:f>'参数'!$B$8+(A64/100)^'参数'!$B$7</x:f>
        <x:v>0.40880112524480605</x:v>
      </x:c>
      <x:c r="C64" s="15" t="n">
        <x:f>'参数'!$B$5*24*B64/SUM($B$6:$B$104)</x:f>
        <x:v>24.10130784863549</x:v>
      </x:c>
      <x:c r="D64" s="18" t="n">
        <x:f>'参数'!$B$9*'参数'!$B$10^(A64-1)</x:f>
        <x:v>3332.040590467949</x:v>
      </x:c>
      <x:c r="E64" s="18" t="n">
        <x:f>D64*'参数'!$B$11</x:f>
        <x:v>89965.09594263462</x:v>
      </x:c>
      <x:c r="F64" s="18" t="n">
        <x:f>ROUNDUP(E64*C64/24/'参数'!$B$6,0)</x:f>
        <x:v>18069</x:v>
      </x:c>
      <x:c r="G64" s="18" t="n">
        <x:f>F64*'参数'!$B$6</x:f>
        <x:v>90345</x:v>
      </x:c>
      <x:c r="H64" s="18" t="n">
        <x:f>O64+D64*P64</x:f>
        <x:v>89965.09594263462</x:v>
      </x:c>
      <x:c r="I64" s="15" t="n">
        <x:f>G64/H64*24</x:f>
        <x:v>24.101347053334806</x:v>
      </x:c>
      <x:c r="J64" s="15" t="n">
        <x:f>SUM($I$6:I64)/24</x:f>
        <x:v>22.542824289855854</x:v>
      </x:c>
      <x:c r="K64" s="18" t="n">
        <x:f>SUM($G$6:G64)</x:f>
        <x:v>1354345</x:v>
      </x:c>
      <x:c r="L64" s="18" t="n">
        <x:f>IF(A64=20,1,IF(A64=40,2,IF(A64=60,3,IF(A64=80,5,0))))</x:f>
        <x:v>0</x:v>
      </x:c>
      <x:c r="M64" s="18" t="n">
        <x:f>L64*'参数'!$B$6</x:f>
        <x:v>0</x:v>
      </x:c>
      <x:c r="N64" s="18" t="n">
        <x:f>SUM($M$6:M64)</x:f>
        <x:v>15</x:v>
      </x:c>
      <x:c r="O64" s="31" t="n">
        <x:f>D64*('参数'!$B$12+'参数'!$B$13+'参数'!$B$14)</x:f>
        <x:v>89965.09594263462</x:v>
      </x:c>
      <x:c r="P64" s="31" t="n">
        <x:f>'参数'!$B$71</x:f>
        <x:v>0</x:v>
      </x:c>
      <x:c r="Q64" s="31" t="n">
        <x:f>'参数'!$B$72</x:f>
        <x:v>54</x:v>
      </x:c>
      <x:c r="R64" s="31" t="n">
        <x:f>O64+D64*Q64</x:f>
        <x:v>269895.28782790387</x:v>
      </x:c>
      <x:c r="S64" s="33" t="n">
        <x:f>G64/R64*24</x:f>
        <x:v>8.0337823511116</x:v>
      </x:c>
      <x:c r="T64" s="33" t="n">
        <x:f>SUM($S$6:S64)/24</x:f>
        <x:v>7.5142747632852815</x:v>
      </x:c>
      <x:c r="U64" s="33" t="n">
        <x:f>G64/O64*24</x:f>
        <x:v>24.101347053334806</x:v>
      </x:c>
      <x:c r="V64" s="33" t="n">
        <x:f>SUM($U$6:U64)/24</x:f>
        <x:v>22.542824289855854</x:v>
      </x:c>
    </x:row>
    <x:row r="65" ht="22" customHeight="1">
      <x:c r="A65" s="19" t="n">
        <x:v>60</x:v>
      </x:c>
      <x:c r="B65" s="24" t="n">
        <x:f>'参数'!$B$8+(A65/100)^'参数'!$B$7</x:f>
        <x:v>0.42062091424865766</x:v>
      </x:c>
      <x:c r="C65" s="20" t="n">
        <x:f>'参数'!$B$5*24*B65/SUM($B$6:$B$104)</x:f>
        <x:v>24.79815615920986</x:v>
      </x:c>
      <x:c r="D65" s="19" t="n">
        <x:f>'参数'!$B$9*'参数'!$B$10^(A65-1)</x:f>
        <x:v>3432.001808181988</x:v>
      </x:c>
      <x:c r="E65" s="19" t="n">
        <x:f>D65*'参数'!$B$11</x:f>
        <x:v>92664.04882091368</x:v>
      </x:c>
      <x:c r="F65" s="19" t="n">
        <x:f>ROUNDUP(E65*C65/24/'参数'!$B$6,0)</x:f>
        <x:v>19150</x:v>
      </x:c>
      <x:c r="G65" s="19" t="n">
        <x:f>F65*'参数'!$B$6</x:f>
        <x:v>95750</x:v>
      </x:c>
      <x:c r="H65" s="19" t="n">
        <x:f>O65+D65*P65</x:f>
        <x:v>92664.04882091368</x:v>
      </x:c>
      <x:c r="I65" s="20" t="n">
        <x:f>G65/H65*24</x:f>
        <x:v>24.79926173354683</x:v>
      </x:c>
      <x:c r="J65" s="20" t="n">
        <x:f>SUM($I$6:I65)/24</x:f>
        <x:v>23.57612686208697</x:v>
      </x:c>
      <x:c r="K65" s="19" t="n">
        <x:f>SUM($G$6:G65)</x:f>
        <x:v>1450095</x:v>
      </x:c>
      <x:c r="L65" s="19" t="n">
        <x:f>IF(A65=20,1,IF(A65=40,2,IF(A65=60,3,IF(A65=80,5,0))))</x:f>
        <x:v>3</x:v>
      </x:c>
      <x:c r="M65" s="19" t="n">
        <x:f>L65*'参数'!$B$6</x:f>
        <x:v>15</x:v>
      </x:c>
      <x:c r="N65" s="19" t="n">
        <x:f>SUM($M$6:M65)</x:f>
        <x:v>30</x:v>
      </x:c>
      <x:c r="O65" s="32" t="n">
        <x:f>D65*('参数'!$B$12+'参数'!$B$13+'参数'!$B$14)</x:f>
        <x:v>92664.04882091368</x:v>
      </x:c>
      <x:c r="P65" s="32" t="n">
        <x:f>'参数'!$B$71</x:f>
        <x:v>0</x:v>
      </x:c>
      <x:c r="Q65" s="32" t="n">
        <x:f>'参数'!$B$72</x:f>
        <x:v>54</x:v>
      </x:c>
      <x:c r="R65" s="32" t="n">
        <x:f>O65+D65*Q65</x:f>
        <x:v>277992.1464627411</x:v>
      </x:c>
      <x:c r="S65" s="34" t="n">
        <x:f>G65/R65*24</x:f>
        <x:v>8.266420577848944</x:v>
      </x:c>
      <x:c r="T65" s="34" t="n">
        <x:f>SUM($S$6:S65)/24</x:f>
        <x:v>7.858708954028987</x:v>
      </x:c>
      <x:c r="U65" s="34" t="n">
        <x:f>G65/O65*24</x:f>
        <x:v>24.79926173354683</x:v>
      </x:c>
      <x:c r="V65" s="34" t="n">
        <x:f>SUM($U$6:U65)/24</x:f>
        <x:v>23.57612686208697</x:v>
      </x:c>
    </x:row>
    <x:row r="66" ht="22" customHeight="1">
      <x:c r="A66" s="18" t="n">
        <x:v>61</x:v>
      </x:c>
      <x:c r="B66" s="23" t="n">
        <x:f>'参数'!$B$8+(A66/100)^'参数'!$B$7</x:f>
        <x:v>0.4325794125292547</x:v>
      </x:c>
      <x:c r="C66" s="15" t="n">
        <x:f>'参数'!$B$5*24*B66/SUM($B$6:$B$104)</x:f>
        <x:v>25.50318222364511</x:v>
      </x:c>
      <x:c r="D66" s="18" t="n">
        <x:f>'参数'!$B$9*'参数'!$B$10^(A66-1)</x:f>
        <x:v>3534.9618624274476</x:v>
      </x:c>
      <x:c r="E66" s="18" t="n">
        <x:f>D66*'参数'!$B$11</x:f>
        <x:v>95443.97028554109</x:v>
      </x:c>
      <x:c r="F66" s="18" t="n">
        <x:f>ROUNDUP(E66*C66/24/'参数'!$B$6,0)</x:f>
        <x:v>20285</x:v>
      </x:c>
      <x:c r="G66" s="18" t="n">
        <x:f>F66*'参数'!$B$6</x:f>
        <x:v>101425</x:v>
      </x:c>
      <x:c r="H66" s="18" t="n">
        <x:f>O66+D66*P66</x:f>
        <x:v>95443.97028554109</x:v>
      </x:c>
      <x:c r="I66" s="15" t="n">
        <x:f>G66/H66*24</x:f>
        <x:v>25.503968377652033</x:v>
      </x:c>
      <x:c r="J66" s="15" t="n">
        <x:f>SUM($I$6:I66)/24</x:f>
        <x:v>24.638792211155806</x:v>
      </x:c>
      <x:c r="K66" s="18" t="n">
        <x:f>SUM($G$6:G66)</x:f>
        <x:v>1551520</x:v>
      </x:c>
      <x:c r="L66" s="18" t="n">
        <x:f>IF(A66=20,1,IF(A66=40,2,IF(A66=60,3,IF(A66=80,5,0))))</x:f>
        <x:v>0</x:v>
      </x:c>
      <x:c r="M66" s="18" t="n">
        <x:f>L66*'参数'!$B$6</x:f>
        <x:v>0</x:v>
      </x:c>
      <x:c r="N66" s="18" t="n">
        <x:f>SUM($M$6:M66)</x:f>
        <x:v>30</x:v>
      </x:c>
      <x:c r="O66" s="31" t="n">
        <x:f>D66*('参数'!$B$12+'参数'!$B$13+'参数'!$B$14)</x:f>
        <x:v>95443.97028554109</x:v>
      </x:c>
      <x:c r="P66" s="31" t="n">
        <x:f>'参数'!$B$71</x:f>
        <x:v>0</x:v>
      </x:c>
      <x:c r="Q66" s="31" t="n">
        <x:f>'参数'!$B$72</x:f>
        <x:v>54</x:v>
      </x:c>
      <x:c r="R66" s="31" t="n">
        <x:f>O66+D66*Q66</x:f>
        <x:v>286331.91085662326</x:v>
      </x:c>
      <x:c r="S66" s="33" t="n">
        <x:f>G66/R66*24</x:f>
        <x:v>8.501322792550678</x:v>
      </x:c>
      <x:c r="T66" s="33" t="n">
        <x:f>SUM($S$6:S66)/24</x:f>
        <x:v>8.212930737051932</x:v>
      </x:c>
      <x:c r="U66" s="33" t="n">
        <x:f>G66/O66*24</x:f>
        <x:v>25.503968377652033</x:v>
      </x:c>
      <x:c r="V66" s="33" t="n">
        <x:f>SUM($U$6:U66)/24</x:f>
        <x:v>24.638792211155806</x:v>
      </x:c>
    </x:row>
    <x:row r="67" ht="22" customHeight="1">
      <x:c r="A67" s="19" t="n">
        <x:v>62</x:v>
      </x:c>
      <x:c r="B67" s="24" t="n">
        <x:f>'参数'!$B$8+(A67/100)^'参数'!$B$7</x:f>
        <x:v>0.44467593391840493</x:v>
      </x:c>
      <x:c r="C67" s="20" t="n">
        <x:f>'参数'!$B$5*24*B67/SUM($B$6:$B$104)</x:f>
        <x:v>26.216345588161115</x:v>
      </x:c>
      <x:c r="D67" s="19" t="n">
        <x:f>'参数'!$B$9*'参数'!$B$10^(A67-1)</x:f>
        <x:v>3641.010718300271</x:v>
      </x:c>
      <x:c r="E67" s="19" t="n">
        <x:f>D67*'参数'!$B$11</x:f>
        <x:v>98307.28939410731</x:v>
      </x:c>
      <x:c r="F67" s="19" t="n">
        <x:f>ROUNDUP(E67*C67/24/'参数'!$B$6,0)</x:f>
        <x:v>21478</x:v>
      </x:c>
      <x:c r="G67" s="19" t="n">
        <x:f>F67*'参数'!$B$6</x:f>
        <x:v>107390</x:v>
      </x:c>
      <x:c r="H67" s="19" t="n">
        <x:f>O67+D67*P67</x:f>
        <x:v>98307.28939410731</x:v>
      </x:c>
      <x:c r="I67" s="20" t="n">
        <x:f>G67/H67*24</x:f>
        <x:v>26.217384447124132</x:v>
      </x:c>
      <x:c r="J67" s="20" t="n">
        <x:f>SUM($I$6:I67)/24</x:f>
        <x:v>25.73118322978598</x:v>
      </x:c>
      <x:c r="K67" s="19" t="n">
        <x:f>SUM($G$6:G67)</x:f>
        <x:v>1658910</x:v>
      </x:c>
      <x:c r="L67" s="19" t="n">
        <x:f>IF(A67=20,1,IF(A67=40,2,IF(A67=60,3,IF(A67=80,5,0))))</x:f>
        <x:v>0</x:v>
      </x:c>
      <x:c r="M67" s="19" t="n">
        <x:f>L67*'参数'!$B$6</x:f>
        <x:v>0</x:v>
      </x:c>
      <x:c r="N67" s="19" t="n">
        <x:f>SUM($M$6:M67)</x:f>
        <x:v>30</x:v>
      </x:c>
      <x:c r="O67" s="32" t="n">
        <x:f>D67*('参数'!$B$12+'参数'!$B$13+'参数'!$B$14)</x:f>
        <x:v>98307.28939410731</x:v>
      </x:c>
      <x:c r="P67" s="32" t="n">
        <x:f>'参数'!$B$71</x:f>
        <x:v>0</x:v>
      </x:c>
      <x:c r="Q67" s="32" t="n">
        <x:f>'参数'!$B$72</x:f>
        <x:v>54</x:v>
      </x:c>
      <x:c r="R67" s="32" t="n">
        <x:f>O67+D67*Q67</x:f>
        <x:v>294921.86818232195</x:v>
      </x:c>
      <x:c r="S67" s="34" t="n">
        <x:f>G67/R67*24</x:f>
        <x:v>8.739128149041377</x:v>
      </x:c>
      <x:c r="T67" s="34" t="n">
        <x:f>SUM($S$6:S67)/24</x:f>
        <x:v>8.577061076595323</x:v>
      </x:c>
      <x:c r="U67" s="34" t="n">
        <x:f>G67/O67*24</x:f>
        <x:v>26.217384447124132</x:v>
      </x:c>
      <x:c r="V67" s="34" t="n">
        <x:f>SUM($U$6:U67)/24</x:f>
        <x:v>25.73118322978598</x:v>
      </x:c>
    </x:row>
    <x:row r="68" ht="22" customHeight="1">
      <x:c r="A68" s="18" t="n">
        <x:v>63</x:v>
      </x:c>
      <x:c r="B68" s="23" t="n">
        <x:f>'参数'!$B$8+(A68/100)^'参数'!$B$7</x:f>
        <x:v>0.456909806718986</x:v>
      </x:c>
      <x:c r="C68" s="15" t="n">
        <x:f>'参数'!$B$5*24*B68/SUM($B$6:$B$104)</x:f>
        <x:v>26.937606652135152</x:v>
      </x:c>
      <x:c r="D68" s="18" t="n">
        <x:f>'参数'!$B$9*'参数'!$B$10^(A68-1)</x:f>
        <x:v>3750.2410398492793</x:v>
      </x:c>
      <x:c r="E68" s="18" t="n">
        <x:f>D68*'参数'!$B$11</x:f>
        <x:v>101256.50807593054</x:v>
      </x:c>
      <x:c r="F68" s="18" t="n">
        <x:f>ROUNDUP(E68*C68/24/'参数'!$B$6,0)</x:f>
        <x:v>22731</x:v>
      </x:c>
      <x:c r="G68" s="18" t="n">
        <x:f>F68*'参数'!$B$6</x:f>
        <x:v>113655</x:v>
      </x:c>
      <x:c r="H68" s="18" t="n">
        <x:f>O68+D68*P68</x:f>
        <x:v>101256.50807593054</x:v>
      </x:c>
      <x:c r="I68" s="15" t="n">
        <x:f>G68/H68*24</x:f>
        <x:v>26.93871289689872</x:v>
      </x:c>
      <x:c r="J68" s="15" t="n">
        <x:f>SUM($I$6:I68)/24</x:f>
        <x:v>26.85362960049009</x:v>
      </x:c>
      <x:c r="K68" s="18" t="n">
        <x:f>SUM($G$6:G68)</x:f>
        <x:v>1772565</x:v>
      </x:c>
      <x:c r="L68" s="18" t="n">
        <x:f>IF(A68=20,1,IF(A68=40,2,IF(A68=60,3,IF(A68=80,5,0))))</x:f>
        <x:v>0</x:v>
      </x:c>
      <x:c r="M68" s="18" t="n">
        <x:f>L68*'参数'!$B$6</x:f>
        <x:v>0</x:v>
      </x:c>
      <x:c r="N68" s="18" t="n">
        <x:f>SUM($M$6:M68)</x:f>
        <x:v>30</x:v>
      </x:c>
      <x:c r="O68" s="31" t="n">
        <x:f>D68*('参数'!$B$12+'参数'!$B$13+'参数'!$B$14)</x:f>
        <x:v>101256.50807593054</x:v>
      </x:c>
      <x:c r="P68" s="31" t="n">
        <x:f>'参数'!$B$71</x:f>
        <x:v>0</x:v>
      </x:c>
      <x:c r="Q68" s="31" t="n">
        <x:f>'参数'!$B$72</x:f>
        <x:v>54</x:v>
      </x:c>
      <x:c r="R68" s="31" t="n">
        <x:f>O68+D68*Q68</x:f>
        <x:v>303769.52422779164</x:v>
      </x:c>
      <x:c r="S68" s="33" t="n">
        <x:f>G68/R68*24</x:f>
        <x:v>8.979570965632908</x:v>
      </x:c>
      <x:c r="T68" s="33" t="n">
        <x:f>SUM($S$6:S68)/24</x:f>
        <x:v>8.951209866830029</x:v>
      </x:c>
      <x:c r="U68" s="33" t="n">
        <x:f>G68/O68*24</x:f>
        <x:v>26.93871289689872</x:v>
      </x:c>
      <x:c r="V68" s="33" t="n">
        <x:f>SUM($U$6:U68)/24</x:f>
        <x:v>26.85362960049009</x:v>
      </x:c>
    </x:row>
    <x:row r="69" ht="22" customHeight="1">
      <x:c r="A69" s="19" t="n">
        <x:v>64</x:v>
      </x:c>
      <x:c r="B69" s="24" t="n">
        <x:f>'参数'!$B$8+(A69/100)^'参数'!$B$7</x:f>
        <x:v>0.46928037317358223</x:v>
      </x:c>
      <x:c r="C69" s="20" t="n">
        <x:f>'参数'!$B$5*24*B69/SUM($B$6:$B$104)</x:f>
        <x:v>27.666926636774832</x:v>
      </x:c>
      <x:c r="D69" s="19" t="n">
        <x:f>'参数'!$B$9*'参数'!$B$10^(A69-1)</x:f>
        <x:v>3862.748271044758</x:v>
      </x:c>
      <x:c r="E69" s="19" t="n">
        <x:f>D69*'参数'!$B$11</x:f>
        <x:v>104294.20331820847</x:v>
      </x:c>
      <x:c r="F69" s="19" t="n">
        <x:f>ROUNDUP(E69*C69/24/'参数'!$B$6,0)</x:f>
        <x:v>24046</x:v>
      </x:c>
      <x:c r="G69" s="19" t="n">
        <x:f>F69*'参数'!$B$6</x:f>
        <x:v>120230</x:v>
      </x:c>
      <x:c r="H69" s="19" t="n">
        <x:f>O69+D69*P69</x:f>
        <x:v>104294.20331820847</x:v>
      </x:c>
      <x:c r="I69" s="20" t="n">
        <x:f>G69/H69*24</x:f>
        <x:v>27.667117713110944</x:v>
      </x:c>
      <x:c r="J69" s="20" t="n">
        <x:f>SUM($I$6:I69)/24</x:f>
        <x:v>28.006426171869716</x:v>
      </x:c>
      <x:c r="K69" s="19" t="n">
        <x:f>SUM($G$6:G69)</x:f>
        <x:v>1892795</x:v>
      </x:c>
      <x:c r="L69" s="19" t="n">
        <x:f>IF(A69=20,1,IF(A69=40,2,IF(A69=60,3,IF(A69=80,5,0))))</x:f>
        <x:v>0</x:v>
      </x:c>
      <x:c r="M69" s="19" t="n">
        <x:f>L69*'参数'!$B$6</x:f>
        <x:v>0</x:v>
      </x:c>
      <x:c r="N69" s="19" t="n">
        <x:f>SUM($M$6:M69)</x:f>
        <x:v>30</x:v>
      </x:c>
      <x:c r="O69" s="32" t="n">
        <x:f>D69*('参数'!$B$12+'参数'!$B$13+'参数'!$B$14)</x:f>
        <x:v>104294.20331820847</x:v>
      </x:c>
      <x:c r="P69" s="32" t="n">
        <x:f>'参数'!$B$71</x:f>
        <x:v>0</x:v>
      </x:c>
      <x:c r="Q69" s="32" t="n">
        <x:f>'参数'!$B$72</x:f>
        <x:v>54</x:v>
      </x:c>
      <x:c r="R69" s="32" t="n">
        <x:f>O69+D69*Q69</x:f>
        <x:v>312882.6099546254</x:v>
      </x:c>
      <x:c r="S69" s="34" t="n">
        <x:f>G69/R69*24</x:f>
        <x:v>9.222372571036981</x:v>
      </x:c>
      <x:c r="T69" s="34" t="n">
        <x:f>SUM($S$6:S69)/24</x:f>
        <x:v>9.335475390623236</x:v>
      </x:c>
      <x:c r="U69" s="34" t="n">
        <x:f>G69/O69*24</x:f>
        <x:v>27.667117713110944</x:v>
      </x:c>
      <x:c r="V69" s="34" t="n">
        <x:f>SUM($U$6:U69)/24</x:f>
        <x:v>28.006426171869716</x:v>
      </x:c>
    </x:row>
    <x:row r="70" ht="22" customHeight="1">
      <x:c r="A70" s="18" t="n">
        <x:v>65</x:v>
      </x:c>
      <x:c r="B70" s="23" t="n">
        <x:f>'参数'!$B$8+(A70/100)^'参数'!$B$7</x:f>
        <x:v>0.4817869889606779</x:v>
      </x:c>
      <x:c r="C70" s="15" t="n">
        <x:f>'参数'!$B$5*24*B70/SUM($B$6:$B$104)</x:f>
        <x:v>28.40426755541563</x:v>
      </x:c>
      <x:c r="D70" s="18" t="n">
        <x:f>'参数'!$B$9*'参数'!$B$10^(A70-1)</x:f>
        <x:v>3978.6307191761007</x:v>
      </x:c>
      <x:c r="E70" s="18" t="n">
        <x:f>D70*'参数'!$B$11</x:f>
        <x:v>107423.02941775472</x:v>
      </x:c>
      <x:c r="F70" s="18" t="n">
        <x:f>ROUNDUP(E70*C70/24/'参数'!$B$6,0)</x:f>
        <x:v>25428</x:v>
      </x:c>
      <x:c r="G70" s="18" t="n">
        <x:f>F70*'参数'!$B$6</x:f>
        <x:v>127140</x:v>
      </x:c>
      <x:c r="H70" s="18" t="n">
        <x:f>O70+D70*P70</x:f>
        <x:v>107423.02941775472</x:v>
      </x:c>
      <x:c r="I70" s="15" t="n">
        <x:f>G70/H70*24</x:f>
        <x:v>28.405082378878397</x:v>
      </x:c>
      <x:c r="J70" s="15" t="n">
        <x:f>SUM($I$6:I70)/24</x:f>
        <x:v>29.18997127098965</x:v>
      </x:c>
      <x:c r="K70" s="18" t="n">
        <x:f>SUM($G$6:G70)</x:f>
        <x:v>2019935</x:v>
      </x:c>
      <x:c r="L70" s="18" t="n">
        <x:f>IF(A70=20,1,IF(A70=40,2,IF(A70=60,3,IF(A70=80,5,0))))</x:f>
        <x:v>0</x:v>
      </x:c>
      <x:c r="M70" s="18" t="n">
        <x:f>L70*'参数'!$B$6</x:f>
        <x:v>0</x:v>
      </x:c>
      <x:c r="N70" s="18" t="n">
        <x:f>SUM($M$6:M70)</x:f>
        <x:v>30</x:v>
      </x:c>
      <x:c r="O70" s="31" t="n">
        <x:f>D70*('参数'!$B$12+'参数'!$B$13+'参数'!$B$14)</x:f>
        <x:v>107423.02941775472</x:v>
      </x:c>
      <x:c r="P70" s="31" t="n">
        <x:f>'参数'!$B$71</x:f>
        <x:v>0</x:v>
      </x:c>
      <x:c r="Q70" s="31" t="n">
        <x:f>'参数'!$B$72</x:f>
        <x:v>54</x:v>
      </x:c>
      <x:c r="R70" s="31" t="n">
        <x:f>O70+D70*Q70</x:f>
        <x:v>322269.08825326414</x:v>
      </x:c>
      <x:c r="S70" s="33" t="n">
        <x:f>G70/R70*24</x:f>
        <x:v>9.468360792959466</x:v>
      </x:c>
      <x:c r="T70" s="33" t="n">
        <x:f>SUM($S$6:S70)/24</x:f>
        <x:v>9.729990423663212</x:v>
      </x:c>
      <x:c r="U70" s="33" t="n">
        <x:f>G70/O70*24</x:f>
        <x:v>28.405082378878397</x:v>
      </x:c>
      <x:c r="V70" s="33" t="n">
        <x:f>SUM($U$6:U70)/24</x:f>
        <x:v>29.18997127098965</x:v>
      </x:c>
    </x:row>
    <x:row r="71" ht="22" customHeight="1">
      <x:c r="A71" s="19" t="n">
        <x:v>66</x:v>
      </x:c>
      <x:c r="B71" s="24" t="n">
        <x:f>'参数'!$B$8+(A71/100)^'参数'!$B$7</x:f>
        <x:v>0.49442902271657285</x:v>
      </x:c>
      <x:c r="C71" s="20" t="n">
        <x:f>'参数'!$B$5*24*B71/SUM($B$6:$B$104)</x:f>
        <x:v>29.149592185334903</x:v>
      </x:c>
      <x:c r="D71" s="19" t="n">
        <x:f>'参数'!$B$9*'参数'!$B$10^(A71-1)</x:f>
        <x:v>4097.989640751383</x:v>
      </x:c>
      <x:c r="E71" s="19" t="n">
        <x:f>D71*'参数'!$B$11</x:f>
        <x:v>110645.72030028736</x:v>
      </x:c>
      <x:c r="F71" s="19" t="n">
        <x:f>ROUNDUP(E71*C71/24/'参数'!$B$6,0)</x:f>
        <x:v>26878</x:v>
      </x:c>
      <x:c r="G71" s="19" t="n">
        <x:f>F71*'参数'!$B$6</x:f>
        <x:v>134390</x:v>
      </x:c>
      <x:c r="H71" s="19" t="n">
        <x:f>O71+D71*P71</x:f>
        <x:v>110645.72030028736</x:v>
      </x:c>
      <x:c r="I71" s="20" t="n">
        <x:f>G71/H71*24</x:f>
        <x:v>29.150336689449198</x:v>
      </x:c>
      <x:c r="J71" s="20" t="n">
        <x:f>SUM($I$6:I71)/24</x:f>
        <x:v>30.404568633050033</x:v>
      </x:c>
      <x:c r="K71" s="19" t="n">
        <x:f>SUM($G$6:G71)</x:f>
        <x:v>2154325</x:v>
      </x:c>
      <x:c r="L71" s="19" t="n">
        <x:f>IF(A71=20,1,IF(A71=40,2,IF(A71=60,3,IF(A71=80,5,0))))</x:f>
        <x:v>0</x:v>
      </x:c>
      <x:c r="M71" s="19" t="n">
        <x:f>L71*'参数'!$B$6</x:f>
        <x:v>0</x:v>
      </x:c>
      <x:c r="N71" s="19" t="n">
        <x:f>SUM($M$6:M71)</x:f>
        <x:v>30</x:v>
      </x:c>
      <x:c r="O71" s="32" t="n">
        <x:f>D71*('参数'!$B$12+'参数'!$B$13+'参数'!$B$14)</x:f>
        <x:v>110645.72030028736</x:v>
      </x:c>
      <x:c r="P71" s="32" t="n">
        <x:f>'参数'!$B$71</x:f>
        <x:v>0</x:v>
      </x:c>
      <x:c r="Q71" s="32" t="n">
        <x:f>'参数'!$B$72</x:f>
        <x:v>54</x:v>
      </x:c>
      <x:c r="R71" s="32" t="n">
        <x:f>O71+D71*Q71</x:f>
        <x:v>331937.1609008621</x:v>
      </x:c>
      <x:c r="S71" s="34" t="n">
        <x:f>G71/R71*24</x:f>
        <x:v>9.716778896483063</x:v>
      </x:c>
      <x:c r="T71" s="34" t="n">
        <x:f>SUM($S$6:S71)/24</x:f>
        <x:v>10.134856211016674</x:v>
      </x:c>
      <x:c r="U71" s="34" t="n">
        <x:f>G71/O71*24</x:f>
        <x:v>29.150336689449198</x:v>
      </x:c>
      <x:c r="V71" s="34" t="n">
        <x:f>SUM($U$6:U71)/24</x:f>
        <x:v>30.404568633050033</x:v>
      </x:c>
    </x:row>
    <x:row r="72" ht="22" customHeight="1">
      <x:c r="A72" s="18" t="n">
        <x:v>67</x:v>
      </x:c>
      <x:c r="B72" s="23" t="n">
        <x:f>'参数'!$B$8+(A72/100)^'参数'!$B$7</x:f>
        <x:v>0.507205855581335</x:v>
      </x:c>
      <x:c r="C72" s="15" t="n">
        <x:f>'参数'!$B$5*24*B72/SUM($B$6:$B$104)</x:f>
        <x:v>29.902864040983026</x:v>
      </x:c>
      <x:c r="D72" s="18" t="n">
        <x:f>'参数'!$B$9*'参数'!$B$10^(A72-1)</x:f>
        <x:v>4220.929329973926</x:v>
      </x:c>
      <x:c r="E72" s="18" t="n">
        <x:f>D72*'参数'!$B$11</x:f>
        <x:v>113965.091909296</x:v>
      </x:c>
      <x:c r="F72" s="18" t="n">
        <x:f>ROUNDUP(E72*C72/24/'参数'!$B$6,0)</x:f>
        <x:v>28400</x:v>
      </x:c>
      <x:c r="G72" s="18" t="n">
        <x:f>F72*'参数'!$B$6</x:f>
        <x:v>142000</x:v>
      </x:c>
      <x:c r="H72" s="18" t="n">
        <x:f>O72+D72*P72</x:f>
        <x:v>113965.091909296</x:v>
      </x:c>
      <x:c r="I72" s="15" t="n">
        <x:f>G72/H72*24</x:f>
        <x:v>29.903893752943254</x:v>
      </x:c>
      <x:c r="J72" s="15" t="n">
        <x:f>SUM($I$6:I72)/24</x:f>
        <x:v>31.65056420608934</x:v>
      </x:c>
      <x:c r="K72" s="18" t="n">
        <x:f>SUM($G$6:G72)</x:f>
        <x:v>2296325</x:v>
      </x:c>
      <x:c r="L72" s="18" t="n">
        <x:f>IF(A72=20,1,IF(A72=40,2,IF(A72=60,3,IF(A72=80,5,0))))</x:f>
        <x:v>0</x:v>
      </x:c>
      <x:c r="M72" s="18" t="n">
        <x:f>L72*'参数'!$B$6</x:f>
        <x:v>0</x:v>
      </x:c>
      <x:c r="N72" s="18" t="n">
        <x:f>SUM($M$6:M72)</x:f>
        <x:v>30</x:v>
      </x:c>
      <x:c r="O72" s="31" t="n">
        <x:f>D72*('参数'!$B$12+'参数'!$B$13+'参数'!$B$14)</x:f>
        <x:v>113965.091909296</x:v>
      </x:c>
      <x:c r="P72" s="31" t="n">
        <x:f>'参数'!$B$71</x:f>
        <x:v>0</x:v>
      </x:c>
      <x:c r="Q72" s="31" t="n">
        <x:f>'参数'!$B$72</x:f>
        <x:v>54</x:v>
      </x:c>
      <x:c r="R72" s="31" t="n">
        <x:f>O72+D72*Q72</x:f>
        <x:v>341895.275727888</x:v>
      </x:c>
      <x:c r="S72" s="33" t="n">
        <x:f>G72/R72*24</x:f>
        <x:v>9.967964584314418</x:v>
      </x:c>
      <x:c r="T72" s="33" t="n">
        <x:f>SUM($S$6:S72)/24</x:f>
        <x:v>10.55018806869644</x:v>
      </x:c>
      <x:c r="U72" s="33" t="n">
        <x:f>G72/O72*24</x:f>
        <x:v>29.903893752943254</x:v>
      </x:c>
      <x:c r="V72" s="33" t="n">
        <x:f>SUM($U$6:U72)/24</x:f>
        <x:v>31.65056420608934</x:v>
      </x:c>
    </x:row>
    <x:row r="73" ht="22" customHeight="1">
      <x:c r="A73" s="19" t="n">
        <x:v>68</x:v>
      </x:c>
      <x:c r="B73" s="24" t="n">
        <x:f>'参数'!$B$8+(A73/100)^'参数'!$B$7</x:f>
        <x:v>0.5201168807672393</x:v>
      </x:c>
      <x:c r="C73" s="20" t="n">
        <x:f>'参数'!$B$5*24*B73/SUM($B$6:$B$104)</x:f>
        <x:v>30.66404734854027</x:v>
      </x:c>
      <x:c r="D73" s="19" t="n">
        <x:f>'参数'!$B$9*'参数'!$B$10^(A73-1)</x:f>
        <x:v>4347.557209873143</x:v>
      </x:c>
      <x:c r="E73" s="19" t="n">
        <x:f>D73*'参数'!$B$11</x:f>
        <x:v>117384.04466657486</x:v>
      </x:c>
      <x:c r="F73" s="19" t="n">
        <x:f>ROUNDUP(E73*C73/24/'参数'!$B$6,0)</x:f>
        <x:v>29996</x:v>
      </x:c>
      <x:c r="G73" s="19" t="n">
        <x:f>F73*'参数'!$B$6</x:f>
        <x:v>149980</x:v>
      </x:c>
      <x:c r="H73" s="19" t="n">
        <x:f>O73+D73*P73</x:f>
        <x:v>117384.04466657486</x:v>
      </x:c>
      <x:c r="I73" s="20" t="n">
        <x:f>G73/H73*24</x:f>
        <x:v>30.66447412188178</x:v>
      </x:c>
      <x:c r="J73" s="20" t="n">
        <x:f>SUM($I$6:I73)/24</x:f>
        <x:v>32.92825062783441</x:v>
      </x:c>
      <x:c r="K73" s="19" t="n">
        <x:f>SUM($G$6:G73)</x:f>
        <x:v>2446305</x:v>
      </x:c>
      <x:c r="L73" s="19" t="n">
        <x:f>IF(A73=20,1,IF(A73=40,2,IF(A73=60,3,IF(A73=80,5,0))))</x:f>
        <x:v>0</x:v>
      </x:c>
      <x:c r="M73" s="19" t="n">
        <x:f>L73*'参数'!$B$6</x:f>
        <x:v>0</x:v>
      </x:c>
      <x:c r="N73" s="19" t="n">
        <x:f>SUM($M$6:M73)</x:f>
        <x:v>30</x:v>
      </x:c>
      <x:c r="O73" s="32" t="n">
        <x:f>D73*('参数'!$B$12+'参数'!$B$13+'参数'!$B$14)</x:f>
        <x:v>117384.04466657486</x:v>
      </x:c>
      <x:c r="P73" s="32" t="n">
        <x:f>'参数'!$B$71</x:f>
        <x:v>0</x:v>
      </x:c>
      <x:c r="Q73" s="32" t="n">
        <x:f>'参数'!$B$72</x:f>
        <x:v>54</x:v>
      </x:c>
      <x:c r="R73" s="32" t="n">
        <x:f>O73+D73*Q73</x:f>
        <x:v>352152.1339997246</x:v>
      </x:c>
      <x:c r="S73" s="34" t="n">
        <x:f>G73/R73*24</x:f>
        <x:v>10.221491373960594</x:v>
      </x:c>
      <x:c r="T73" s="34" t="n">
        <x:f>SUM($S$6:S73)/24</x:f>
        <x:v>10.976083542611464</x:v>
      </x:c>
      <x:c r="U73" s="34" t="n">
        <x:f>G73/O73*24</x:f>
        <x:v>30.66447412188178</x:v>
      </x:c>
      <x:c r="V73" s="34" t="n">
        <x:f>SUM($U$6:U73)/24</x:f>
        <x:v>32.92825062783441</x:v>
      </x:c>
    </x:row>
    <x:row r="74" ht="22" customHeight="1">
      <x:c r="A74" s="18" t="n">
        <x:v>69</x:v>
      </x:c>
      <x:c r="B74" s="23" t="n">
        <x:f>'参数'!$B$8+(A74/100)^'参数'!$B$7</x:f>
        <x:v>0.5331615031482619</x:v>
      </x:c>
      <x:c r="C74" s="15" t="n">
        <x:f>'参数'!$B$5*24*B74/SUM($B$6:$B$104)</x:f>
        <x:v>31.43310702171499</x:v>
      </x:c>
      <x:c r="D74" s="18" t="n">
        <x:f>'参数'!$B$9*'参数'!$B$10^(A74-1)</x:f>
        <x:v>4477.983926169338</x:v>
      </x:c>
      <x:c r="E74" s="18" t="n">
        <x:f>D74*'参数'!$B$11</x:f>
        <x:v>120905.56600657212</x:v>
      </x:c>
      <x:c r="F74" s="18" t="n">
        <x:f>ROUNDUP(E74*C74/24/'参数'!$B$6,0)</x:f>
        <x:v>31671</x:v>
      </x:c>
      <x:c r="G74" s="18" t="n">
        <x:f>F74*'参数'!$B$6</x:f>
        <x:v>158355</x:v>
      </x:c>
      <x:c r="H74" s="18" t="n">
        <x:f>O74+D74*P74</x:f>
        <x:v>120905.56600657212</x:v>
      </x:c>
      <x:c r="I74" s="15" t="n">
        <x:f>G74/H74*24</x:f>
        <x:v>31.433788580034552</x:v>
      </x:c>
      <x:c r="J74" s="15" t="n">
        <x:f>SUM($I$6:I74)/24</x:f>
        <x:v>34.23799181866918</x:v>
      </x:c>
      <x:c r="K74" s="18" t="n">
        <x:f>SUM($G$6:G74)</x:f>
        <x:v>2604660</x:v>
      </x:c>
      <x:c r="L74" s="18" t="n">
        <x:f>IF(A74=20,1,IF(A74=40,2,IF(A74=60,3,IF(A74=80,5,0))))</x:f>
        <x:v>0</x:v>
      </x:c>
      <x:c r="M74" s="18" t="n">
        <x:f>L74*'参数'!$B$6</x:f>
        <x:v>0</x:v>
      </x:c>
      <x:c r="N74" s="18" t="n">
        <x:f>SUM($M$6:M74)</x:f>
        <x:v>30</x:v>
      </x:c>
      <x:c r="O74" s="31" t="n">
        <x:f>D74*('参数'!$B$12+'参数'!$B$13+'参数'!$B$14)</x:f>
        <x:v>120905.56600657212</x:v>
      </x:c>
      <x:c r="P74" s="31" t="n">
        <x:f>'参数'!$B$71</x:f>
        <x:v>0</x:v>
      </x:c>
      <x:c r="Q74" s="31" t="n">
        <x:f>'参数'!$B$72</x:f>
        <x:v>54</x:v>
      </x:c>
      <x:c r="R74" s="31" t="n">
        <x:f>O74+D74*Q74</x:f>
        <x:v>362716.69801971636</x:v>
      </x:c>
      <x:c r="S74" s="33" t="n">
        <x:f>G74/R74*24</x:f>
        <x:v>10.477929526678183</x:v>
      </x:c>
      <x:c r="T74" s="33" t="n">
        <x:f>SUM($S$6:S74)/24</x:f>
        <x:v>11.412663939556388</x:v>
      </x:c>
      <x:c r="U74" s="33" t="n">
        <x:f>G74/O74*24</x:f>
        <x:v>31.433788580034552</x:v>
      </x:c>
      <x:c r="V74" s="33" t="n">
        <x:f>SUM($U$6:U74)/24</x:f>
        <x:v>34.23799181866918</x:v>
      </x:c>
    </x:row>
    <x:row r="75" ht="22" customHeight="1">
      <x:c r="A75" s="19" t="n">
        <x:v>70</x:v>
      </x:c>
      <x:c r="B75" s="24" t="n">
        <x:f>'参数'!$B$8+(A75/100)^'参数'!$B$7</x:f>
        <x:v>0.5463391388693143</x:v>
      </x:c>
      <x:c r="C75" s="20" t="n">
        <x:f>'参数'!$B$5*24*B75/SUM($B$6:$B$104)</x:f>
        <x:v>32.21000863870557</x:v>
      </x:c>
      <x:c r="D75" s="19" t="n">
        <x:f>'参数'!$B$9*'参数'!$B$10^(A75-1)</x:f>
        <x:v>4612.3234439544185</x:v>
      </x:c>
      <x:c r="E75" s="19" t="n">
        <x:f>D75*'参数'!$B$11</x:f>
        <x:v>124532.7329867693</x:v>
      </x:c>
      <x:c r="F75" s="19" t="n">
        <x:f>ROUNDUP(E75*C75/24/'参数'!$B$6,0)</x:f>
        <x:v>33427</x:v>
      </x:c>
      <x:c r="G75" s="19" t="n">
        <x:f>F75*'参数'!$B$6</x:f>
        <x:v>167135</x:v>
      </x:c>
      <x:c r="H75" s="19" t="n">
        <x:f>O75+D75*P75</x:f>
        <x:v>124532.7329867693</x:v>
      </x:c>
      <x:c r="I75" s="20" t="n">
        <x:f>G75/H75*24</x:f>
        <x:v>32.21032658478767</x:v>
      </x:c>
      <x:c r="J75" s="20" t="n">
        <x:f>SUM($I$6:I75)/24</x:f>
        <x:v>35.580088759702</x:v>
      </x:c>
      <x:c r="K75" s="19" t="n">
        <x:f>SUM($G$6:G75)</x:f>
        <x:v>2771795</x:v>
      </x:c>
      <x:c r="L75" s="19" t="n">
        <x:f>IF(A75=20,1,IF(A75=40,2,IF(A75=60,3,IF(A75=80,5,0))))</x:f>
        <x:v>0</x:v>
      </x:c>
      <x:c r="M75" s="19" t="n">
        <x:f>L75*'参数'!$B$6</x:f>
        <x:v>0</x:v>
      </x:c>
      <x:c r="N75" s="19" t="n">
        <x:f>SUM($M$6:M75)</x:f>
        <x:v>30</x:v>
      </x:c>
      <x:c r="O75" s="32" t="n">
        <x:f>D75*('参数'!$B$12+'参数'!$B$13+'参数'!$B$14)</x:f>
        <x:v>124532.7329867693</x:v>
      </x:c>
      <x:c r="P75" s="32" t="n">
        <x:f>'参数'!$B$71</x:f>
        <x:v>0</x:v>
      </x:c>
      <x:c r="Q75" s="32" t="n">
        <x:f>'参数'!$B$72</x:f>
        <x:v>54</x:v>
      </x:c>
      <x:c r="R75" s="32" t="n">
        <x:f>O75+D75*Q75</x:f>
        <x:v>373598.1989603079</x:v>
      </x:c>
      <x:c r="S75" s="34" t="n">
        <x:f>G75/R75*24</x:f>
        <x:v>10.736775528262557</x:v>
      </x:c>
      <x:c r="T75" s="34" t="n">
        <x:f>SUM($S$6:S75)/24</x:f>
        <x:v>11.860029586567329</x:v>
      </x:c>
      <x:c r="U75" s="34" t="n">
        <x:f>G75/O75*24</x:f>
        <x:v>32.21032658478767</x:v>
      </x:c>
      <x:c r="V75" s="34" t="n">
        <x:f>SUM($U$6:U75)/24</x:f>
        <x:v>35.580088759702</x:v>
      </x:c>
    </x:row>
    <x:row r="76" ht="22" customHeight="1">
      <x:c r="A76" s="18" t="n">
        <x:v>71</x:v>
      </x:c>
      <x:c r="B76" s="23" t="n">
        <x:f>'参数'!$B$8+(A76/100)^'参数'!$B$7</x:f>
        <x:v>0.5596492149739913</x:v>
      </x:c>
      <x:c r="C76" s="15" t="n">
        <x:f>'参数'!$B$5*24*B76/SUM($B$6:$B$104)</x:f>
        <x:v>32.99471842025396</x:v>
      </x:c>
      <x:c r="D76" s="18" t="n">
        <x:f>'参数'!$B$9*'参数'!$B$10^(A76-1)</x:f>
        <x:v>4750.69314727305</x:v>
      </x:c>
      <x:c r="E76" s="18" t="n">
        <x:f>D76*'参数'!$B$11</x:f>
        <x:v>128268.71497637236</x:v>
      </x:c>
      <x:c r="F76" s="18" t="n">
        <x:f>ROUNDUP(E76*C76/24/'参数'!$B$6,0)</x:f>
        <x:v>35269</x:v>
      </x:c>
      <x:c r="G76" s="18" t="n">
        <x:f>F76*'参数'!$B$6</x:f>
        <x:v>176345</x:v>
      </x:c>
      <x:c r="H76" s="18" t="n">
        <x:f>O76+D76*P76</x:f>
        <x:v>128268.71497637236</x:v>
      </x:c>
      <x:c r="I76" s="15" t="n">
        <x:f>G76/H76*24</x:f>
        <x:v>32.99541903713313</x:v>
      </x:c>
      <x:c r="J76" s="15" t="n">
        <x:f>SUM($I$6:I76)/24</x:f>
        <x:v>36.95489788624922</x:v>
      </x:c>
      <x:c r="K76" s="18" t="n">
        <x:f>SUM($G$6:G76)</x:f>
        <x:v>2948140</x:v>
      </x:c>
      <x:c r="L76" s="18" t="n">
        <x:f>IF(A76=20,1,IF(A76=40,2,IF(A76=60,3,IF(A76=80,5,0))))</x:f>
        <x:v>0</x:v>
      </x:c>
      <x:c r="M76" s="18" t="n">
        <x:f>L76*'参数'!$B$6</x:f>
        <x:v>0</x:v>
      </x:c>
      <x:c r="N76" s="18" t="n">
        <x:f>SUM($M$6:M76)</x:f>
        <x:v>30</x:v>
      </x:c>
      <x:c r="O76" s="31" t="n">
        <x:f>D76*('参数'!$B$12+'参数'!$B$13+'参数'!$B$14)</x:f>
        <x:v>128268.71497637236</x:v>
      </x:c>
      <x:c r="P76" s="31" t="n">
        <x:f>'参数'!$B$71</x:f>
        <x:v>0</x:v>
      </x:c>
      <x:c r="Q76" s="31" t="n">
        <x:f>'参数'!$B$72</x:f>
        <x:v>54</x:v>
      </x:c>
      <x:c r="R76" s="31" t="n">
        <x:f>O76+D76*Q76</x:f>
        <x:v>384806.14492911706</x:v>
      </x:c>
      <x:c r="S76" s="33" t="n">
        <x:f>G76/R76*24</x:f>
        <x:v>10.99847301237771</x:v>
      </x:c>
      <x:c r="T76" s="33" t="n">
        <x:f>SUM($S$6:S76)/24</x:f>
        <x:v>12.3182992954164</x:v>
      </x:c>
      <x:c r="U76" s="33" t="n">
        <x:f>G76/O76*24</x:f>
        <x:v>32.99541903713313</x:v>
      </x:c>
      <x:c r="V76" s="33" t="n">
        <x:f>SUM($U$6:U76)/24</x:f>
        <x:v>36.95489788624922</x:v>
      </x:c>
    </x:row>
    <x:row r="77" ht="22" customHeight="1">
      <x:c r="A77" s="19" t="n">
        <x:v>72</x:v>
      </x:c>
      <x:c r="B77" s="24" t="n">
        <x:f>'参数'!$B$8+(A77/100)^'参数'!$B$7</x:f>
        <x:v>0.5730911690497138</x:v>
      </x:c>
      <x:c r="C77" s="20" t="n">
        <x:f>'参数'!$B$5*24*B77/SUM($B$6:$B$104)</x:f>
        <x:v>33.78720320872465</x:v>
      </x:c>
      <x:c r="D77" s="19" t="n">
        <x:f>'参数'!$B$9*'参数'!$B$10^(A77-1)</x:f>
        <x:v>4893.213941691242</x:v>
      </x:c>
      <x:c r="E77" s="19" t="n">
        <x:f>D77*'参数'!$B$11</x:f>
        <x:v>132116.77642566356</x:v>
      </x:c>
      <x:c r="F77" s="19" t="n">
        <x:f>ROUNDUP(E77*C77/24/'参数'!$B$6,0)</x:f>
        <x:v>37199</x:v>
      </x:c>
      <x:c r="G77" s="19" t="n">
        <x:f>F77*'参数'!$B$6</x:f>
        <x:v>185995</x:v>
      </x:c>
      <x:c r="H77" s="19" t="n">
        <x:f>O77+D77*P77</x:f>
        <x:v>132116.77642566356</x:v>
      </x:c>
      <x:c r="I77" s="20" t="n">
        <x:f>G77/H77*24</x:f>
        <x:v>33.78738204766625</x:v>
      </x:c>
      <x:c r="J77" s="20" t="n">
        <x:f>SUM($I$6:I77)/24</x:f>
        <x:v>38.362705471568646</x:v>
      </x:c>
      <x:c r="K77" s="19" t="n">
        <x:f>SUM($G$6:G77)</x:f>
        <x:v>3134135</x:v>
      </x:c>
      <x:c r="L77" s="19" t="n">
        <x:f>IF(A77=20,1,IF(A77=40,2,IF(A77=60,3,IF(A77=80,5,0))))</x:f>
        <x:v>0</x:v>
      </x:c>
      <x:c r="M77" s="19" t="n">
        <x:f>L77*'参数'!$B$6</x:f>
        <x:v>0</x:v>
      </x:c>
      <x:c r="N77" s="19" t="n">
        <x:f>SUM($M$6:M77)</x:f>
        <x:v>30</x:v>
      </x:c>
      <x:c r="O77" s="32" t="n">
        <x:f>D77*('参数'!$B$12+'参数'!$B$13+'参数'!$B$14)</x:f>
        <x:v>132116.77642566356</x:v>
      </x:c>
      <x:c r="P77" s="32" t="n">
        <x:f>'参数'!$B$71</x:f>
        <x:v>0</x:v>
      </x:c>
      <x:c r="Q77" s="32" t="n">
        <x:f>'参数'!$B$72</x:f>
        <x:v>54</x:v>
      </x:c>
      <x:c r="R77" s="32" t="n">
        <x:f>O77+D77*Q77</x:f>
        <x:v>396350.32927699067</x:v>
      </x:c>
      <x:c r="S77" s="34" t="n">
        <x:f>G77/R77*24</x:f>
        <x:v>11.262460682555416</x:v>
      </x:c>
      <x:c r="T77" s="34" t="n">
        <x:f>SUM($S$6:S77)/24</x:f>
        <x:v>12.787568490522874</x:v>
      </x:c>
      <x:c r="U77" s="34" t="n">
        <x:f>G77/O77*24</x:f>
        <x:v>33.78738204766625</x:v>
      </x:c>
      <x:c r="V77" s="34" t="n">
        <x:f>SUM($U$6:U77)/24</x:f>
        <x:v>38.362705471568646</x:v>
      </x:c>
    </x:row>
    <x:row r="78" ht="22" customHeight="1">
      <x:c r="A78" s="18" t="n">
        <x:v>73</x:v>
      </x:c>
      <x:c r="B78" s="23" t="n">
        <x:f>'参数'!$B$8+(A78/100)^'参数'!$B$7</x:f>
        <x:v>0.5866644488892168</x:v>
      </x:c>
      <x:c r="C78" s="15" t="n">
        <x:f>'参数'!$B$5*24*B78/SUM($B$6:$B$104)</x:f>
        <x:v>34.58743044814733</x:v>
      </x:c>
      <x:c r="D78" s="18" t="n">
        <x:f>'参数'!$B$9*'参数'!$B$10^(A78-1)</x:f>
        <x:v>5040.01035994198</x:v>
      </x:c>
      <x:c r="E78" s="18" t="n">
        <x:f>D78*'参数'!$B$11</x:f>
        <x:v>136080.27971843345</x:v>
      </x:c>
      <x:c r="F78" s="18" t="n">
        <x:f>ROUNDUP(E78*C78/24/'参数'!$B$6,0)</x:f>
        <x:v>39223</x:v>
      </x:c>
      <x:c r="G78" s="18" t="n">
        <x:f>F78*'参数'!$B$6</x:f>
        <x:v>196115</x:v>
      </x:c>
      <x:c r="H78" s="18" t="n">
        <x:f>O78+D78*P78</x:f>
        <x:v>136080.27971843345</x:v>
      </x:c>
      <x:c r="I78" s="15" t="n">
        <x:f>G78/H78*24</x:f>
        <x:v>34.58811232412849</x:v>
      </x:c>
      <x:c r="J78" s="15" t="n">
        <x:f>SUM($I$6:I78)/24</x:f>
        <x:v>39.80387681840733</x:v>
      </x:c>
      <x:c r="K78" s="18" t="n">
        <x:f>SUM($G$6:G78)</x:f>
        <x:v>3330250</x:v>
      </x:c>
      <x:c r="L78" s="18" t="n">
        <x:f>IF(A78=20,1,IF(A78=40,2,IF(A78=60,3,IF(A78=80,5,0))))</x:f>
        <x:v>0</x:v>
      </x:c>
      <x:c r="M78" s="18" t="n">
        <x:f>L78*'参数'!$B$6</x:f>
        <x:v>0</x:v>
      </x:c>
      <x:c r="N78" s="18" t="n">
        <x:f>SUM($M$6:M78)</x:f>
        <x:v>30</x:v>
      </x:c>
      <x:c r="O78" s="31" t="n">
        <x:f>D78*('参数'!$B$12+'参数'!$B$13+'参数'!$B$14)</x:f>
        <x:v>136080.27971843345</x:v>
      </x:c>
      <x:c r="P78" s="31" t="n">
        <x:f>'参数'!$B$71</x:f>
        <x:v>0</x:v>
      </x:c>
      <x:c r="Q78" s="31" t="n">
        <x:f>'参数'!$B$72</x:f>
        <x:v>54</x:v>
      </x:c>
      <x:c r="R78" s="31" t="n">
        <x:f>O78+D78*Q78</x:f>
        <x:v>408240.83915530035</x:v>
      </x:c>
      <x:c r="S78" s="33" t="n">
        <x:f>G78/R78*24</x:f>
        <x:v>11.529370774709497</x:v>
      </x:c>
      <x:c r="T78" s="33" t="n">
        <x:f>SUM($S$6:S78)/24</x:f>
        <x:v>13.267958939469104</x:v>
      </x:c>
      <x:c r="U78" s="33" t="n">
        <x:f>G78/O78*24</x:f>
        <x:v>34.58811232412849</x:v>
      </x:c>
      <x:c r="V78" s="33" t="n">
        <x:f>SUM($U$6:U78)/24</x:f>
        <x:v>39.80387681840733</x:v>
      </x:c>
    </x:row>
    <x:row r="79" ht="22" customHeight="1">
      <x:c r="A79" s="19" t="n">
        <x:v>74</x:v>
      </x:c>
      <x:c r="B79" s="24" t="n">
        <x:f>'参数'!$B$8+(A79/100)^'参数'!$B$7</x:f>
        <x:v>0.6003685121674167</x:v>
      </x:c>
      <x:c r="C79" s="20" t="n">
        <x:f>'参数'!$B$5*24*B79/SUM($B$6:$B$104)</x:f>
        <x:v>35.39536816516631</x:v>
      </x:c>
      <x:c r="D79" s="19" t="n">
        <x:f>'参数'!$B$9*'参数'!$B$10^(A79-1)</x:f>
        <x:v>5191.210670740239</x:v>
      </x:c>
      <x:c r="E79" s="19" t="n">
        <x:f>D79*'参数'!$B$11</x:f>
        <x:v>140162.68810998645</x:v>
      </x:c>
      <x:c r="F79" s="19" t="n">
        <x:f>ROUNDUP(E79*C79/24/'参数'!$B$6,0)</x:f>
        <x:v>41343</x:v>
      </x:c>
      <x:c r="G79" s="19" t="n">
        <x:f>F79*'参数'!$B$6</x:f>
        <x:v>206715</x:v>
      </x:c>
      <x:c r="H79" s="19" t="n">
        <x:f>O79+D79*P79</x:f>
        <x:v>140162.68810998645</x:v>
      </x:c>
      <x:c r="I79" s="20" t="n">
        <x:f>G79/H79*24</x:f>
        <x:v>35.395725259685015</x:v>
      </x:c>
      <x:c r="J79" s="20" t="n">
        <x:f>SUM($I$6:I79)/24</x:f>
        <x:v>41.278698704227544</x:v>
      </x:c>
      <x:c r="K79" s="19" t="n">
        <x:f>SUM($G$6:G79)</x:f>
        <x:v>3536965</x:v>
      </x:c>
      <x:c r="L79" s="19" t="n">
        <x:f>IF(A79=20,1,IF(A79=40,2,IF(A79=60,3,IF(A79=80,5,0))))</x:f>
        <x:v>0</x:v>
      </x:c>
      <x:c r="M79" s="19" t="n">
        <x:f>L79*'参数'!$B$6</x:f>
        <x:v>0</x:v>
      </x:c>
      <x:c r="N79" s="19" t="n">
        <x:f>SUM($M$6:M79)</x:f>
        <x:v>30</x:v>
      </x:c>
      <x:c r="O79" s="32" t="n">
        <x:f>D79*('参数'!$B$12+'参数'!$B$13+'参数'!$B$14)</x:f>
        <x:v>140162.68810998645</x:v>
      </x:c>
      <x:c r="P79" s="32" t="n">
        <x:f>'参数'!$B$71</x:f>
        <x:v>0</x:v>
      </x:c>
      <x:c r="Q79" s="32" t="n">
        <x:f>'参数'!$B$72</x:f>
        <x:v>54</x:v>
      </x:c>
      <x:c r="R79" s="32" t="n">
        <x:f>O79+D79*Q79</x:f>
        <x:v>420488.06432995934</x:v>
      </x:c>
      <x:c r="S79" s="34" t="n">
        <x:f>G79/R79*24</x:f>
        <x:v>11.798575086561673</x:v>
      </x:c>
      <x:c r="T79" s="34" t="n">
        <x:f>SUM($S$6:S79)/24</x:f>
        <x:v>13.759566234742508</x:v>
      </x:c>
      <x:c r="U79" s="34" t="n">
        <x:f>G79/O79*24</x:f>
        <x:v>35.395725259685015</x:v>
      </x:c>
      <x:c r="V79" s="34" t="n">
        <x:f>SUM($U$6:U79)/24</x:f>
        <x:v>41.278698704227544</x:v>
      </x:c>
    </x:row>
    <x:row r="80" ht="22" customHeight="1">
      <x:c r="A80" s="18" t="n">
        <x:v>75</x:v>
      </x:c>
      <x:c r="B80" s="23" t="n">
        <x:f>'参数'!$B$8+(A80/100)^'参数'!$B$7</x:f>
        <x:v>0.61420282613276</x:v>
      </x:c>
      <x:c r="C80" s="15" t="n">
        <x:f>'参数'!$B$5*24*B80/SUM($B$6:$B$104)</x:f>
        <x:v>36.21098495084357</x:v>
      </x:c>
      <x:c r="D80" s="18" t="n">
        <x:f>'参数'!$B$9*'参数'!$B$10^(A80-1)</x:f>
        <x:v>5346.946990862446</x:v>
      </x:c>
      <x:c r="E80" s="18" t="n">
        <x:f>D80*'参数'!$B$11</x:f>
        <x:v>144367.56875328603</x:v>
      </x:c>
      <x:c r="F80" s="18" t="n">
        <x:f>ROUNDUP(E80*C80/24/'参数'!$B$6,0)</x:f>
        <x:v>43565</x:v>
      </x:c>
      <x:c r="G80" s="18" t="n">
        <x:f>F80*'参数'!$B$6</x:f>
        <x:v>217825</x:v>
      </x:c>
      <x:c r="H80" s="18" t="n">
        <x:f>O80+D80*P80</x:f>
        <x:v>144367.56875328603</x:v>
      </x:c>
      <x:c r="I80" s="15" t="n">
        <x:f>G80/H80*24</x:f>
        <x:v>36.21173401440278</x:v>
      </x:c>
      <x:c r="J80" s="15" t="n">
        <x:f>SUM($I$6:I80)/24</x:f>
        <x:v>42.78752095482766</x:v>
      </x:c>
      <x:c r="K80" s="18" t="n">
        <x:f>SUM($G$6:G80)</x:f>
        <x:v>3754790</x:v>
      </x:c>
      <x:c r="L80" s="18" t="n">
        <x:f>IF(A80=20,1,IF(A80=40,2,IF(A80=60,3,IF(A80=80,5,0))))</x:f>
        <x:v>0</x:v>
      </x:c>
      <x:c r="M80" s="18" t="n">
        <x:f>L80*'参数'!$B$6</x:f>
        <x:v>0</x:v>
      </x:c>
      <x:c r="N80" s="18" t="n">
        <x:f>SUM($M$6:M80)</x:f>
        <x:v>30</x:v>
      </x:c>
      <x:c r="O80" s="31" t="n">
        <x:f>D80*('参数'!$B$12+'参数'!$B$13+'参数'!$B$14)</x:f>
        <x:v>144367.56875328603</x:v>
      </x:c>
      <x:c r="P80" s="31" t="n">
        <x:f>'参数'!$B$71</x:f>
        <x:v>0</x:v>
      </x:c>
      <x:c r="Q80" s="31" t="n">
        <x:f>'参数'!$B$72</x:f>
        <x:v>54</x:v>
      </x:c>
      <x:c r="R80" s="31" t="n">
        <x:f>O80+D80*Q80</x:f>
        <x:v>433102.7062598581</x:v>
      </x:c>
      <x:c r="S80" s="33" t="n">
        <x:f>G80/R80*24</x:f>
        <x:v>12.070578004800925</x:v>
      </x:c>
      <x:c r="T80" s="33" t="n">
        <x:f>SUM($S$6:S80)/24</x:f>
        <x:v>14.262506984942547</x:v>
      </x:c>
      <x:c r="U80" s="33" t="n">
        <x:f>G80/O80*24</x:f>
        <x:v>36.21173401440278</x:v>
      </x:c>
      <x:c r="V80" s="33" t="n">
        <x:f>SUM($U$6:U80)/24</x:f>
        <x:v>42.78752095482766</x:v>
      </x:c>
    </x:row>
    <x:row r="81" ht="22" customHeight="1">
      <x:c r="A81" s="19" t="n">
        <x:v>76</x:v>
      </x:c>
      <x:c r="B81" s="24" t="n">
        <x:f>'参数'!$B$8+(A81/100)^'参数'!$B$7</x:f>
        <x:v>0.6281668673122184</x:v>
      </x:c>
      <x:c r="C81" s="20" t="n">
        <x:f>'参数'!$B$5*24*B81/SUM($B$6:$B$104)</x:f>
        <x:v>37.034249943266495</x:v>
      </x:c>
      <x:c r="D81" s="19" t="n">
        <x:f>'参数'!$B$9*'参数'!$B$10^(A81-1)</x:f>
        <x:v>5507.35540058832</x:v>
      </x:c>
      <x:c r="E81" s="19" t="n">
        <x:f>D81*'参数'!$B$11</x:f>
        <x:v>148698.59581588465</x:v>
      </x:c>
      <x:c r="F81" s="19" t="n">
        <x:f>ROUNDUP(E81*C81/24/'参数'!$B$6,0)</x:f>
        <x:v>45892</x:v>
      </x:c>
      <x:c r="G81" s="19" t="n">
        <x:f>F81*'参数'!$B$6</x:f>
        <x:v>229460</x:v>
      </x:c>
      <x:c r="H81" s="19" t="n">
        <x:f>O81+D81*P81</x:f>
        <x:v>148698.59581588465</x:v>
      </x:c>
      <x:c r="I81" s="20" t="n">
        <x:f>G81/H81*24</x:f>
        <x:v>37.034915963959044</x:v>
      </x:c>
      <x:c r="J81" s="20" t="n">
        <x:f>SUM($I$6:I81)/24</x:f>
        <x:v>44.33064245332596</x:v>
      </x:c>
      <x:c r="K81" s="19" t="n">
        <x:f>SUM($G$6:G81)</x:f>
        <x:v>3984250</x:v>
      </x:c>
      <x:c r="L81" s="19" t="n">
        <x:f>IF(A81=20,1,IF(A81=40,2,IF(A81=60,3,IF(A81=80,5,0))))</x:f>
        <x:v>0</x:v>
      </x:c>
      <x:c r="M81" s="19" t="n">
        <x:f>L81*'参数'!$B$6</x:f>
        <x:v>0</x:v>
      </x:c>
      <x:c r="N81" s="19" t="n">
        <x:f>SUM($M$6:M81)</x:f>
        <x:v>30</x:v>
      </x:c>
      <x:c r="O81" s="32" t="n">
        <x:f>D81*('参数'!$B$12+'参数'!$B$13+'参数'!$B$14)</x:f>
        <x:v>148698.59581588465</x:v>
      </x:c>
      <x:c r="P81" s="32" t="n">
        <x:f>'参数'!$B$71</x:f>
        <x:v>0</x:v>
      </x:c>
      <x:c r="Q81" s="32" t="n">
        <x:f>'参数'!$B$72</x:f>
        <x:v>54</x:v>
      </x:c>
      <x:c r="R81" s="32" t="n">
        <x:f>O81+D81*Q81</x:f>
        <x:v>446095.78744765394</x:v>
      </x:c>
      <x:c r="S81" s="34" t="n">
        <x:f>G81/R81*24</x:f>
        <x:v>12.344971987986348</x:v>
      </x:c>
      <x:c r="T81" s="34" t="n">
        <x:f>SUM($S$6:S81)/24</x:f>
        <x:v>14.776880817775313</x:v>
      </x:c>
      <x:c r="U81" s="34" t="n">
        <x:f>G81/O81*24</x:f>
        <x:v>37.034915963959044</x:v>
      </x:c>
      <x:c r="V81" s="34" t="n">
        <x:f>SUM($U$6:U81)/24</x:f>
        <x:v>44.33064245332596</x:v>
      </x:c>
    </x:row>
    <x:row r="82" ht="22" customHeight="1">
      <x:c r="A82" s="18" t="n">
        <x:v>77</x:v>
      </x:c>
      <x:c r="B82" s="23" t="n">
        <x:f>'参数'!$B$8+(A82/100)^'参数'!$B$7</x:f>
        <x:v>0.6422601212291553</x:v>
      </x:c>
      <x:c r="C82" s="15" t="n">
        <x:f>'参数'!$B$5*24*B82/SUM($B$6:$B$104)</x:f>
        <x:v>37.865132810914375</x:v>
      </x:c>
      <x:c r="D82" s="18" t="n">
        <x:f>'参数'!$B$9*'参数'!$B$10^(A82-1)</x:f>
        <x:v>5672.57606260597</x:v>
      </x:c>
      <x:c r="E82" s="18" t="n">
        <x:f>D82*'参数'!$B$11</x:f>
        <x:v>153159.55369036118</x:v>
      </x:c>
      <x:c r="F82" s="18" t="n">
        <x:f>ROUNDUP(E82*C82/24/'参数'!$B$6,0)</x:f>
        <x:v>48329</x:v>
      </x:c>
      <x:c r="G82" s="18" t="n">
        <x:f>F82*'参数'!$B$6</x:f>
        <x:v>241645</x:v>
      </x:c>
      <x:c r="H82" s="18" t="n">
        <x:f>O82+D82*P82</x:f>
        <x:v>153159.55369036118</x:v>
      </x:c>
      <x:c r="I82" s="15" t="n">
        <x:f>G82/H82*24</x:f>
        <x:v>37.86561047131714</x:v>
      </x:c>
      <x:c r="J82" s="15" t="n">
        <x:f>SUM($I$6:I82)/24</x:f>
        <x:v>45.908376222964165</x:v>
      </x:c>
      <x:c r="K82" s="18" t="n">
        <x:f>SUM($G$6:G82)</x:f>
        <x:v>4225895</x:v>
      </x:c>
      <x:c r="L82" s="18" t="n">
        <x:f>IF(A82=20,1,IF(A82=40,2,IF(A82=60,3,IF(A82=80,5,0))))</x:f>
        <x:v>0</x:v>
      </x:c>
      <x:c r="M82" s="18" t="n">
        <x:f>L82*'参数'!$B$6</x:f>
        <x:v>0</x:v>
      </x:c>
      <x:c r="N82" s="18" t="n">
        <x:f>SUM($M$6:M82)</x:f>
        <x:v>30</x:v>
      </x:c>
      <x:c r="O82" s="31" t="n">
        <x:f>D82*('参数'!$B$12+'参数'!$B$13+'参数'!$B$14)</x:f>
        <x:v>153159.55369036118</x:v>
      </x:c>
      <x:c r="P82" s="31" t="n">
        <x:f>'参数'!$B$71</x:f>
        <x:v>0</x:v>
      </x:c>
      <x:c r="Q82" s="31" t="n">
        <x:f>'参数'!$B$72</x:f>
        <x:v>54</x:v>
      </x:c>
      <x:c r="R82" s="31" t="n">
        <x:f>O82+D82*Q82</x:f>
        <x:v>459478.6610710835</x:v>
      </x:c>
      <x:c r="S82" s="33" t="n">
        <x:f>G82/R82*24</x:f>
        <x:v>12.621870157105715</x:v>
      </x:c>
      <x:c r="T82" s="33" t="n">
        <x:f>SUM($S$6:S82)/24</x:f>
        <x:v>15.302792074321383</x:v>
      </x:c>
      <x:c r="U82" s="33" t="n">
        <x:f>G82/O82*24</x:f>
        <x:v>37.86561047131714</x:v>
      </x:c>
      <x:c r="V82" s="33" t="n">
        <x:f>SUM($U$6:U82)/24</x:f>
        <x:v>45.908376222964165</x:v>
      </x:c>
    </x:row>
    <x:row r="83" ht="22" customHeight="1">
      <x:c r="A83" s="19" t="n">
        <x:v>78</x:v>
      </x:c>
      <x:c r="B83" s="24" t="n">
        <x:f>'参数'!$B$8+(A83/100)^'参数'!$B$7</x:f>
        <x:v>0.6564820821333406</x:v>
      </x:c>
      <x:c r="C83" s="20" t="n">
        <x:f>'参数'!$B$5*24*B83/SUM($B$6:$B$104)</x:f>
        <x:v>38.70360373674112</x:v>
      </x:c>
      <x:c r="D83" s="19" t="n">
        <x:f>'参数'!$B$9*'参数'!$B$10^(A83-1)</x:f>
        <x:v>5842.753344484149</x:v>
      </x:c>
      <x:c r="E83" s="19" t="n">
        <x:f>D83*'参数'!$B$11</x:f>
        <x:v>157754.34030107202</x:v>
      </x:c>
      <x:c r="F83" s="19" t="n">
        <x:f>ROUNDUP(E83*C83/24/'参数'!$B$6,0)</x:f>
        <x:v>50881</x:v>
      </x:c>
      <x:c r="G83" s="19" t="n">
        <x:f>F83*'参数'!$B$6</x:f>
        <x:v>254405</x:v>
      </x:c>
      <x:c r="H83" s="19" t="n">
        <x:f>O83+D83*P83</x:f>
        <x:v>157754.34030107202</x:v>
      </x:c>
      <x:c r="I83" s="20" t="n">
        <x:f>G83/H83*24</x:f>
        <x:v>38.70397472644693</x:v>
      </x:c>
      <x:c r="J83" s="20" t="n">
        <x:f>SUM($I$6:I83)/24</x:f>
        <x:v>47.52104183656612</x:v>
      </x:c>
      <x:c r="K83" s="19" t="n">
        <x:f>SUM($G$6:G83)</x:f>
        <x:v>4480300</x:v>
      </x:c>
      <x:c r="L83" s="19" t="n">
        <x:f>IF(A83=20,1,IF(A83=40,2,IF(A83=60,3,IF(A83=80,5,0))))</x:f>
        <x:v>0</x:v>
      </x:c>
      <x:c r="M83" s="19" t="n">
        <x:f>L83*'参数'!$B$6</x:f>
        <x:v>0</x:v>
      </x:c>
      <x:c r="N83" s="19" t="n">
        <x:f>SUM($M$6:M83)</x:f>
        <x:v>30</x:v>
      </x:c>
      <x:c r="O83" s="32" t="n">
        <x:f>D83*('参数'!$B$12+'参数'!$B$13+'参数'!$B$14)</x:f>
        <x:v>157754.34030107202</x:v>
      </x:c>
      <x:c r="P83" s="32" t="n">
        <x:f>'参数'!$B$71</x:f>
        <x:v>0</x:v>
      </x:c>
      <x:c r="Q83" s="32" t="n">
        <x:f>'参数'!$B$72</x:f>
        <x:v>54</x:v>
      </x:c>
      <x:c r="R83" s="32" t="n">
        <x:f>O83+D83*Q83</x:f>
        <x:v>473263.0209032161</x:v>
      </x:c>
      <x:c r="S83" s="34" t="n">
        <x:f>G83/R83*24</x:f>
        <x:v>12.901324908815642</x:v>
      </x:c>
      <x:c r="T83" s="34" t="n">
        <x:f>SUM($S$6:S83)/24</x:f>
        <x:v>15.840347278855369</x:v>
      </x:c>
      <x:c r="U83" s="34" t="n">
        <x:f>G83/O83*24</x:f>
        <x:v>38.70397472644693</x:v>
      </x:c>
      <x:c r="V83" s="34" t="n">
        <x:f>SUM($U$6:U83)/24</x:f>
        <x:v>47.52104183656612</x:v>
      </x:c>
    </x:row>
    <x:row r="84" ht="22" customHeight="1">
      <x:c r="A84" s="18" t="n">
        <x:v>79</x:v>
      </x:c>
      <x:c r="B84" s="23" t="n">
        <x:f>'参数'!$B$8+(A84/100)^'参数'!$B$7</x:f>
        <x:v>0.6708322527424412</x:v>
      </x:c>
      <x:c r="C84" s="15" t="n">
        <x:f>'参数'!$B$5*24*B84/SUM($B$6:$B$104)</x:f>
        <x:v>39.54963340293458</x:v>
      </x:c>
      <x:c r="D84" s="18" t="n">
        <x:f>'参数'!$B$9*'参数'!$B$10^(A84-1)</x:f>
        <x:v>6018.035944818673</x:v>
      </x:c>
      <x:c r="E84" s="18" t="n">
        <x:f>D84*'参数'!$B$11</x:f>
        <x:v>162486.97051010418</x:v>
      </x:c>
      <x:c r="F84" s="18" t="n">
        <x:f>ROUNDUP(E84*C84/24/'参数'!$B$6,0)</x:f>
        <x:v>53553</x:v>
      </x:c>
      <x:c r="G84" s="18" t="n">
        <x:f>F84*'参数'!$B$6</x:f>
        <x:v>267765</x:v>
      </x:c>
      <x:c r="H84" s="18" t="n">
        <x:f>O84+D84*P84</x:f>
        <x:v>162486.97051010418</x:v>
      </x:c>
      <x:c r="I84" s="15" t="n">
        <x:f>G84/H84*24</x:f>
        <x:v>39.55000194677382</x:v>
      </x:c>
      <x:c r="J84" s="15" t="n">
        <x:f>SUM($I$6:I84)/24</x:f>
        <x:v>49.16895858434836</x:v>
      </x:c>
      <x:c r="K84" s="18" t="n">
        <x:f>SUM($G$6:G84)</x:f>
        <x:v>4748065</x:v>
      </x:c>
      <x:c r="L84" s="18" t="n">
        <x:f>IF(A84=20,1,IF(A84=40,2,IF(A84=60,3,IF(A84=80,5,0))))</x:f>
        <x:v>0</x:v>
      </x:c>
      <x:c r="M84" s="18" t="n">
        <x:f>L84*'参数'!$B$6</x:f>
        <x:v>0</x:v>
      </x:c>
      <x:c r="N84" s="18" t="n">
        <x:f>SUM($M$6:M84)</x:f>
        <x:v>30</x:v>
      </x:c>
      <x:c r="O84" s="31" t="n">
        <x:f>D84*('参数'!$B$12+'参数'!$B$13+'参数'!$B$14)</x:f>
        <x:v>162486.97051010418</x:v>
      </x:c>
      <x:c r="P84" s="31" t="n">
        <x:f>'参数'!$B$71</x:f>
        <x:v>0</x:v>
      </x:c>
      <x:c r="Q84" s="31" t="n">
        <x:f>'参数'!$B$72</x:f>
        <x:v>54</x:v>
      </x:c>
      <x:c r="R84" s="31" t="n">
        <x:f>O84+D84*Q84</x:f>
        <x:v>487460.9115303125</x:v>
      </x:c>
      <x:c r="S84" s="33" t="n">
        <x:f>G84/R84*24</x:f>
        <x:v>13.183333982257938</x:v>
      </x:c>
      <x:c r="T84" s="33" t="n">
        <x:f>SUM($S$6:S84)/24</x:f>
        <x:v>16.38965286144945</x:v>
      </x:c>
      <x:c r="U84" s="33" t="n">
        <x:f>G84/O84*24</x:f>
        <x:v>39.55000194677382</x:v>
      </x:c>
      <x:c r="V84" s="33" t="n">
        <x:f>SUM($U$6:U84)/24</x:f>
        <x:v>49.16895858434836</x:v>
      </x:c>
    </x:row>
    <x:row r="85" ht="22" customHeight="1">
      <x:c r="A85" s="19" t="n">
        <x:v>80</x:v>
      </x:c>
      <x:c r="B85" s="24" t="n">
        <x:f>'参数'!$B$8+(A85/100)^'参数'!$B$7</x:f>
        <x:v>0.6853101439943604</x:v>
      </x:c>
      <x:c r="C85" s="20" t="n">
        <x:f>'参数'!$B$5*24*B85/SUM($B$6:$B$104)</x:f>
        <x:v>40.403192976315445</x:v>
      </x:c>
      <x:c r="D85" s="19" t="n">
        <x:f>'参数'!$B$9*'参数'!$B$10^(A85-1)</x:f>
        <x:v>6198.577023163234</x:v>
      </x:c>
      <x:c r="E85" s="19" t="n">
        <x:f>D85*'参数'!$B$11</x:f>
        <x:v>167361.57962540732</x:v>
      </x:c>
      <x:c r="F85" s="19" t="n">
        <x:f>ROUNDUP(E85*C85/24/'参数'!$B$6,0)</x:f>
        <x:v>56350</x:v>
      </x:c>
      <x:c r="G85" s="19" t="n">
        <x:f>F85*'参数'!$B$6</x:f>
        <x:v>281750</x:v>
      </x:c>
      <x:c r="H85" s="19" t="n">
        <x:f>O85+D85*P85</x:f>
        <x:v>167361.57962540732</x:v>
      </x:c>
      <x:c r="I85" s="20" t="n">
        <x:f>G85/H85*24</x:f>
        <x:v>40.40353834574739</x:v>
      </x:c>
      <x:c r="J85" s="20" t="n">
        <x:f>SUM($I$6:I85)/24</x:f>
        <x:v>50.8524393487545</x:v>
      </x:c>
      <x:c r="K85" s="19" t="n">
        <x:f>SUM($G$6:G85)</x:f>
        <x:v>5029815</x:v>
      </x:c>
      <x:c r="L85" s="19" t="n">
        <x:f>IF(A85=20,1,IF(A85=40,2,IF(A85=60,3,IF(A85=80,5,0))))</x:f>
        <x:v>5</x:v>
      </x:c>
      <x:c r="M85" s="19" t="n">
        <x:f>L85*'参数'!$B$6</x:f>
        <x:v>25</x:v>
      </x:c>
      <x:c r="N85" s="19" t="n">
        <x:f>SUM($M$6:M85)</x:f>
        <x:v>55</x:v>
      </x:c>
      <x:c r="O85" s="32" t="n">
        <x:f>D85*('参数'!$B$12+'参数'!$B$13+'参数'!$B$14)</x:f>
        <x:v>167361.57962540732</x:v>
      </x:c>
      <x:c r="P85" s="32" t="n">
        <x:f>'参数'!$B$71</x:f>
        <x:v>0</x:v>
      </x:c>
      <x:c r="Q85" s="32" t="n">
        <x:f>'参数'!$B$72</x:f>
        <x:v>54</x:v>
      </x:c>
      <x:c r="R85" s="32" t="n">
        <x:f>O85+D85*Q85</x:f>
        <x:v>502084.73887622193</x:v>
      </x:c>
      <x:c r="S85" s="34" t="n">
        <x:f>G85/R85*24</x:f>
        <x:v>13.467846115249131</x:v>
      </x:c>
      <x:c r="T85" s="34" t="n">
        <x:f>SUM($S$6:S85)/24</x:f>
        <x:v>16.950813116251496</x:v>
      </x:c>
      <x:c r="U85" s="34" t="n">
        <x:f>G85/O85*24</x:f>
        <x:v>40.40353834574739</x:v>
      </x:c>
      <x:c r="V85" s="34" t="n">
        <x:f>SUM($U$6:U85)/24</x:f>
        <x:v>50.8524393487545</x:v>
      </x:c>
    </x:row>
    <x:row r="86" ht="22" customHeight="1">
      <x:c r="A86" s="18" t="n">
        <x:v>81</x:v>
      </x:c>
      <x:c r="B86" s="23" t="n">
        <x:f>'参数'!$B$8+(A86/100)^'参数'!$B$7</x:f>
        <x:v>0.6999152748098393</x:v>
      </x:c>
      <x:c r="C86" s="15" t="n">
        <x:f>'参数'!$B$5*24*B86/SUM($B$6:$B$104)</x:f>
        <x:v>41.264254094341126</x:v>
      </x:c>
      <x:c r="D86" s="18" t="n">
        <x:f>'参数'!$B$9*'参数'!$B$10^(A86-1)</x:f>
        <x:v>6384.534333858131</x:v>
      </x:c>
      <x:c r="E86" s="18" t="n">
        <x:f>D86*'参数'!$B$11</x:f>
        <x:v>172382.42701416952</x:v>
      </x:c>
      <x:c r="F86" s="18" t="n">
        <x:f>ROUNDUP(E86*C86/24/'参数'!$B$6,0)</x:f>
        <x:v>59277</x:v>
      </x:c>
      <x:c r="G86" s="18" t="n">
        <x:f>F86*'参数'!$B$6</x:f>
        <x:v>296385</x:v>
      </x:c>
      <x:c r="H86" s="18" t="n">
        <x:f>O86+D86*P86</x:f>
        <x:v>172382.42701416952</x:v>
      </x:c>
      <x:c r="I86" s="15" t="n">
        <x:f>G86/H86*24</x:f>
        <x:v>41.26429893817022</x:v>
      </x:c>
      <x:c r="J86" s="15" t="n">
        <x:f>SUM($I$6:I86)/24</x:f>
        <x:v>52.57178513784493</x:v>
      </x:c>
      <x:c r="K86" s="18" t="n">
        <x:f>SUM($G$6:G86)</x:f>
        <x:v>5326200</x:v>
      </x:c>
      <x:c r="L86" s="18" t="n">
        <x:f>IF(A86=20,1,IF(A86=40,2,IF(A86=60,3,IF(A86=80,5,0))))</x:f>
        <x:v>0</x:v>
      </x:c>
      <x:c r="M86" s="18" t="n">
        <x:f>L86*'参数'!$B$6</x:f>
        <x:v>0</x:v>
      </x:c>
      <x:c r="N86" s="18" t="n">
        <x:f>SUM($M$6:M86)</x:f>
        <x:v>55</x:v>
      </x:c>
      <x:c r="O86" s="31" t="n">
        <x:f>D86*('参数'!$B$12+'参数'!$B$13+'参数'!$B$14)</x:f>
        <x:v>172382.42701416952</x:v>
      </x:c>
      <x:c r="P86" s="31" t="n">
        <x:f>'参数'!$B$71</x:f>
        <x:v>0</x:v>
      </x:c>
      <x:c r="Q86" s="31" t="n">
        <x:f>'参数'!$B$72</x:f>
        <x:v>54</x:v>
      </x:c>
      <x:c r="R86" s="31" t="n">
        <x:f>O86+D86*Q86</x:f>
        <x:v>517147.28104250855</x:v>
      </x:c>
      <x:c r="S86" s="33" t="n">
        <x:f>G86/R86*24</x:f>
        <x:v>13.754766312723406</x:v>
      </x:c>
      <x:c r="T86" s="33" t="n">
        <x:f>SUM($S$6:S86)/24</x:f>
        <x:v>17.52392837928164</x:v>
      </x:c>
      <x:c r="U86" s="33" t="n">
        <x:f>G86/O86*24</x:f>
        <x:v>41.26429893817022</x:v>
      </x:c>
      <x:c r="V86" s="33" t="n">
        <x:f>SUM($U$6:U86)/24</x:f>
        <x:v>52.57178513784493</x:v>
      </x:c>
    </x:row>
    <x:row r="87" ht="22" customHeight="1">
      <x:c r="A87" s="19" t="n">
        <x:v>82</x:v>
      </x:c>
      <x:c r="B87" s="24" t="n">
        <x:f>'参数'!$B$8+(A87/100)^'参数'!$B$7</x:f>
        <x:v>0.7146471718647731</x:v>
      </x:c>
      <x:c r="C87" s="20" t="n">
        <x:f>'参数'!$B$5*24*B87/SUM($B$6:$B$104)</x:f>
        <x:v>42.13278885168247</x:v>
      </x:c>
      <x:c r="D87" s="19" t="n">
        <x:f>'参数'!$B$9*'参数'!$B$10^(A87-1)</x:f>
        <x:v>6576.070363873875</x:v>
      </x:c>
      <x:c r="E87" s="19" t="n">
        <x:f>D87*'参数'!$B$11</x:f>
        <x:v>177553.8998245946</x:v>
      </x:c>
      <x:c r="F87" s="19" t="n">
        <x:f>ROUNDUP(E87*C87/24/'参数'!$B$6,0)</x:f>
        <x:v>62341</x:v>
      </x:c>
      <x:c r="G87" s="19" t="n">
        <x:f>F87*'参数'!$B$6</x:f>
        <x:v>311705</x:v>
      </x:c>
      <x:c r="H87" s="19" t="n">
        <x:f>O87+D87*P87</x:f>
        <x:v>177553.8998245946</x:v>
      </x:c>
      <x:c r="I87" s="20" t="n">
        <x:f>G87/H87*24</x:f>
        <x:v>42.13323394974932</x:v>
      </x:c>
      <x:c r="J87" s="20" t="n">
        <x:f>SUM($I$6:I87)/24</x:f>
        <x:v>54.32733655241782</x:v>
      </x:c>
      <x:c r="K87" s="19" t="n">
        <x:f>SUM($G$6:G87)</x:f>
        <x:v>5637905</x:v>
      </x:c>
      <x:c r="L87" s="19" t="n">
        <x:f>IF(A87=20,1,IF(A87=40,2,IF(A87=60,3,IF(A87=80,5,0))))</x:f>
        <x:v>0</x:v>
      </x:c>
      <x:c r="M87" s="19" t="n">
        <x:f>L87*'参数'!$B$6</x:f>
        <x:v>0</x:v>
      </x:c>
      <x:c r="N87" s="19" t="n">
        <x:f>SUM($M$6:M87)</x:f>
        <x:v>55</x:v>
      </x:c>
      <x:c r="O87" s="32" t="n">
        <x:f>D87*('参数'!$B$12+'参数'!$B$13+'参数'!$B$14)</x:f>
        <x:v>177553.8998245946</x:v>
      </x:c>
      <x:c r="P87" s="32" t="n">
        <x:f>'参数'!$B$71</x:f>
        <x:v>0</x:v>
      </x:c>
      <x:c r="Q87" s="32" t="n">
        <x:f>'参数'!$B$72</x:f>
        <x:v>54</x:v>
      </x:c>
      <x:c r="R87" s="32" t="n">
        <x:f>O87+D87*Q87</x:f>
        <x:v>532661.6994737838</x:v>
      </x:c>
      <x:c r="S87" s="34" t="n">
        <x:f>G87/R87*24</x:f>
        <x:v>14.044411316583107</x:v>
      </x:c>
      <x:c r="T87" s="34" t="n">
        <x:f>SUM($S$6:S87)/24</x:f>
        <x:v>18.109112184139267</x:v>
      </x:c>
      <x:c r="U87" s="34" t="n">
        <x:f>G87/O87*24</x:f>
        <x:v>42.13323394974932</x:v>
      </x:c>
      <x:c r="V87" s="34" t="n">
        <x:f>SUM($U$6:U87)/24</x:f>
        <x:v>54.32733655241782</x:v>
      </x:c>
    </x:row>
    <x:row r="88" ht="22" customHeight="1">
      <x:c r="A88" s="18" t="n">
        <x:v>83</x:v>
      </x:c>
      <x:c r="B88" s="23" t="n">
        <x:f>'参数'!$B$8+(A88/100)^'参数'!$B$7</x:f>
        <x:v>0.7295053693717324</x:v>
      </x:c>
      <x:c r="C88" s="15" t="n">
        <x:f>'参数'!$B$5*24*B88/SUM($B$6:$B$104)</x:f>
        <x:v>43.00876978734308</x:v>
      </x:c>
      <x:c r="D88" s="18" t="n">
        <x:f>'参数'!$B$9*'参数'!$B$10^(A88-1)</x:f>
        <x:v>6773.352474790092</x:v>
      </x:c>
      <x:c r="E88" s="18" t="n">
        <x:f>D88*'参数'!$B$11</x:f>
        <x:v>182880.5168193325</x:v>
      </x:c>
      <x:c r="F88" s="18" t="n">
        <x:f>ROUNDUP(E88*C88/24/'参数'!$B$6,0)</x:f>
        <x:v>65546</x:v>
      </x:c>
      <x:c r="G88" s="18" t="n">
        <x:f>F88*'参数'!$B$6</x:f>
        <x:v>327730</x:v>
      </x:c>
      <x:c r="H88" s="18" t="n">
        <x:f>O88+D88*P88</x:f>
        <x:v>182880.5168193325</x:v>
      </x:c>
      <x:c r="I88" s="15" t="n">
        <x:f>G88/H88*24</x:f>
        <x:v>43.009064807982476</x:v>
      </x:c>
      <x:c r="J88" s="15" t="n">
        <x:f>SUM($I$6:I88)/24</x:f>
        <x:v>56.11938091941709</x:v>
      </x:c>
      <x:c r="K88" s="18" t="n">
        <x:f>SUM($G$6:G88)</x:f>
        <x:v>5965635</x:v>
      </x:c>
      <x:c r="L88" s="18" t="n">
        <x:f>IF(A88=20,1,IF(A88=40,2,IF(A88=60,3,IF(A88=80,5,0))))</x:f>
        <x:v>0</x:v>
      </x:c>
      <x:c r="M88" s="18" t="n">
        <x:f>L88*'参数'!$B$6</x:f>
        <x:v>0</x:v>
      </x:c>
      <x:c r="N88" s="18" t="n">
        <x:f>SUM($M$6:M88)</x:f>
        <x:v>55</x:v>
      </x:c>
      <x:c r="O88" s="31" t="n">
        <x:f>D88*('参数'!$B$12+'参数'!$B$13+'参数'!$B$14)</x:f>
        <x:v>182880.5168193325</x:v>
      </x:c>
      <x:c r="P88" s="31" t="n">
        <x:f>'参数'!$B$71</x:f>
        <x:v>0</x:v>
      </x:c>
      <x:c r="Q88" s="31" t="n">
        <x:f>'参数'!$B$72</x:f>
        <x:v>54</x:v>
      </x:c>
      <x:c r="R88" s="31" t="n">
        <x:f>O88+D88*Q88</x:f>
        <x:v>548641.5504579975</x:v>
      </x:c>
      <x:c r="S88" s="33" t="n">
        <x:f>G88/R88*24</x:f>
        <x:v>14.336354935994157</x:v>
      </x:c>
      <x:c r="T88" s="33" t="n">
        <x:f>SUM($S$6:S88)/24</x:f>
        <x:v>18.706460306472355</x:v>
      </x:c>
      <x:c r="U88" s="33" t="n">
        <x:f>G88/O88*24</x:f>
        <x:v>43.009064807982476</x:v>
      </x:c>
      <x:c r="V88" s="33" t="n">
        <x:f>SUM($U$6:U88)/24</x:f>
        <x:v>56.11938091941709</x:v>
      </x:c>
    </x:row>
    <x:row r="89" ht="22" customHeight="1">
      <x:c r="A89" s="19" t="n">
        <x:v>84</x:v>
      </x:c>
      <x:c r="B89" s="24" t="n">
        <x:f>'参数'!$B$8+(A89/100)^'参数'!$B$7</x:f>
        <x:v>0.7444894088702069</x:v>
      </x:c>
      <x:c r="C89" s="20" t="n">
        <x:f>'参数'!$B$5*24*B89/SUM($B$6:$B$104)</x:f>
        <x:v>43.892169872292904</x:v>
      </x:c>
      <x:c r="D89" s="19" t="n">
        <x:f>'参数'!$B$9*'参数'!$B$10^(A89-1)</x:f>
        <x:v>6976.553049033795</x:v>
      </x:c>
      <x:c r="E89" s="19" t="n">
        <x:f>D89*'参数'!$B$11</x:f>
        <x:v>188366.93232391248</x:v>
      </x:c>
      <x:c r="F89" s="19" t="n">
        <x:f>ROUNDUP(E89*C89/24/'参数'!$B$6,0)</x:f>
        <x:v>68899</x:v>
      </x:c>
      <x:c r="G89" s="19" t="n">
        <x:f>F89*'参数'!$B$6</x:f>
        <x:v>344495</x:v>
      </x:c>
      <x:c r="H89" s="19" t="n">
        <x:f>O89+D89*P89</x:f>
        <x:v>188366.93232391248</x:v>
      </x:c>
      <x:c r="I89" s="20" t="n">
        <x:f>G89/H89*24</x:f>
        <x:v>43.892417304873334</x:v>
      </x:c>
      <x:c r="J89" s="20" t="n">
        <x:f>SUM($I$6:I89)/24</x:f>
        <x:v>57.94823164045348</x:v>
      </x:c>
      <x:c r="K89" s="19" t="n">
        <x:f>SUM($G$6:G89)</x:f>
        <x:v>6310130</x:v>
      </x:c>
      <x:c r="L89" s="19" t="n">
        <x:f>IF(A89=20,1,IF(A89=40,2,IF(A89=60,3,IF(A89=80,5,0))))</x:f>
        <x:v>0</x:v>
      </x:c>
      <x:c r="M89" s="19" t="n">
        <x:f>L89*'参数'!$B$6</x:f>
        <x:v>0</x:v>
      </x:c>
      <x:c r="N89" s="19" t="n">
        <x:f>SUM($M$6:M89)</x:f>
        <x:v>55</x:v>
      </x:c>
      <x:c r="O89" s="32" t="n">
        <x:f>D89*('参数'!$B$12+'参数'!$B$13+'参数'!$B$14)</x:f>
        <x:v>188366.93232391248</x:v>
      </x:c>
      <x:c r="P89" s="32" t="n">
        <x:f>'参数'!$B$71</x:f>
        <x:v>0</x:v>
      </x:c>
      <x:c r="Q89" s="32" t="n">
        <x:f>'参数'!$B$72</x:f>
        <x:v>54</x:v>
      </x:c>
      <x:c r="R89" s="32" t="n">
        <x:f>O89+D89*Q89</x:f>
        <x:v>565100.7969717374</x:v>
      </x:c>
      <x:c r="S89" s="34" t="n">
        <x:f>G89/R89*24</x:f>
        <x:v>14.630805768291111</x:v>
      </x:c>
      <x:c r="T89" s="34" t="n">
        <x:f>SUM($S$6:S89)/24</x:f>
        <x:v>19.316077213484487</x:v>
      </x:c>
      <x:c r="U89" s="34" t="n">
        <x:f>G89/O89*24</x:f>
        <x:v>43.892417304873334</x:v>
      </x:c>
      <x:c r="V89" s="34" t="n">
        <x:f>SUM($U$6:U89)/24</x:f>
        <x:v>57.94823164045348</x:v>
      </x:c>
    </x:row>
    <x:row r="90" ht="22" customHeight="1">
      <x:c r="A90" s="18" t="n">
        <x:v>85</x:v>
      </x:c>
      <x:c r="B90" s="23" t="n">
        <x:f>'参数'!$B$8+(A90/100)^'参数'!$B$7</x:f>
        <x:v>0.7595988390251268</x:v>
      </x:c>
      <x:c r="C90" s="15" t="n">
        <x:f>'参数'!$B$5*24*B90/SUM($B$6:$B$104)</x:f>
        <x:v>44.782962497589885</x:v>
      </x:c>
      <x:c r="D90" s="18" t="n">
        <x:f>'参数'!$B$9*'参数'!$B$10^(A90-1)</x:f>
        <x:v>7185.849640504808</x:v>
      </x:c>
      <x:c r="E90" s="18" t="n">
        <x:f>D90*'参数'!$B$11</x:f>
        <x:v>194017.94029362983</x:v>
      </x:c>
      <x:c r="F90" s="18" t="n">
        <x:f>ROUNDUP(E90*C90/24/'参数'!$B$6,0)</x:f>
        <x:v>72406</x:v>
      </x:c>
      <x:c r="G90" s="18" t="n">
        <x:f>F90*'参数'!$B$6</x:f>
        <x:v>362030</x:v>
      </x:c>
      <x:c r="H90" s="18" t="n">
        <x:f>O90+D90*P90</x:f>
        <x:v>194017.94029362983</x:v>
      </x:c>
      <x:c r="I90" s="15" t="n">
        <x:f>G90/H90*24</x:f>
        <x:v>44.78307514681556</x:v>
      </x:c>
      <x:c r="J90" s="15" t="n">
        <x:f>SUM($I$6:I90)/24</x:f>
        <x:v>59.81419310490412</x:v>
      </x:c>
      <x:c r="K90" s="18" t="n">
        <x:f>SUM($G$6:G90)</x:f>
        <x:v>6672160</x:v>
      </x:c>
      <x:c r="L90" s="18" t="n">
        <x:f>IF(A90=20,1,IF(A90=40,2,IF(A90=60,3,IF(A90=80,5,0))))</x:f>
        <x:v>0</x:v>
      </x:c>
      <x:c r="M90" s="18" t="n">
        <x:f>L90*'参数'!$B$6</x:f>
        <x:v>0</x:v>
      </x:c>
      <x:c r="N90" s="18" t="n">
        <x:f>SUM($M$6:M90)</x:f>
        <x:v>55</x:v>
      </x:c>
      <x:c r="O90" s="31" t="n">
        <x:f>D90*('参数'!$B$12+'参数'!$B$13+'参数'!$B$14)</x:f>
        <x:v>194017.94029362983</x:v>
      </x:c>
      <x:c r="P90" s="31" t="n">
        <x:f>'参数'!$B$71</x:f>
        <x:v>0</x:v>
      </x:c>
      <x:c r="Q90" s="31" t="n">
        <x:f>'参数'!$B$72</x:f>
        <x:v>54</x:v>
      </x:c>
      <x:c r="R90" s="31" t="n">
        <x:f>O90+D90*Q90</x:f>
        <x:v>582053.8208808894</x:v>
      </x:c>
      <x:c r="S90" s="33" t="n">
        <x:f>G90/R90*24</x:f>
        <x:v>14.92769171560519</x:v>
      </x:c>
      <x:c r="T90" s="33" t="n">
        <x:f>SUM($S$6:S90)/24</x:f>
        <x:v>19.93806436830137</x:v>
      </x:c>
      <x:c r="U90" s="33" t="n">
        <x:f>G90/O90*24</x:f>
        <x:v>44.78307514681556</x:v>
      </x:c>
      <x:c r="V90" s="33" t="n">
        <x:f>SUM($U$6:U90)/24</x:f>
        <x:v>59.81419310490412</x:v>
      </x:c>
    </x:row>
    <x:row r="91" ht="22" customHeight="1">
      <x:c r="A91" s="19" t="n">
        <x:v>86</x:v>
      </x:c>
      <x:c r="B91" s="24" t="n">
        <x:f>'参数'!$B$8+(A91/100)^'参数'!$B$7</x:f>
        <x:v>0.7748332154332395</x:v>
      </x:c>
      <x:c r="C91" s="20" t="n">
        <x:f>'参数'!$B$5*24*B91/SUM($B$6:$B$104)</x:f>
        <x:v>45.68112146296465</x:v>
      </x:c>
      <x:c r="D91" s="19" t="n">
        <x:f>'参数'!$B$9*'参数'!$B$10^(A91-1)</x:f>
        <x:v>7401.425129719953</x:v>
      </x:c>
      <x:c r="E91" s="19" t="n">
        <x:f>D91*'参数'!$B$11</x:f>
        <x:v>199838.47850243872</x:v>
      </x:c>
      <x:c r="F91" s="19" t="n">
        <x:f>ROUNDUP(E91*C91/24/'参数'!$B$6,0)</x:f>
        <x:v>76074</x:v>
      </x:c>
      <x:c r="G91" s="19" t="n">
        <x:f>F91*'参数'!$B$6</x:f>
        <x:v>380370</x:v>
      </x:c>
      <x:c r="H91" s="19" t="n">
        <x:f>O91+D91*P91</x:f>
        <x:v>199838.47850243872</x:v>
      </x:c>
      <x:c r="I91" s="20" t="n">
        <x:f>G91/H91*24</x:f>
        <x:v>45.68129255391922</x:v>
      </x:c>
      <x:c r="J91" s="20" t="n">
        <x:f>SUM($I$6:I91)/24</x:f>
        <x:v>61.71758029465076</x:v>
      </x:c>
      <x:c r="K91" s="19" t="n">
        <x:f>SUM($G$6:G91)</x:f>
        <x:v>7052530</x:v>
      </x:c>
      <x:c r="L91" s="19" t="n">
        <x:f>IF(A91=20,1,IF(A91=40,2,IF(A91=60,3,IF(A91=80,5,0))))</x:f>
        <x:v>0</x:v>
      </x:c>
      <x:c r="M91" s="19" t="n">
        <x:f>L91*'参数'!$B$6</x:f>
        <x:v>0</x:v>
      </x:c>
      <x:c r="N91" s="19" t="n">
        <x:f>SUM($M$6:M91)</x:f>
        <x:v>55</x:v>
      </x:c>
      <x:c r="O91" s="32" t="n">
        <x:f>D91*('参数'!$B$12+'参数'!$B$13+'参数'!$B$14)</x:f>
        <x:v>199838.47850243872</x:v>
      </x:c>
      <x:c r="P91" s="32" t="n">
        <x:f>'参数'!$B$71</x:f>
        <x:v>0</x:v>
      </x:c>
      <x:c r="Q91" s="32" t="n">
        <x:f>'参数'!$B$72</x:f>
        <x:v>54</x:v>
      </x:c>
      <x:c r="R91" s="32" t="n">
        <x:f>O91+D91*Q91</x:f>
        <x:v>599515.4355073161</x:v>
      </x:c>
      <x:c r="S91" s="34" t="n">
        <x:f>G91/R91*24</x:f>
        <x:v>15.227097517973073</x:v>
      </x:c>
      <x:c r="T91" s="34" t="n">
        <x:f>SUM($S$6:S91)/24</x:f>
        <x:v>20.57252676488358</x:v>
      </x:c>
      <x:c r="U91" s="34" t="n">
        <x:f>G91/O91*24</x:f>
        <x:v>45.68129255391922</x:v>
      </x:c>
      <x:c r="V91" s="34" t="n">
        <x:f>SUM($U$6:U91)/24</x:f>
        <x:v>61.71758029465076</x:v>
      </x:c>
    </x:row>
    <x:row r="92" ht="22" customHeight="1">
      <x:c r="A92" s="18" t="n">
        <x:v>87</x:v>
      </x:c>
      <x:c r="B92" s="23" t="n">
        <x:f>'参数'!$B$8+(A92/100)^'参数'!$B$7</x:f>
        <x:v>0.7901921004369464</x:v>
      </x:c>
      <x:c r="C92" s="15" t="n">
        <x:f>'参数'!$B$5*24*B92/SUM($B$6:$B$104)</x:f>
        <x:v>46.58662096584508</x:v>
      </x:c>
      <x:c r="D92" s="18" t="n">
        <x:f>'参数'!$B$9*'参数'!$B$10^(A92-1)</x:f>
        <x:v>7623.467883611552</x:v>
      </x:c>
      <x:c r="E92" s="18" t="n">
        <x:f>D92*'参数'!$B$11</x:f>
        <x:v>205833.6328575119</x:v>
      </x:c>
      <x:c r="F92" s="18" t="n">
        <x:f>ROUNDUP(E92*C92/24/'参数'!$B$6,0)</x:f>
        <x:v>79910</x:v>
      </x:c>
      <x:c r="G92" s="18" t="n">
        <x:f>F92*'参数'!$B$6</x:f>
        <x:v>399550</x:v>
      </x:c>
      <x:c r="H92" s="18" t="n">
        <x:f>O92+D92*P92</x:f>
        <x:v>205833.6328575119</x:v>
      </x:c>
      <x:c r="I92" s="15" t="n">
        <x:f>G92/H92*24</x:f>
        <x:v>46.587138685144396</x:v>
      </x:c>
      <x:c r="J92" s="15" t="n">
        <x:f>SUM($I$6:I92)/24</x:f>
        <x:v>63.65871107319845</x:v>
      </x:c>
      <x:c r="K92" s="18" t="n">
        <x:f>SUM($G$6:G92)</x:f>
        <x:v>7452080</x:v>
      </x:c>
      <x:c r="L92" s="18" t="n">
        <x:f>IF(A92=20,1,IF(A92=40,2,IF(A92=60,3,IF(A92=80,5,0))))</x:f>
        <x:v>0</x:v>
      </x:c>
      <x:c r="M92" s="18" t="n">
        <x:f>L92*'参数'!$B$6</x:f>
        <x:v>0</x:v>
      </x:c>
      <x:c r="N92" s="18" t="n">
        <x:f>SUM($M$6:M92)</x:f>
        <x:v>55</x:v>
      </x:c>
      <x:c r="O92" s="31" t="n">
        <x:f>D92*('参数'!$B$12+'参数'!$B$13+'参数'!$B$14)</x:f>
        <x:v>205833.6328575119</x:v>
      </x:c>
      <x:c r="P92" s="31" t="n">
        <x:f>'参数'!$B$71</x:f>
        <x:v>0</x:v>
      </x:c>
      <x:c r="Q92" s="31" t="n">
        <x:f>'参数'!$B$72</x:f>
        <x:v>54</x:v>
      </x:c>
      <x:c r="R92" s="31" t="n">
        <x:f>O92+D92*Q92</x:f>
        <x:v>617500.8985725357</x:v>
      </x:c>
      <x:c r="S92" s="33" t="n">
        <x:f>G92/R92*24</x:f>
        <x:v>15.529046228381464</x:v>
      </x:c>
      <x:c r="T92" s="33" t="n">
        <x:f>SUM($S$6:S92)/24</x:f>
        <x:v>21.219570357732806</x:v>
      </x:c>
      <x:c r="U92" s="33" t="n">
        <x:f>G92/O92*24</x:f>
        <x:v>46.587138685144396</x:v>
      </x:c>
      <x:c r="V92" s="33" t="n">
        <x:f>SUM($U$6:U92)/24</x:f>
        <x:v>63.65871107319845</x:v>
      </x:c>
    </x:row>
    <x:row r="93" ht="22" customHeight="1">
      <x:c r="A93" s="19" t="n">
        <x:v>88</x:v>
      </x:c>
      <x:c r="B93" s="24" t="n">
        <x:f>'参数'!$B$8+(A93/100)^'参数'!$B$7</x:f>
        <x:v>0.8056750629452321</x:v>
      </x:c>
      <x:c r="C93" s="20" t="n">
        <x:f>'参数'!$B$5*24*B93/SUM($B$6:$B$104)</x:f>
        <x:v>47.49943559079899</x:v>
      </x:c>
      <x:c r="D93" s="19" t="n">
        <x:f>'参数'!$B$9*'参数'!$B$10^(A93-1)</x:f>
        <x:v>7852.1719201198985</x:v>
      </x:c>
      <x:c r="E93" s="19" t="n">
        <x:f>D93*'参数'!$B$11</x:f>
        <x:v>212008.64184323724</x:v>
      </x:c>
      <x:c r="F93" s="19" t="n">
        <x:f>ROUNDUP(E93*C93/24/'参数'!$B$6,0)</x:f>
        <x:v>83920</x:v>
      </x:c>
      <x:c r="G93" s="19" t="n">
        <x:f>F93*'参数'!$B$6</x:f>
        <x:v>419600</x:v>
      </x:c>
      <x:c r="H93" s="19" t="n">
        <x:f>O93+D93*P93</x:f>
        <x:v>212008.64184323724</x:v>
      </x:c>
      <x:c r="I93" s="20" t="n">
        <x:f>G93/H93*24</x:f>
        <x:v>47.49995053242321</x:v>
      </x:c>
      <x:c r="J93" s="20" t="n">
        <x:f>SUM($I$6:I93)/24</x:f>
        <x:v>65.63787567871607</x:v>
      </x:c>
      <x:c r="K93" s="19" t="n">
        <x:f>SUM($G$6:G93)</x:f>
        <x:v>7871680</x:v>
      </x:c>
      <x:c r="L93" s="19" t="n">
        <x:f>IF(A93=20,1,IF(A93=40,2,IF(A93=60,3,IF(A93=80,5,0))))</x:f>
        <x:v>0</x:v>
      </x:c>
      <x:c r="M93" s="19" t="n">
        <x:f>L93*'参数'!$B$6</x:f>
        <x:v>0</x:v>
      </x:c>
      <x:c r="N93" s="19" t="n">
        <x:f>SUM($M$6:M93)</x:f>
        <x:v>55</x:v>
      </x:c>
      <x:c r="O93" s="32" t="n">
        <x:f>D93*('参数'!$B$12+'参数'!$B$13+'参数'!$B$14)</x:f>
        <x:v>212008.64184323724</x:v>
      </x:c>
      <x:c r="P93" s="32" t="n">
        <x:f>'参数'!$B$71</x:f>
        <x:v>0</x:v>
      </x:c>
      <x:c r="Q93" s="32" t="n">
        <x:f>'参数'!$B$72</x:f>
        <x:v>54</x:v>
      </x:c>
      <x:c r="R93" s="32" t="n">
        <x:f>O93+D93*Q93</x:f>
        <x:v>636025.9255297118</x:v>
      </x:c>
      <x:c r="S93" s="34" t="n">
        <x:f>G93/R93*24</x:f>
        <x:v>15.83331684414107</x:v>
      </x:c>
      <x:c r="T93" s="34" t="n">
        <x:f>SUM($S$6:S93)/24</x:f>
        <x:v>21.879291892905353</x:v>
      </x:c>
      <x:c r="U93" s="34" t="n">
        <x:f>G93/O93*24</x:f>
        <x:v>47.49995053242321</x:v>
      </x:c>
      <x:c r="V93" s="34" t="n">
        <x:f>SUM($U$6:U93)/24</x:f>
        <x:v>65.63787567871607</x:v>
      </x:c>
    </x:row>
    <x:row r="94" ht="22" customHeight="1">
      <x:c r="A94" s="18" t="n">
        <x:v>89</x:v>
      </x:c>
      <x:c r="B94" s="23" t="n">
        <x:f>'参数'!$B$8+(A94/100)^'参数'!$B$7</x:f>
        <x:v>0.8212816782613349</x:v>
      </x:c>
      <x:c r="C94" s="15" t="n">
        <x:f>'参数'!$B$5*24*B94/SUM($B$6:$B$104)</x:f>
        <x:v>48.41954029937428</x:v>
      </x:c>
      <x:c r="D94" s="18" t="n">
        <x:f>'参数'!$B$9*'参数'!$B$10^(A94-1)</x:f>
        <x:v>8087.737077723496</x:v>
      </x:c>
      <x:c r="E94" s="18" t="n">
        <x:f>D94*'参数'!$B$11</x:f>
        <x:v>218368.9010985344</x:v>
      </x:c>
      <x:c r="F94" s="18" t="n">
        <x:f>ROUNDUP(E94*C94/24/'参数'!$B$6,0)</x:f>
        <x:v>88112</x:v>
      </x:c>
      <x:c r="G94" s="18" t="n">
        <x:f>F94*'参数'!$B$6</x:f>
        <x:v>440560</x:v>
      </x:c>
      <x:c r="H94" s="18" t="n">
        <x:f>O94+D94*P94</x:f>
        <x:v>218368.9010985344</x:v>
      </x:c>
      <x:c r="I94" s="15" t="n">
        <x:f>G94/H94*24</x:f>
        <x:v>48.420081553778374</x:v>
      </x:c>
      <x:c r="J94" s="15" t="n">
        <x:f>SUM($I$6:I94)/24</x:f>
        <x:v>67.65537907679017</x:v>
      </x:c>
      <x:c r="K94" s="18" t="n">
        <x:f>SUM($G$6:G94)</x:f>
        <x:v>8312240</x:v>
      </x:c>
      <x:c r="L94" s="18" t="n">
        <x:f>IF(A94=20,1,IF(A94=40,2,IF(A94=60,3,IF(A94=80,5,0))))</x:f>
        <x:v>0</x:v>
      </x:c>
      <x:c r="M94" s="18" t="n">
        <x:f>L94*'参数'!$B$6</x:f>
        <x:v>0</x:v>
      </x:c>
      <x:c r="N94" s="18" t="n">
        <x:f>SUM($M$6:M94)</x:f>
        <x:v>55</x:v>
      </x:c>
      <x:c r="O94" s="31" t="n">
        <x:f>D94*('参数'!$B$12+'参数'!$B$13+'参数'!$B$14)</x:f>
        <x:v>218368.9010985344</x:v>
      </x:c>
      <x:c r="P94" s="31" t="n">
        <x:f>'参数'!$B$71</x:f>
        <x:v>0</x:v>
      </x:c>
      <x:c r="Q94" s="31" t="n">
        <x:f>'参数'!$B$72</x:f>
        <x:v>54</x:v>
      </x:c>
      <x:c r="R94" s="31" t="n">
        <x:f>O94+D94*Q94</x:f>
        <x:v>655106.7032956032</x:v>
      </x:c>
      <x:c r="S94" s="33" t="n">
        <x:f>G94/R94*24</x:f>
        <x:v>16.140027184592793</x:v>
      </x:c>
      <x:c r="T94" s="33" t="n">
        <x:f>SUM($S$6:S94)/24</x:f>
        <x:v>22.55179302559672</x:v>
      </x:c>
      <x:c r="U94" s="33" t="n">
        <x:f>G94/O94*24</x:f>
        <x:v>48.420081553778374</x:v>
      </x:c>
      <x:c r="V94" s="33" t="n">
        <x:f>SUM($U$6:U94)/24</x:f>
        <x:v>67.65537907679017</x:v>
      </x:c>
    </x:row>
    <x:row r="95" ht="22" customHeight="1">
      <x:c r="A95" s="19" t="n">
        <x:v>90</x:v>
      </x:c>
      <x:c r="B95" s="24" t="n">
        <x:f>'参数'!$B$8+(A95/100)^'参数'!$B$7</x:f>
        <x:v>0.837011527916834</x:v>
      </x:c>
      <x:c r="C95" s="20" t="n">
        <x:f>'参数'!$B$5*24*B95/SUM($B$6:$B$104)</x:f>
        <x:v>49.34691042031734</x:v>
      </x:c>
      <x:c r="D95" s="19" t="n">
        <x:f>'参数'!$B$9*'参数'!$B$10^(A95-1)</x:f>
        <x:v>8330.3691900552</x:v>
      </x:c>
      <x:c r="E95" s="19" t="n">
        <x:f>D95*'参数'!$B$11</x:f>
        <x:v>224919.9681314904</x:v>
      </x:c>
      <x:c r="F95" s="19" t="n">
        <x:f>ROUNDUP(E95*C95/24/'参数'!$B$6,0)</x:f>
        <x:v>92493</x:v>
      </x:c>
      <x:c r="G95" s="19" t="n">
        <x:f>F95*'参数'!$B$6</x:f>
        <x:v>462465</x:v>
      </x:c>
      <x:c r="H95" s="19" t="n">
        <x:f>O95+D95*P95</x:f>
        <x:v>224919.9681314904</x:v>
      </x:c>
      <x:c r="I95" s="20" t="n">
        <x:f>G95/H95*24</x:f>
        <x:v>49.34715264369646</x:v>
      </x:c>
      <x:c r="J95" s="20" t="n">
        <x:f>SUM($I$6:I95)/24</x:f>
        <x:v>69.7115104369442</x:v>
      </x:c>
      <x:c r="K95" s="19" t="n">
        <x:f>SUM($G$6:G95)</x:f>
        <x:v>8774705</x:v>
      </x:c>
      <x:c r="L95" s="19" t="n">
        <x:f>IF(A95=20,1,IF(A95=40,2,IF(A95=60,3,IF(A95=80,5,0))))</x:f>
        <x:v>0</x:v>
      </x:c>
      <x:c r="M95" s="19" t="n">
        <x:f>L95*'参数'!$B$6</x:f>
        <x:v>0</x:v>
      </x:c>
      <x:c r="N95" s="19" t="n">
        <x:f>SUM($M$6:M95)</x:f>
        <x:v>55</x:v>
      </x:c>
      <x:c r="O95" s="32" t="n">
        <x:f>D95*('参数'!$B$12+'参数'!$B$13+'参数'!$B$14)</x:f>
        <x:v>224919.9681314904</x:v>
      </x:c>
      <x:c r="P95" s="32" t="n">
        <x:f>'参数'!$B$71</x:f>
        <x:v>0</x:v>
      </x:c>
      <x:c r="Q95" s="32" t="n">
        <x:f>'参数'!$B$72</x:f>
        <x:v>54</x:v>
      </x:c>
      <x:c r="R95" s="32" t="n">
        <x:f>O95+D95*Q95</x:f>
        <x:v>674759.9043944712</x:v>
      </x:c>
      <x:c r="S95" s="34" t="n">
        <x:f>G95/R95*24</x:f>
        <x:v>16.449050881232154</x:v>
      </x:c>
      <x:c r="T95" s="34" t="n">
        <x:f>SUM($S$6:S95)/24</x:f>
        <x:v>23.237170145648054</x:v>
      </x:c>
      <x:c r="U95" s="34" t="n">
        <x:f>G95/O95*24</x:f>
        <x:v>49.34715264369646</x:v>
      </x:c>
      <x:c r="V95" s="34" t="n">
        <x:f>SUM($U$6:U95)/24</x:f>
        <x:v>69.7115104369442</x:v>
      </x:c>
    </x:row>
    <x:row r="96" ht="22" customHeight="1">
      <x:c r="A96" s="18" t="n">
        <x:v>91</x:v>
      </x:c>
      <x:c r="B96" s="23" t="n">
        <x:f>'参数'!$B$8+(A96/100)^'参数'!$B$7</x:f>
        <x:v>0.8528641995118446</x:v>
      </x:c>
      <x:c r="C96" s="15" t="n">
        <x:f>'参数'!$B$5*24*B96/SUM($B$6:$B$104)</x:f>
        <x:v>50.28152164015161</x:v>
      </x:c>
      <x:c r="D96" s="18" t="n">
        <x:f>'参数'!$B$9*'参数'!$B$10^(A96-1)</x:f>
        <x:v>8580.280265756857</x:v>
      </x:c>
      <x:c r="E96" s="18" t="n">
        <x:f>D96*'参数'!$B$11</x:f>
        <x:v>231667.56717543514</x:v>
      </x:c>
      <x:c r="F96" s="18" t="n">
        <x:f>ROUNDUP(E96*C96/24/'参数'!$B$6,0)</x:f>
        <x:v>97072</x:v>
      </x:c>
      <x:c r="G96" s="18" t="n">
        <x:f>F96*'参数'!$B$6</x:f>
        <x:v>485360</x:v>
      </x:c>
      <x:c r="H96" s="18" t="n">
        <x:f>O96+D96*P96</x:f>
        <x:v>231667.56717543514</x:v>
      </x:c>
      <x:c r="I96" s="15" t="n">
        <x:f>G96/H96*24</x:f>
        <x:v>50.28170383115744</x:v>
      </x:c>
      <x:c r="J96" s="15" t="n">
        <x:f>SUM($I$6:I96)/24</x:f>
        <x:v>71.80658142990909</x:v>
      </x:c>
      <x:c r="K96" s="18" t="n">
        <x:f>SUM($G$6:G96)</x:f>
        <x:v>9260065</x:v>
      </x:c>
      <x:c r="L96" s="18" t="n">
        <x:f>IF(A96=20,1,IF(A96=40,2,IF(A96=60,3,IF(A96=80,5,0))))</x:f>
        <x:v>0</x:v>
      </x:c>
      <x:c r="M96" s="18" t="n">
        <x:f>L96*'参数'!$B$6</x:f>
        <x:v>0</x:v>
      </x:c>
      <x:c r="N96" s="18" t="n">
        <x:f>SUM($M$6:M96)</x:f>
        <x:v>55</x:v>
      </x:c>
      <x:c r="O96" s="31" t="n">
        <x:f>D96*('参数'!$B$12+'参数'!$B$13+'参数'!$B$14)</x:f>
        <x:v>231667.56717543514</x:v>
      </x:c>
      <x:c r="P96" s="31" t="n">
        <x:f>'参数'!$B$71</x:f>
        <x:v>0</x:v>
      </x:c>
      <x:c r="Q96" s="31" t="n">
        <x:f>'参数'!$B$72</x:f>
        <x:v>54</x:v>
      </x:c>
      <x:c r="R96" s="31" t="n">
        <x:f>O96+D96*Q96</x:f>
        <x:v>695002.7015263054</x:v>
      </x:c>
      <x:c r="S96" s="33" t="n">
        <x:f>G96/R96*24</x:f>
        <x:v>16.760567943719145</x:v>
      </x:c>
      <x:c r="T96" s="33" t="n">
        <x:f>SUM($S$6:S96)/24</x:f>
        <x:v>23.93552714330302</x:v>
      </x:c>
      <x:c r="U96" s="33" t="n">
        <x:f>G96/O96*24</x:f>
        <x:v>50.28170383115744</x:v>
      </x:c>
      <x:c r="V96" s="33" t="n">
        <x:f>SUM($U$6:U96)/24</x:f>
        <x:v>71.80658142990909</x:v>
      </x:c>
    </x:row>
    <x:row r="97" ht="22" customHeight="1">
      <x:c r="A97" s="19" t="n">
        <x:v>92</x:v>
      </x:c>
      <x:c r="B97" s="24" t="n">
        <x:f>'参数'!$B$8+(A97/100)^'参数'!$B$7</x:f>
        <x:v>0.8688392865610306</x:v>
      </x:c>
      <x:c r="C97" s="20" t="n">
        <x:f>'参数'!$B$5*24*B97/SUM($B$6:$B$104)</x:f>
        <x:v>51.22334999409907</x:v>
      </x:c>
      <x:c r="D97" s="19" t="n">
        <x:f>'参数'!$B$9*'参数'!$B$10^(A97-1)</x:f>
        <x:v>8837.688673729563</x:v>
      </x:c>
      <x:c r="E97" s="19" t="n">
        <x:f>D97*'参数'!$B$11</x:f>
        <x:v>238617.5941906982</x:v>
      </x:c>
      <x:c r="F97" s="19" t="n">
        <x:f>ROUNDUP(E97*C97/24/'参数'!$B$6,0)</x:f>
        <x:v>101857</x:v>
      </x:c>
      <x:c r="G97" s="19" t="n">
        <x:f>F97*'参数'!$B$6</x:f>
        <x:v>509285</x:v>
      </x:c>
      <x:c r="H97" s="19" t="n">
        <x:f>O97+D97*P97</x:f>
        <x:v>238617.5941906982</x:v>
      </x:c>
      <x:c r="I97" s="20" t="n">
        <x:f>G97/H97*24</x:f>
        <x:v>51.22354888144484</x:v>
      </x:c>
      <x:c r="J97" s="20" t="n">
        <x:f>SUM($I$6:I97)/24</x:f>
        <x:v>73.94089596663596</x:v>
      </x:c>
      <x:c r="K97" s="19" t="n">
        <x:f>SUM($G$6:G97)</x:f>
        <x:v>9769350</x:v>
      </x:c>
      <x:c r="L97" s="19" t="n">
        <x:f>IF(A97=20,1,IF(A97=40,2,IF(A97=60,3,IF(A97=80,5,0))))</x:f>
        <x:v>0</x:v>
      </x:c>
      <x:c r="M97" s="19" t="n">
        <x:f>L97*'参数'!$B$6</x:f>
        <x:v>0</x:v>
      </x:c>
      <x:c r="N97" s="19" t="n">
        <x:f>SUM($M$6:M97)</x:f>
        <x:v>55</x:v>
      </x:c>
      <x:c r="O97" s="32" t="n">
        <x:f>D97*('参数'!$B$12+'参数'!$B$13+'参数'!$B$14)</x:f>
        <x:v>238617.5941906982</x:v>
      </x:c>
      <x:c r="P97" s="32" t="n">
        <x:f>'参数'!$B$71</x:f>
        <x:v>0</x:v>
      </x:c>
      <x:c r="Q97" s="32" t="n">
        <x:f>'参数'!$B$72</x:f>
        <x:v>54</x:v>
      </x:c>
      <x:c r="R97" s="32" t="n">
        <x:f>O97+D97*Q97</x:f>
        <x:v>715852.7825720946</x:v>
      </x:c>
      <x:c r="S97" s="34" t="n">
        <x:f>G97/R97*24</x:f>
        <x:v>17.07451629381495</x:v>
      </x:c>
      <x:c r="T97" s="34" t="n">
        <x:f>SUM($S$6:S97)/24</x:f>
        <x:v>24.646965322211972</x:v>
      </x:c>
      <x:c r="U97" s="34" t="n">
        <x:f>G97/O97*24</x:f>
        <x:v>51.22354888144484</x:v>
      </x:c>
      <x:c r="V97" s="34" t="n">
        <x:f>SUM($U$6:U97)/24</x:f>
        <x:v>73.94089596663596</x:v>
      </x:c>
    </x:row>
    <x:row r="98" ht="22" customHeight="1">
      <x:c r="A98" s="18" t="n">
        <x:v>93</x:v>
      </x:c>
      <x:c r="B98" s="23" t="n">
        <x:f>'参数'!$B$8+(A98/100)^'参数'!$B$7</x:f>
        <x:v>0.8849363883451634</x:v>
      </x:c>
      <x:c r="C98" s="15" t="n">
        <x:f>'参数'!$B$5*24*B98/SUM($B$6:$B$104)</x:f>
        <x:v>52.17237185732872</x:v>
      </x:c>
      <x:c r="D98" s="18" t="n">
        <x:f>'参数'!$B$9*'参数'!$B$10^(A98-1)</x:f>
        <x:v>9102.81933394145</x:v>
      </x:c>
      <x:c r="E98" s="18" t="n">
        <x:f>D98*'参数'!$B$11</x:f>
        <x:v>245776.12201641916</x:v>
      </x:c>
      <x:c r="F98" s="18" t="n">
        <x:f>ROUNDUP(E98*C98/24/'参数'!$B$6,0)</x:f>
        <x:v>106857</x:v>
      </x:c>
      <x:c r="G98" s="18" t="n">
        <x:f>F98*'参数'!$B$6</x:f>
        <x:v>534285</x:v>
      </x:c>
      <x:c r="H98" s="18" t="n">
        <x:f>O98+D98*P98</x:f>
        <x:v>245776.12201641916</x:v>
      </x:c>
      <x:c r="I98" s="15" t="n">
        <x:f>G98/H98*24</x:f>
        <x:v>52.172846958433844</x:v>
      </x:c>
      <x:c r="J98" s="15" t="n">
        <x:f>SUM($I$6:I98)/24</x:f>
        <x:v>76.11476458990404</x:v>
      </x:c>
      <x:c r="K98" s="18" t="n">
        <x:f>SUM($G$6:G98)</x:f>
        <x:v>10303635</x:v>
      </x:c>
      <x:c r="L98" s="18" t="n">
        <x:f>IF(A98=20,1,IF(A98=40,2,IF(A98=60,3,IF(A98=80,5,0))))</x:f>
        <x:v>0</x:v>
      </x:c>
      <x:c r="M98" s="18" t="n">
        <x:f>L98*'参数'!$B$6</x:f>
        <x:v>0</x:v>
      </x:c>
      <x:c r="N98" s="18" t="n">
        <x:f>SUM($M$6:M98)</x:f>
        <x:v>55</x:v>
      </x:c>
      <x:c r="O98" s="31" t="n">
        <x:f>D98*('参数'!$B$12+'参数'!$B$13+'参数'!$B$14)</x:f>
        <x:v>245776.12201641916</x:v>
      </x:c>
      <x:c r="P98" s="31" t="n">
        <x:f>'参数'!$B$71</x:f>
        <x:v>0</x:v>
      </x:c>
      <x:c r="Q98" s="31" t="n">
        <x:f>'参数'!$B$72</x:f>
        <x:v>54</x:v>
      </x:c>
      <x:c r="R98" s="31" t="n">
        <x:f>O98+D98*Q98</x:f>
        <x:v>737328.3660492575</x:v>
      </x:c>
      <x:c r="S98" s="33" t="n">
        <x:f>G98/R98*24</x:f>
        <x:v>17.390948986144615</x:v>
      </x:c>
      <x:c r="T98" s="33" t="n">
        <x:f>SUM($S$6:S98)/24</x:f>
        <x:v>25.371588196634665</x:v>
      </x:c>
      <x:c r="U98" s="33" t="n">
        <x:f>G98/O98*24</x:f>
        <x:v>52.172846958433844</x:v>
      </x:c>
      <x:c r="V98" s="33" t="n">
        <x:f>SUM($U$6:U98)/24</x:f>
        <x:v>76.11476458990404</x:v>
      </x:c>
    </x:row>
    <x:row r="99" ht="22" customHeight="1">
      <x:c r="A99" s="19" t="n">
        <x:v>94</x:v>
      </x:c>
      <x:c r="B99" s="24" t="n">
        <x:f>'参数'!$B$8+(A99/100)^'参数'!$B$7</x:f>
        <x:v>0.9011551097679676</x:v>
      </x:c>
      <x:c r="C99" s="20" t="n">
        <x:f>'参数'!$B$5*24*B99/SUM($B$6:$B$104)</x:f>
        <x:v>53.12856393651681</x:v>
      </x:c>
      <x:c r="D99" s="19" t="n">
        <x:f>'参数'!$B$9*'参数'!$B$10^(A99-1)</x:f>
        <x:v>9375.903913959693</x:v>
      </x:c>
      <x:c r="E99" s="19" t="n">
        <x:f>D99*'参数'!$B$11</x:f>
        <x:v>253149.40567691173</x:v>
      </x:c>
      <x:c r="F99" s="19" t="n">
        <x:f>ROUNDUP(E99*C99/24/'参数'!$B$6,0)</x:f>
        <x:v>112079</x:v>
      </x:c>
      <x:c r="G99" s="19" t="n">
        <x:f>F99*'参数'!$B$6</x:f>
        <x:v>560395</x:v>
      </x:c>
      <x:c r="H99" s="19" t="n">
        <x:f>O99+D99*P99</x:f>
        <x:v>253149.40567691173</x:v>
      </x:c>
      <x:c r="I99" s="20" t="n">
        <x:f>G99/H99*24</x:f>
        <x:v>53.1286256194701</x:v>
      </x:c>
      <x:c r="J99" s="20" t="n">
        <x:f>SUM($I$6:I99)/24</x:f>
        <x:v>78.32845732404863</x:v>
      </x:c>
      <x:c r="K99" s="19" t="n">
        <x:f>SUM($G$6:G99)</x:f>
        <x:v>10864030</x:v>
      </x:c>
      <x:c r="L99" s="19" t="n">
        <x:f>IF(A99=20,1,IF(A99=40,2,IF(A99=60,3,IF(A99=80,5,0))))</x:f>
        <x:v>0</x:v>
      </x:c>
      <x:c r="M99" s="19" t="n">
        <x:f>L99*'参数'!$B$6</x:f>
        <x:v>0</x:v>
      </x:c>
      <x:c r="N99" s="19" t="n">
        <x:f>SUM($M$6:M99)</x:f>
        <x:v>55</x:v>
      </x:c>
      <x:c r="O99" s="32" t="n">
        <x:f>D99*('参数'!$B$12+'参数'!$B$13+'参数'!$B$14)</x:f>
        <x:v>253149.40567691173</x:v>
      </x:c>
      <x:c r="P99" s="32" t="n">
        <x:f>'参数'!$B$71</x:f>
        <x:v>0</x:v>
      </x:c>
      <x:c r="Q99" s="32" t="n">
        <x:f>'参数'!$B$72</x:f>
        <x:v>54</x:v>
      </x:c>
      <x:c r="R99" s="32" t="n">
        <x:f>O99+D99*Q99</x:f>
        <x:v>759448.2170307352</x:v>
      </x:c>
      <x:c r="S99" s="34" t="n">
        <x:f>G99/R99*24</x:f>
        <x:v>17.709541873156695</x:v>
      </x:c>
      <x:c r="T99" s="34" t="n">
        <x:f>SUM($S$6:S99)/24</x:f>
        <x:v>26.109485774682863</x:v>
      </x:c>
      <x:c r="U99" s="34" t="n">
        <x:f>G99/O99*24</x:f>
        <x:v>53.1286256194701</x:v>
      </x:c>
      <x:c r="V99" s="34" t="n">
        <x:f>SUM($U$6:U99)/24</x:f>
        <x:v>78.32845732404863</x:v>
      </x:c>
    </x:row>
    <x:row r="100" ht="22" customHeight="1">
      <x:c r="A100" s="18" t="n">
        <x:v>95</x:v>
      </x:c>
      <x:c r="B100" s="23" t="n">
        <x:f>'参数'!$B$8+(A100/100)^'参数'!$B$7</x:f>
        <x:v>0.9174950612180126</x:v>
      </x:c>
      <x:c r="C100" s="15" t="n">
        <x:f>'参数'!$B$5*24*B100/SUM($B$6:$B$104)</x:f>
        <x:v>54.09190326170449</x:v>
      </x:c>
      <x:c r="D100" s="18" t="n">
        <x:f>'参数'!$B$9*'参数'!$B$10^(A100-1)</x:f>
        <x:v>9657.181031378484</x:v>
      </x:c>
      <x:c r="E100" s="18" t="n">
        <x:f>D100*'参数'!$B$11</x:f>
        <x:v>260743.88784721907</x:v>
      </x:c>
      <x:c r="F100" s="18" t="n">
        <x:f>ROUNDUP(E100*C100/24/'参数'!$B$6,0)</x:f>
        <x:v>117535</x:v>
      </x:c>
      <x:c r="G100" s="18" t="n">
        <x:f>F100*'参数'!$B$6</x:f>
        <x:v>587675</x:v>
      </x:c>
      <x:c r="H100" s="18" t="n">
        <x:f>O100+D100*P100</x:f>
        <x:v>260743.88784721907</x:v>
      </x:c>
      <x:c r="I100" s="15" t="n">
        <x:f>G100/H100*24</x:f>
        <x:v>54.09215961474139</x:v>
      </x:c>
      <x:c r="J100" s="15" t="n">
        <x:f>SUM($I$6:I100)/24</x:f>
        <x:v>80.58229730799619</x:v>
      </x:c>
      <x:c r="K100" s="18" t="n">
        <x:f>SUM($G$6:G100)</x:f>
        <x:v>11451705</x:v>
      </x:c>
      <x:c r="L100" s="18" t="n">
        <x:f>IF(A100=20,1,IF(A100=40,2,IF(A100=60,3,IF(A100=80,5,0))))</x:f>
        <x:v>0</x:v>
      </x:c>
      <x:c r="M100" s="18" t="n">
        <x:f>L100*'参数'!$B$6</x:f>
        <x:v>0</x:v>
      </x:c>
      <x:c r="N100" s="18" t="n">
        <x:f>SUM($M$6:M100)</x:f>
        <x:v>55</x:v>
      </x:c>
      <x:c r="O100" s="31" t="n">
        <x:f>D100*('参数'!$B$12+'参数'!$B$13+'参数'!$B$14)</x:f>
        <x:v>260743.88784721907</x:v>
      </x:c>
      <x:c r="P100" s="31" t="n">
        <x:f>'参数'!$B$71</x:f>
        <x:v>0</x:v>
      </x:c>
      <x:c r="Q100" s="31" t="n">
        <x:f>'参数'!$B$72</x:f>
        <x:v>54</x:v>
      </x:c>
      <x:c r="R100" s="31" t="n">
        <x:f>O100+D100*Q100</x:f>
        <x:v>782231.6635416572</x:v>
      </x:c>
      <x:c r="S100" s="33" t="n">
        <x:f>G100/R100*24</x:f>
        <x:v>18.030719871580462</x:v>
      </x:c>
      <x:c r="T100" s="33" t="n">
        <x:f>SUM($S$6:S100)/24</x:f>
        <x:v>26.860765769332048</x:v>
      </x:c>
      <x:c r="U100" s="33" t="n">
        <x:f>G100/O100*24</x:f>
        <x:v>54.09215961474139</x:v>
      </x:c>
      <x:c r="V100" s="33" t="n">
        <x:f>SUM($U$6:U100)/24</x:f>
        <x:v>80.58229730799619</x:v>
      </x:c>
    </x:row>
    <x:row r="101" ht="22" customHeight="1">
      <x:c r="A101" s="19" t="n">
        <x:v>96</x:v>
      </x:c>
      <x:c r="B101" s="24" t="n">
        <x:f>'参数'!$B$8+(A101/100)^'参数'!$B$7</x:f>
        <x:v>0.9339558584354186</x:v>
      </x:c>
      <x:c r="C101" s="20" t="n">
        <x:f>'参数'!$B$5*24*B101/SUM($B$6:$B$104)</x:f>
        <x:v>55.062367178439274</x:v>
      </x:c>
      <x:c r="D101" s="19" t="n">
        <x:f>'参数'!$B$9*'参数'!$B$10^(A101-1)</x:f>
        <x:v>9946.89646231984</x:v>
      </x:c>
      <x:c r="E101" s="19" t="n">
        <x:f>D101*'参数'!$B$11</x:f>
        <x:v>268566.2044826357</x:v>
      </x:c>
      <x:c r="F101" s="19" t="n">
        <x:f>ROUNDUP(E101*C101/24/'参数'!$B$6,0)</x:f>
        <x:v>123233</x:v>
      </x:c>
      <x:c r="G101" s="19" t="n">
        <x:f>F101*'参数'!$B$6</x:f>
        <x:v>616165</x:v>
      </x:c>
      <x:c r="H101" s="19" t="n">
        <x:f>O101+D101*P101</x:f>
        <x:v>268566.2044826357</x:v>
      </x:c>
      <x:c r="I101" s="20" t="n">
        <x:f>G101/H101*24</x:f>
        <x:v>55.06262423631237</x:v>
      </x:c>
      <x:c r="J101" s="20" t="n">
        <x:f>SUM($I$6:I101)/24</x:f>
        <x:v>82.87657331784253</x:v>
      </x:c>
      <x:c r="K101" s="19" t="n">
        <x:f>SUM($G$6:G101)</x:f>
        <x:v>12067870</x:v>
      </x:c>
      <x:c r="L101" s="19" t="n">
        <x:f>IF(A101=20,1,IF(A101=40,2,IF(A101=60,3,IF(A101=80,5,0))))</x:f>
        <x:v>0</x:v>
      </x:c>
      <x:c r="M101" s="19" t="n">
        <x:f>L101*'参数'!$B$6</x:f>
        <x:v>0</x:v>
      </x:c>
      <x:c r="N101" s="19" t="n">
        <x:f>SUM($M$6:M101)</x:f>
        <x:v>55</x:v>
      </x:c>
      <x:c r="O101" s="32" t="n">
        <x:f>D101*('参数'!$B$12+'参数'!$B$13+'参数'!$B$14)</x:f>
        <x:v>268566.2044826357</x:v>
      </x:c>
      <x:c r="P101" s="32" t="n">
        <x:f>'参数'!$B$71</x:f>
        <x:v>0</x:v>
      </x:c>
      <x:c r="Q101" s="32" t="n">
        <x:f>'参数'!$B$72</x:f>
        <x:v>54</x:v>
      </x:c>
      <x:c r="R101" s="32" t="n">
        <x:f>O101+D101*Q101</x:f>
        <x:v>805698.6134479071</x:v>
      </x:c>
      <x:c r="S101" s="34" t="n">
        <x:f>G101/R101*24</x:f>
        <x:v>18.35420807877079</x:v>
      </x:c>
      <x:c r="T101" s="34" t="n">
        <x:f>SUM($S$6:S101)/24</x:f>
        <x:v>27.625524439280827</x:v>
      </x:c>
      <x:c r="U101" s="34" t="n">
        <x:f>G101/O101*24</x:f>
        <x:v>55.06262423631237</x:v>
      </x:c>
      <x:c r="V101" s="34" t="n">
        <x:f>SUM($U$6:U101)/24</x:f>
        <x:v>82.87657331784253</x:v>
      </x:c>
    </x:row>
    <x:row r="102" ht="22" customHeight="1">
      <x:c r="A102" s="18" t="n">
        <x:v>97</x:v>
      </x:c>
      <x:c r="B102" s="23" t="n">
        <x:f>'参数'!$B$8+(A102/100)^'参数'!$B$7</x:f>
        <x:v>0.9505371223831631</x:v>
      </x:c>
      <x:c r="C102" s="15" t="n">
        <x:f>'参数'!$B$5*24*B102/SUM($B$6:$B$104)</x:f>
        <x:v>56.03993334018787</x:v>
      </x:c>
      <x:c r="D102" s="18" t="n">
        <x:f>'参数'!$B$9*'参数'!$B$10^(A102-1)</x:f>
        <x:v>10245.303356189435</x:v>
      </x:c>
      <x:c r="E102" s="18" t="n">
        <x:f>D102*'参数'!$B$11</x:f>
        <x:v>276623.1906171148</x:v>
      </x:c>
      <x:c r="F102" s="18" t="n">
        <x:f>ROUNDUP(E102*C102/24/'参数'!$B$6,0)</x:f>
        <x:v>129183</x:v>
      </x:c>
      <x:c r="G102" s="18" t="n">
        <x:f>F102*'参数'!$B$6</x:f>
        <x:v>645915</x:v>
      </x:c>
      <x:c r="H102" s="18" t="n">
        <x:f>O102+D102*P102</x:f>
        <x:v>276623.1906171148</x:v>
      </x:c>
      <x:c r="I102" s="15" t="n">
        <x:f>G102/H102*24</x:f>
        <x:v>56.03998697801474</x:v>
      </x:c>
      <x:c r="J102" s="15" t="n">
        <x:f>SUM($I$6:I102)/24</x:f>
        <x:v>85.21157277525981</x:v>
      </x:c>
      <x:c r="K102" s="18" t="n">
        <x:f>SUM($G$6:G102)</x:f>
        <x:v>12713785</x:v>
      </x:c>
      <x:c r="L102" s="18" t="n">
        <x:f>IF(A102=20,1,IF(A102=40,2,IF(A102=60,3,IF(A102=80,5,0))))</x:f>
        <x:v>0</x:v>
      </x:c>
      <x:c r="M102" s="18" t="n">
        <x:f>L102*'参数'!$B$6</x:f>
        <x:v>0</x:v>
      </x:c>
      <x:c r="N102" s="18" t="n">
        <x:f>SUM($M$6:M102)</x:f>
        <x:v>55</x:v>
      </x:c>
      <x:c r="O102" s="31" t="n">
        <x:f>D102*('参数'!$B$12+'参数'!$B$13+'参数'!$B$14)</x:f>
        <x:v>276623.1906171148</x:v>
      </x:c>
      <x:c r="P102" s="31" t="n">
        <x:f>'参数'!$B$71</x:f>
        <x:v>0</x:v>
      </x:c>
      <x:c r="Q102" s="31" t="n">
        <x:f>'参数'!$B$72</x:f>
        <x:v>54</x:v>
      </x:c>
      <x:c r="R102" s="31" t="n">
        <x:f>O102+D102*Q102</x:f>
        <x:v>829869.5718513443</x:v>
      </x:c>
      <x:c r="S102" s="33" t="n">
        <x:f>G102/R102*24</x:f>
        <x:v>18.679995659338246</x:v>
      </x:c>
      <x:c r="T102" s="33" t="n">
        <x:f>SUM($S$6:S102)/24</x:f>
        <x:v>28.403857591753255</x:v>
      </x:c>
      <x:c r="U102" s="33" t="n">
        <x:f>G102/O102*24</x:f>
        <x:v>56.03998697801474</x:v>
      </x:c>
      <x:c r="V102" s="33" t="n">
        <x:f>SUM($U$6:U102)/24</x:f>
        <x:v>85.21157277525981</x:v>
      </x:c>
    </x:row>
    <x:row r="103" ht="22" customHeight="1">
      <x:c r="A103" s="19" t="n">
        <x:v>98</x:v>
      </x:c>
      <x:c r="B103" s="24" t="n">
        <x:f>'参数'!$B$8+(A103/100)^'参数'!$B$7</x:f>
        <x:v>0.9672384791227818</x:v>
      </x:c>
      <x:c r="C103" s="20" t="n">
        <x:f>'参数'!$B$5*24*B103/SUM($B$6:$B$104)</x:f>
        <x:v>57.0245797010079</x:v>
      </x:c>
      <x:c r="D103" s="19" t="n">
        <x:f>'参数'!$B$9*'参数'!$B$10^(A103-1)</x:f>
        <x:v>10552.662456875118</x:v>
      </x:c>
      <x:c r="E103" s="19" t="n">
        <x:f>D103*'参数'!$B$11</x:f>
        <x:v>284921.88633562817</x:v>
      </x:c>
      <x:c r="F103" s="19" t="n">
        <x:f>ROUNDUP(E103*C103/24/'参数'!$B$6,0)</x:f>
        <x:v>135397</x:v>
      </x:c>
      <x:c r="G103" s="19" t="n">
        <x:f>F103*'参数'!$B$6</x:f>
        <x:v>676985</x:v>
      </x:c>
      <x:c r="H103" s="19" t="n">
        <x:f>O103+D103*P103</x:f>
        <x:v>284921.88633562817</x:v>
      </x:c>
      <x:c r="I103" s="20" t="n">
        <x:f>G103/H103*24</x:f>
        <x:v>57.0248927134395</x:v>
      </x:c>
      <x:c r="J103" s="20" t="n">
        <x:f>SUM($I$6:I103)/24</x:f>
        <x:v>87.58760997165312</x:v>
      </x:c>
      <x:c r="K103" s="19" t="n">
        <x:f>SUM($G$6:G103)</x:f>
        <x:v>13390770</x:v>
      </x:c>
      <x:c r="L103" s="19" t="n">
        <x:f>IF(A103=20,1,IF(A103=40,2,IF(A103=60,3,IF(A103=80,5,0))))</x:f>
        <x:v>0</x:v>
      </x:c>
      <x:c r="M103" s="19" t="n">
        <x:f>L103*'参数'!$B$6</x:f>
        <x:v>0</x:v>
      </x:c>
      <x:c r="N103" s="19" t="n">
        <x:f>SUM($M$6:M103)</x:f>
        <x:v>55</x:v>
      </x:c>
      <x:c r="O103" s="32" t="n">
        <x:f>D103*('参数'!$B$12+'参数'!$B$13+'参数'!$B$14)</x:f>
        <x:v>284921.88633562817</x:v>
      </x:c>
      <x:c r="P103" s="32" t="n">
        <x:f>'参数'!$B$71</x:f>
        <x:v>0</x:v>
      </x:c>
      <x:c r="Q103" s="32" t="n">
        <x:f>'参数'!$B$72</x:f>
        <x:v>54</x:v>
      </x:c>
      <x:c r="R103" s="32" t="n">
        <x:f>O103+D103*Q103</x:f>
        <x:v>854765.6590068846</x:v>
      </x:c>
      <x:c r="S103" s="34" t="n">
        <x:f>G103/R103*24</x:f>
        <x:v>19.0082975711465</x:v>
      </x:c>
      <x:c r="T103" s="34" t="n">
        <x:f>SUM($S$6:S103)/24</x:f>
        <x:v>29.195869990551028</x:v>
      </x:c>
      <x:c r="U103" s="34" t="n">
        <x:f>G103/O103*24</x:f>
        <x:v>57.0248927134395</x:v>
      </x:c>
      <x:c r="V103" s="34" t="n">
        <x:f>SUM($U$6:U103)/24</x:f>
        <x:v>87.58760997165312</x:v>
      </x:c>
    </x:row>
    <x:row r="104" ht="22" customHeight="1">
      <x:c r="A104" s="18" t="n">
        <x:v>99</x:v>
      </x:c>
      <x:c r="B104" s="23" t="n">
        <x:f>'参数'!$B$8+(A104/100)^'参数'!$B$7</x:f>
        <x:v>0.9840595596942694</x:v>
      </x:c>
      <x:c r="C104" s="15" t="n">
        <x:f>'参数'!$B$5*24*B104/SUM($B$6:$B$104)</x:f>
        <x:v>58.0162845084674</x:v>
      </x:c>
      <x:c r="D104" s="18" t="n">
        <x:f>'参数'!$B$9*'参数'!$B$10^(A104-1)</x:f>
        <x:v>10869.242330581374</x:v>
      </x:c>
      <x:c r="E104" s="18" t="n">
        <x:f>D104*'参数'!$B$11</x:f>
        <x:v>293469.5429256971</x:v>
      </x:c>
      <x:c r="F104" s="18" t="n">
        <x:f>ROUNDUP(E104*C104/24/'参数'!$B$6,0)</x:f>
        <x:v>141884</x:v>
      </x:c>
      <x:c r="G104" s="18" t="n">
        <x:f>F104*'参数'!$B$6</x:f>
        <x:v>709420</x:v>
      </x:c>
      <x:c r="H104" s="18" t="n">
        <x:f>O104+D104*P104</x:f>
        <x:v>293469.5429256971</x:v>
      </x:c>
      <x:c r="I104" s="15" t="n">
        <x:f>G104/H104*24</x:f>
        <x:v>58.016514525702576</x:v>
      </x:c>
      <x:c r="J104" s="15" t="n">
        <x:f>SUM($I$6:I104)/24</x:f>
        <x:v>90.00496474355738</x:v>
      </x:c>
      <x:c r="K104" s="18" t="n">
        <x:f>SUM($G$6:G104)</x:f>
        <x:v>14100190</x:v>
      </x:c>
      <x:c r="L104" s="18" t="n">
        <x:f>IF(A104=20,1,IF(A104=40,2,IF(A104=60,3,IF(A104=80,5,0))))</x:f>
        <x:v>0</x:v>
      </x:c>
      <x:c r="M104" s="18" t="n">
        <x:f>L104*'参数'!$B$6</x:f>
        <x:v>0</x:v>
      </x:c>
      <x:c r="N104" s="18" t="n">
        <x:f>SUM($M$6:M104)</x:f>
        <x:v>55</x:v>
      </x:c>
      <x:c r="O104" s="31" t="n">
        <x:f>D104*('参数'!$B$12+'参数'!$B$13+'参数'!$B$14)</x:f>
        <x:v>293469.5429256971</x:v>
      </x:c>
      <x:c r="P104" s="31" t="n">
        <x:f>'参数'!$B$71</x:f>
        <x:v>0</x:v>
      </x:c>
      <x:c r="Q104" s="31" t="n">
        <x:f>'参数'!$B$72</x:f>
        <x:v>54</x:v>
      </x:c>
      <x:c r="R104" s="31" t="n">
        <x:f>O104+D104*Q104</x:f>
        <x:v>880408.6287770914</x:v>
      </x:c>
      <x:c r="S104" s="33" t="n">
        <x:f>G104/R104*24</x:f>
        <x:v>19.338838175234187</x:v>
      </x:c>
      <x:c r="T104" s="33" t="n">
        <x:f>SUM($S$6:S104)/24</x:f>
        <x:v>30.00165491451912</x:v>
      </x:c>
      <x:c r="U104" s="33" t="n">
        <x:f>G104/O104*24</x:f>
        <x:v>58.016514525702576</x:v>
      </x:c>
      <x:c r="V104" s="33" t="n">
        <x:f>SUM($U$6:U104)/24</x:f>
        <x:v>90.00496474355738</x:v>
      </x:c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1"/>
      <x:c r="P105" s="1"/>
      <x:c r="Q105" s="1"/>
      <x:c r="R105" s="1"/>
      <x:c r="S105" s="1"/>
      <x:c r="T105" s="1"/>
      <x:c r="U105" s="1"/>
      <x:c r="V105" s="1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1"/>
      <x:c r="P106" s="1"/>
      <x:c r="Q106" s="1"/>
      <x:c r="R106" s="1"/>
      <x:c r="S106" s="1"/>
      <x:c r="T106" s="1"/>
      <x:c r="U106" s="1"/>
      <x:c r="V106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装备等级与十档品质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9" t="str">
        <x:v>装备等级</x:v>
      </x:c>
      <x:c r="B5" s="10" t="str">
        <x:v>品质</x:v>
      </x:c>
      <x:c r="C5" s="10" t="str">
        <x:v>品质倍率</x:v>
      </x:c>
      <x:c r="D5" s="10" t="str">
        <x:v>底板倍率</x:v>
      </x:c>
      <x:c r="E5" s="10" t="str">
        <x:v>预算</x:v>
      </x:c>
      <x:c r="F5" s="10" t="str">
        <x:v>主武攻击</x:v>
      </x:c>
      <x:c r="G5" s="10" t="str">
        <x:v>副手攻击</x:v>
      </x:c>
      <x:c r="H5" s="10" t="str">
        <x:v>护甲生命</x:v>
      </x:c>
      <x:c r="I5" s="10" t="str">
        <x:v>护甲防御</x:v>
      </x:c>
      <x:c r="J5" s="10" t="str">
        <x:v>十件总攻击</x:v>
      </x:c>
      <x:c r="K5" s="10" t="str">
        <x:v>十件总生命</x:v>
      </x:c>
      <x:c r="L5" s="10" t="str">
        <x:v>十件总防御</x:v>
      </x:c>
      <x:c r="M5" s="10" t="str">
        <x:v>较上一档提升</x:v>
      </x:c>
      <x:c r="N5" s="10" t="str">
        <x:v>主武最低</x:v>
      </x:c>
      <x:c r="O5" s="11" t="str">
        <x:v>主武最高</x:v>
      </x:c>
    </x:row>
    <x:row r="6" ht="22" customHeight="1">
      <x:c r="A6" s="18" t="n">
        <x:v>1</x:v>
      </x:c>
      <x:c r="B6" s="18" t="str">
        <x:v>凡品</x:v>
      </x:c>
      <x:c r="C6" s="15" t="n">
        <x:f>'参数'!G11</x:f>
        <x:v>1</x:v>
      </x:c>
      <x:c r="D6" s="15" t="n">
        <x:f>'参数'!$B$49</x:f>
        <x:v>1.04</x:v>
      </x:c>
      <x:c r="E6" s="18" t="n">
        <x:f>ROUND('参数'!$B$18*'参数'!$B$19^(A6-1)*C6*D6,0)</x:f>
        <x:v>37</x:v>
      </x:c>
      <x:c r="F6" s="18" t="n">
        <x:f>ROUND(E6*'参数'!$K$11,0)</x:f>
        <x:v>37</x:v>
      </x:c>
      <x:c r="G6" s="18" t="n">
        <x:f>ROUND(E6*'参数'!$K$12,0)</x:f>
        <x:v>20</x:v>
      </x:c>
      <x:c r="H6" s="18" t="n">
        <x:f>ROUND(E6*'参数'!$L$14,0)</x:f>
        <x:v>296</x:v>
      </x:c>
      <x:c r="I6" s="18" t="n">
        <x:f>ROUND(E6*'参数'!$M$14,0)</x:f>
        <x:v>17</x:v>
      </x:c>
      <x:c r="J6" s="18" t="n">
        <x:f>ROUND(E6*'参数'!$K$21,0)</x:f>
        <x:v>105</x:v>
      </x:c>
      <x:c r="K6" s="18" t="n">
        <x:f>ROUND(E6*'参数'!$L$21,0)</x:f>
        <x:v>821</x:v>
      </x:c>
      <x:c r="L6" s="18" t="n">
        <x:f>ROUND(E6*'参数'!$M$21,0)</x:f>
        <x:v>65</x:v>
      </x:c>
      <x:c r="M6" s="21" t="n">
        <x:f>0</x:f>
        <x:v>0</x:v>
      </x:c>
      <x:c r="N6" s="18" t="n">
        <x:f>ROUND(F6*'参数'!$B$20,0)</x:f>
        <x:v>35</x:v>
      </x:c>
      <x:c r="O6" s="18" t="n">
        <x:f>ROUND(F6*'参数'!$B$21,0)</x:f>
        <x:v>39</x:v>
      </x:c>
    </x:row>
    <x:row r="7" ht="22" customHeight="1">
      <x:c r="A7" s="19" t="n">
        <x:v>1</x:v>
      </x:c>
      <x:c r="B7" s="19" t="str">
        <x:v>良品</x:v>
      </x:c>
      <x:c r="C7" s="20" t="n">
        <x:f>'参数'!G12</x:f>
        <x:v>1.05</x:v>
      </x:c>
      <x:c r="D7" s="20" t="n">
        <x:f>'参数'!$B$49</x:f>
        <x:v>1.04</x:v>
      </x:c>
      <x:c r="E7" s="19" t="n">
        <x:f>ROUND('参数'!$B$18*'参数'!$B$19^(A7-1)*C7*D7,0)</x:f>
        <x:v>39</x:v>
      </x:c>
      <x:c r="F7" s="19" t="n">
        <x:f>ROUND(E7*'参数'!$K$11,0)</x:f>
        <x:v>39</x:v>
      </x:c>
      <x:c r="G7" s="19" t="n">
        <x:f>ROUND(E7*'参数'!$K$12,0)</x:f>
        <x:v>21</x:v>
      </x:c>
      <x:c r="H7" s="19" t="n">
        <x:f>ROUND(E7*'参数'!$L$14,0)</x:f>
        <x:v>312</x:v>
      </x:c>
      <x:c r="I7" s="19" t="n">
        <x:f>ROUND(E7*'参数'!$M$14,0)</x:f>
        <x:v>18</x:v>
      </x:c>
      <x:c r="J7" s="19" t="n">
        <x:f>ROUND(E7*'参数'!$K$21,0)</x:f>
        <x:v>111</x:v>
      </x:c>
      <x:c r="K7" s="19" t="n">
        <x:f>ROUND(E7*'参数'!$L$21,0)</x:f>
        <x:v>866</x:v>
      </x:c>
      <x:c r="L7" s="19" t="n">
        <x:f>ROUND(E7*'参数'!$M$21,0)</x:f>
        <x:v>68</x:v>
      </x:c>
      <x:c r="M7" s="22" t="n">
        <x:f>0</x:f>
        <x:v>0</x:v>
      </x:c>
      <x:c r="N7" s="19" t="n">
        <x:f>ROUND(F7*'参数'!$B$20,0)</x:f>
        <x:v>37</x:v>
      </x:c>
      <x:c r="O7" s="19" t="n">
        <x:f>ROUND(F7*'参数'!$B$21,0)</x:f>
        <x:v>41</x:v>
      </x:c>
    </x:row>
    <x:row r="8" ht="22" customHeight="1">
      <x:c r="A8" s="18" t="n">
        <x:v>1</x:v>
      </x:c>
      <x:c r="B8" s="18" t="str">
        <x:v>珍品</x:v>
      </x:c>
      <x:c r="C8" s="15" t="n">
        <x:f>'参数'!G13</x:f>
        <x:v>1.1</x:v>
      </x:c>
      <x:c r="D8" s="15" t="n">
        <x:f>'参数'!$B$49</x:f>
        <x:v>1.04</x:v>
      </x:c>
      <x:c r="E8" s="18" t="n">
        <x:f>ROUND('参数'!$B$18*'参数'!$B$19^(A8-1)*C8*D8,0)</x:f>
        <x:v>41</x:v>
      </x:c>
      <x:c r="F8" s="18" t="n">
        <x:f>ROUND(E8*'参数'!$K$11,0)</x:f>
        <x:v>41</x:v>
      </x:c>
      <x:c r="G8" s="18" t="n">
        <x:f>ROUND(E8*'参数'!$K$12,0)</x:f>
        <x:v>23</x:v>
      </x:c>
      <x:c r="H8" s="18" t="n">
        <x:f>ROUND(E8*'参数'!$L$14,0)</x:f>
        <x:v>328</x:v>
      </x:c>
      <x:c r="I8" s="18" t="n">
        <x:f>ROUND(E8*'参数'!$M$14,0)</x:f>
        <x:v>18</x:v>
      </x:c>
      <x:c r="J8" s="18" t="n">
        <x:f>ROUND(E8*'参数'!$K$21,0)</x:f>
        <x:v>117</x:v>
      </x:c>
      <x:c r="K8" s="18" t="n">
        <x:f>ROUND(E8*'参数'!$L$21,0)</x:f>
        <x:v>910</x:v>
      </x:c>
      <x:c r="L8" s="18" t="n">
        <x:f>ROUND(E8*'参数'!$M$21,0)</x:f>
        <x:v>72</x:v>
      </x:c>
      <x:c r="M8" s="21" t="n">
        <x:f>0</x:f>
        <x:v>0</x:v>
      </x:c>
      <x:c r="N8" s="18" t="n">
        <x:f>ROUND(F8*'参数'!$B$20,0)</x:f>
        <x:v>39</x:v>
      </x:c>
      <x:c r="O8" s="18" t="n">
        <x:f>ROUND(F8*'参数'!$B$21,0)</x:f>
        <x:v>43</x:v>
      </x:c>
    </x:row>
    <x:row r="9" ht="22" customHeight="1">
      <x:c r="A9" s="19" t="n">
        <x:v>1</x:v>
      </x:c>
      <x:c r="B9" s="19" t="str">
        <x:v>传奇</x:v>
      </x:c>
      <x:c r="C9" s="20" t="n">
        <x:f>'参数'!G14</x:f>
        <x:v>1.16</x:v>
      </x:c>
      <x:c r="D9" s="20" t="n">
        <x:f>'参数'!$B$49</x:f>
        <x:v>1.04</x:v>
      </x:c>
      <x:c r="E9" s="19" t="n">
        <x:f>ROUND('参数'!$B$18*'参数'!$B$19^(A9-1)*C9*D9,0)</x:f>
        <x:v>43</x:v>
      </x:c>
      <x:c r="F9" s="19" t="n">
        <x:f>ROUND(E9*'参数'!$K$11,0)</x:f>
        <x:v>43</x:v>
      </x:c>
      <x:c r="G9" s="19" t="n">
        <x:f>ROUND(E9*'参数'!$K$12,0)</x:f>
        <x:v>24</x:v>
      </x:c>
      <x:c r="H9" s="19" t="n">
        <x:f>ROUND(E9*'参数'!$L$14,0)</x:f>
        <x:v>344</x:v>
      </x:c>
      <x:c r="I9" s="19" t="n">
        <x:f>ROUND(E9*'参数'!$M$14,0)</x:f>
        <x:v>19</x:v>
      </x:c>
      <x:c r="J9" s="19" t="n">
        <x:f>ROUND(E9*'参数'!$K$21,0)</x:f>
        <x:v>123</x:v>
      </x:c>
      <x:c r="K9" s="19" t="n">
        <x:f>ROUND(E9*'参数'!$L$21,0)</x:f>
        <x:v>955</x:v>
      </x:c>
      <x:c r="L9" s="19" t="n">
        <x:f>ROUND(E9*'参数'!$M$21,0)</x:f>
        <x:v>75</x:v>
      </x:c>
      <x:c r="M9" s="22" t="n">
        <x:f>0</x:f>
        <x:v>0</x:v>
      </x:c>
      <x:c r="N9" s="19" t="n">
        <x:f>ROUND(F9*'参数'!$B$20,0)</x:f>
        <x:v>41</x:v>
      </x:c>
      <x:c r="O9" s="19" t="n">
        <x:f>ROUND(F9*'参数'!$B$21,0)</x:f>
        <x:v>45</x:v>
      </x:c>
    </x:row>
    <x:row r="10" ht="22" customHeight="1">
      <x:c r="A10" s="18" t="n">
        <x:v>1</x:v>
      </x:c>
      <x:c r="B10" s="18" t="str">
        <x:v>传世</x:v>
      </x:c>
      <x:c r="C10" s="15" t="n">
        <x:f>'参数'!G15</x:f>
        <x:v>1.22</x:v>
      </x:c>
      <x:c r="D10" s="15" t="n">
        <x:f>'参数'!$B$49</x:f>
        <x:v>1.04</x:v>
      </x:c>
      <x:c r="E10" s="18" t="n">
        <x:f>ROUND('参数'!$B$18*'参数'!$B$19^(A10-1)*C10*D10,0)</x:f>
        <x:v>46</x:v>
      </x:c>
      <x:c r="F10" s="18" t="n">
        <x:f>ROUND(E10*'参数'!$K$11,0)</x:f>
        <x:v>46</x:v>
      </x:c>
      <x:c r="G10" s="18" t="n">
        <x:f>ROUND(E10*'参数'!$K$12,0)</x:f>
        <x:v>25</x:v>
      </x:c>
      <x:c r="H10" s="18" t="n">
        <x:f>ROUND(E10*'参数'!$L$14,0)</x:f>
        <x:v>368</x:v>
      </x:c>
      <x:c r="I10" s="18" t="n">
        <x:f>ROUND(E10*'参数'!$M$14,0)</x:f>
        <x:v>21</x:v>
      </x:c>
      <x:c r="J10" s="18" t="n">
        <x:f>ROUND(E10*'参数'!$K$21,0)</x:f>
        <x:v>131</x:v>
      </x:c>
      <x:c r="K10" s="18" t="n">
        <x:f>ROUND(E10*'参数'!$L$21,0)</x:f>
        <x:v>1021</x:v>
      </x:c>
      <x:c r="L10" s="18" t="n">
        <x:f>ROUND(E10*'参数'!$M$21,0)</x:f>
        <x:v>81</x:v>
      </x:c>
      <x:c r="M10" s="21" t="n">
        <x:f>0</x:f>
        <x:v>0</x:v>
      </x:c>
      <x:c r="N10" s="18" t="n">
        <x:f>ROUND(F10*'参数'!$B$20,0)</x:f>
        <x:v>44</x:v>
      </x:c>
      <x:c r="O10" s="18" t="n">
        <x:f>ROUND(F10*'参数'!$B$21,0)</x:f>
        <x:v>48</x:v>
      </x:c>
    </x:row>
    <x:row r="11" ht="22" customHeight="1">
      <x:c r="A11" s="19" t="n">
        <x:v>1</x:v>
      </x:c>
      <x:c r="B11" s="19" t="str">
        <x:v>灵蕴</x:v>
      </x:c>
      <x:c r="C11" s="20" t="n">
        <x:f>'参数'!G16</x:f>
        <x:v>1.29</x:v>
      </x:c>
      <x:c r="D11" s="20" t="n">
        <x:f>'参数'!$B$49</x:f>
        <x:v>1.04</x:v>
      </x:c>
      <x:c r="E11" s="19" t="n">
        <x:f>ROUND('参数'!$B$18*'参数'!$B$19^(A11-1)*C11*D11,0)</x:f>
        <x:v>48</x:v>
      </x:c>
      <x:c r="F11" s="19" t="n">
        <x:f>ROUND(E11*'参数'!$K$11,0)</x:f>
        <x:v>48</x:v>
      </x:c>
      <x:c r="G11" s="19" t="n">
        <x:f>ROUND(E11*'参数'!$K$12,0)</x:f>
        <x:v>26</x:v>
      </x:c>
      <x:c r="H11" s="19" t="n">
        <x:f>ROUND(E11*'参数'!$L$14,0)</x:f>
        <x:v>384</x:v>
      </x:c>
      <x:c r="I11" s="19" t="n">
        <x:f>ROUND(E11*'参数'!$M$14,0)</x:f>
        <x:v>22</x:v>
      </x:c>
      <x:c r="J11" s="19" t="n">
        <x:f>ROUND(E11*'参数'!$K$21,0)</x:f>
        <x:v>137</x:v>
      </x:c>
      <x:c r="K11" s="19" t="n">
        <x:f>ROUND(E11*'参数'!$L$21,0)</x:f>
        <x:v>1066</x:v>
      </x:c>
      <x:c r="L11" s="19" t="n">
        <x:f>ROUND(E11*'参数'!$M$21,0)</x:f>
        <x:v>84</x:v>
      </x:c>
      <x:c r="M11" s="22" t="n">
        <x:f>0</x:f>
        <x:v>0</x:v>
      </x:c>
      <x:c r="N11" s="19" t="n">
        <x:f>ROUND(F11*'参数'!$B$20,0)</x:f>
        <x:v>46</x:v>
      </x:c>
      <x:c r="O11" s="19" t="n">
        <x:f>ROUND(F11*'参数'!$B$21,0)</x:f>
        <x:v>50</x:v>
      </x:c>
    </x:row>
    <x:row r="12" ht="22" customHeight="1">
      <x:c r="A12" s="18" t="n">
        <x:v>1</x:v>
      </x:c>
      <x:c r="B12" s="18" t="str">
        <x:v>超然</x:v>
      </x:c>
      <x:c r="C12" s="15" t="n">
        <x:f>'参数'!G17</x:f>
        <x:v>1.36</x:v>
      </x:c>
      <x:c r="D12" s="15" t="n">
        <x:f>'参数'!$B$49</x:f>
        <x:v>1.04</x:v>
      </x:c>
      <x:c r="E12" s="18" t="n">
        <x:f>ROUND('参数'!$B$18*'参数'!$B$19^(A12-1)*C12*D12,0)</x:f>
        <x:v>51</x:v>
      </x:c>
      <x:c r="F12" s="18" t="n">
        <x:f>ROUND(E12*'参数'!$K$11,0)</x:f>
        <x:v>51</x:v>
      </x:c>
      <x:c r="G12" s="18" t="n">
        <x:f>ROUND(E12*'参数'!$K$12,0)</x:f>
        <x:v>28</x:v>
      </x:c>
      <x:c r="H12" s="18" t="n">
        <x:f>ROUND(E12*'参数'!$L$14,0)</x:f>
        <x:v>408</x:v>
      </x:c>
      <x:c r="I12" s="18" t="n">
        <x:f>ROUND(E12*'参数'!$M$14,0)</x:f>
        <x:v>23</x:v>
      </x:c>
      <x:c r="J12" s="18" t="n">
        <x:f>ROUND(E12*'参数'!$K$21,0)</x:f>
        <x:v>145</x:v>
      </x:c>
      <x:c r="K12" s="18" t="n">
        <x:f>ROUND(E12*'参数'!$L$21,0)</x:f>
        <x:v>1132</x:v>
      </x:c>
      <x:c r="L12" s="18" t="n">
        <x:f>ROUND(E12*'参数'!$M$21,0)</x:f>
        <x:v>89</x:v>
      </x:c>
      <x:c r="M12" s="21" t="n">
        <x:f>0</x:f>
        <x:v>0</x:v>
      </x:c>
      <x:c r="N12" s="18" t="n">
        <x:f>ROUND(F12*'参数'!$B$20,0)</x:f>
        <x:v>48</x:v>
      </x:c>
      <x:c r="O12" s="18" t="n">
        <x:f>ROUND(F12*'参数'!$B$21,0)</x:f>
        <x:v>54</x:v>
      </x:c>
    </x:row>
    <x:row r="13" ht="22" customHeight="1">
      <x:c r="A13" s="19" t="n">
        <x:v>1</x:v>
      </x:c>
      <x:c r="B13" s="19" t="str">
        <x:v>星穹</x:v>
      </x:c>
      <x:c r="C13" s="20" t="n">
        <x:f>'参数'!G18</x:f>
        <x:v>1.43</x:v>
      </x:c>
      <x:c r="D13" s="20" t="n">
        <x:f>'参数'!$B$49</x:f>
        <x:v>1.04</x:v>
      </x:c>
      <x:c r="E13" s="19" t="n">
        <x:f>ROUND('参数'!$B$18*'参数'!$B$19^(A13-1)*C13*D13,0)</x:f>
        <x:v>54</x:v>
      </x:c>
      <x:c r="F13" s="19" t="n">
        <x:f>ROUND(E13*'参数'!$K$11,0)</x:f>
        <x:v>54</x:v>
      </x:c>
      <x:c r="G13" s="19" t="n">
        <x:f>ROUND(E13*'参数'!$K$12,0)</x:f>
        <x:v>30</x:v>
      </x:c>
      <x:c r="H13" s="19" t="n">
        <x:f>ROUND(E13*'参数'!$L$14,0)</x:f>
        <x:v>432</x:v>
      </x:c>
      <x:c r="I13" s="19" t="n">
        <x:f>ROUND(E13*'参数'!$M$14,0)</x:f>
        <x:v>24</x:v>
      </x:c>
      <x:c r="J13" s="19" t="n">
        <x:f>ROUND(E13*'参数'!$K$21,0)</x:f>
        <x:v>154</x:v>
      </x:c>
      <x:c r="K13" s="19" t="n">
        <x:f>ROUND(E13*'参数'!$L$21,0)</x:f>
        <x:v>1199</x:v>
      </x:c>
      <x:c r="L13" s="19" t="n">
        <x:f>ROUND(E13*'参数'!$M$21,0)</x:f>
        <x:v>95</x:v>
      </x:c>
      <x:c r="M13" s="22" t="n">
        <x:f>0</x:f>
        <x:v>0</x:v>
      </x:c>
      <x:c r="N13" s="19" t="n">
        <x:f>ROUND(F13*'参数'!$B$20,0)</x:f>
        <x:v>51</x:v>
      </x:c>
      <x:c r="O13" s="19" t="n">
        <x:f>ROUND(F13*'参数'!$B$21,0)</x:f>
        <x:v>57</x:v>
      </x:c>
    </x:row>
    <x:row r="14" ht="22" customHeight="1">
      <x:c r="A14" s="18" t="n">
        <x:v>1</x:v>
      </x:c>
      <x:c r="B14" s="18" t="str">
        <x:v>神辉</x:v>
      </x:c>
      <x:c r="C14" s="15" t="n">
        <x:f>'参数'!G19</x:f>
        <x:v>1.51</x:v>
      </x:c>
      <x:c r="D14" s="15" t="n">
        <x:f>'参数'!$B$49</x:f>
        <x:v>1.04</x:v>
      </x:c>
      <x:c r="E14" s="18" t="n">
        <x:f>ROUND('参数'!$B$18*'参数'!$B$19^(A14-1)*C14*D14,0)</x:f>
        <x:v>57</x:v>
      </x:c>
      <x:c r="F14" s="18" t="n">
        <x:f>ROUND(E14*'参数'!$K$11,0)</x:f>
        <x:v>57</x:v>
      </x:c>
      <x:c r="G14" s="18" t="n">
        <x:f>ROUND(E14*'参数'!$K$12,0)</x:f>
        <x:v>31</x:v>
      </x:c>
      <x:c r="H14" s="18" t="n">
        <x:f>ROUND(E14*'参数'!$L$14,0)</x:f>
        <x:v>456</x:v>
      </x:c>
      <x:c r="I14" s="18" t="n">
        <x:f>ROUND(E14*'参数'!$M$14,0)</x:f>
        <x:v>26</x:v>
      </x:c>
      <x:c r="J14" s="18" t="n">
        <x:f>ROUND(E14*'参数'!$K$21,0)</x:f>
        <x:v>162</x:v>
      </x:c>
      <x:c r="K14" s="18" t="n">
        <x:f>ROUND(E14*'参数'!$L$21,0)</x:f>
        <x:v>1265</x:v>
      </x:c>
      <x:c r="L14" s="18" t="n">
        <x:f>ROUND(E14*'参数'!$M$21,0)</x:f>
        <x:v>100</x:v>
      </x:c>
      <x:c r="M14" s="21" t="n">
        <x:f>0</x:f>
        <x:v>0</x:v>
      </x:c>
      <x:c r="N14" s="18" t="n">
        <x:f>ROUND(F14*'参数'!$B$20,0)</x:f>
        <x:v>54</x:v>
      </x:c>
      <x:c r="O14" s="18" t="n">
        <x:f>ROUND(F14*'参数'!$B$21,0)</x:f>
        <x:v>60</x:v>
      </x:c>
    </x:row>
    <x:row r="15" ht="22" customHeight="1">
      <x:c r="A15" s="19" t="n">
        <x:v>1</x:v>
      </x:c>
      <x:c r="B15" s="19" t="str">
        <x:v>混元</x:v>
      </x:c>
      <x:c r="C15" s="20" t="n">
        <x:f>'参数'!G20</x:f>
        <x:v>1.6</x:v>
      </x:c>
      <x:c r="D15" s="20" t="n">
        <x:f>'参数'!$B$49</x:f>
        <x:v>1.04</x:v>
      </x:c>
      <x:c r="E15" s="19" t="n">
        <x:f>ROUND('参数'!$B$18*'参数'!$B$19^(A15-1)*C15*D15,0)</x:f>
        <x:v>60</x:v>
      </x:c>
      <x:c r="F15" s="19" t="n">
        <x:f>ROUND(E15*'参数'!$K$11,0)</x:f>
        <x:v>60</x:v>
      </x:c>
      <x:c r="G15" s="19" t="n">
        <x:f>ROUND(E15*'参数'!$K$12,0)</x:f>
        <x:v>33</x:v>
      </x:c>
      <x:c r="H15" s="19" t="n">
        <x:f>ROUND(E15*'参数'!$L$14,0)</x:f>
        <x:v>480</x:v>
      </x:c>
      <x:c r="I15" s="19" t="n">
        <x:f>ROUND(E15*'参数'!$M$14,0)</x:f>
        <x:v>27</x:v>
      </x:c>
      <x:c r="J15" s="19" t="n">
        <x:f>ROUND(E15*'参数'!$K$21,0)</x:f>
        <x:v>171</x:v>
      </x:c>
      <x:c r="K15" s="19" t="n">
        <x:f>ROUND(E15*'参数'!$L$21,0)</x:f>
        <x:v>1332</x:v>
      </x:c>
      <x:c r="L15" s="19" t="n">
        <x:f>ROUND(E15*'参数'!$M$21,0)</x:f>
        <x:v>105</x:v>
      </x:c>
      <x:c r="M15" s="22" t="n">
        <x:f>0</x:f>
        <x:v>0</x:v>
      </x:c>
      <x:c r="N15" s="19" t="n">
        <x:f>ROUND(F15*'参数'!$B$20,0)</x:f>
        <x:v>57</x:v>
      </x:c>
      <x:c r="O15" s="19" t="n">
        <x:f>ROUND(F15*'参数'!$B$21,0)</x:f>
        <x:v>63</x:v>
      </x:c>
    </x:row>
    <x:row r="16" ht="22" customHeight="1">
      <x:c r="A16" s="18" t="n">
        <x:v>5</x:v>
      </x:c>
      <x:c r="B16" s="18" t="str">
        <x:v>凡品</x:v>
      </x:c>
      <x:c r="C16" s="15" t="n">
        <x:f>'参数'!G11</x:f>
        <x:v>1</x:v>
      </x:c>
      <x:c r="D16" s="15" t="n">
        <x:f>'参数'!$B$49</x:f>
        <x:v>1.04</x:v>
      </x:c>
      <x:c r="E16" s="18" t="n">
        <x:f>ROUND('参数'!$B$18*'参数'!$B$19^(A16-1)*C16*D16,0)</x:f>
        <x:v>43</x:v>
      </x:c>
      <x:c r="F16" s="18" t="n">
        <x:f>ROUND(E16*'参数'!$K$11,0)</x:f>
        <x:v>43</x:v>
      </x:c>
      <x:c r="G16" s="18" t="n">
        <x:f>ROUND(E16*'参数'!$K$12,0)</x:f>
        <x:v>24</x:v>
      </x:c>
      <x:c r="H16" s="18" t="n">
        <x:f>ROUND(E16*'参数'!$L$14,0)</x:f>
        <x:v>344</x:v>
      </x:c>
      <x:c r="I16" s="18" t="n">
        <x:f>ROUND(E16*'参数'!$M$14,0)</x:f>
        <x:v>19</x:v>
      </x:c>
      <x:c r="J16" s="18" t="n">
        <x:f>ROUND(E16*'参数'!$K$21,0)</x:f>
        <x:v>123</x:v>
      </x:c>
      <x:c r="K16" s="18" t="n">
        <x:f>ROUND(E16*'参数'!$L$21,0)</x:f>
        <x:v>955</x:v>
      </x:c>
      <x:c r="L16" s="18" t="n">
        <x:f>ROUND(E16*'参数'!$M$21,0)</x:f>
        <x:v>75</x:v>
      </x:c>
      <x:c r="M16" s="21" t="n">
        <x:f>E16/E6-1</x:f>
        <x:v>0.16216216216216206</x:v>
      </x:c>
      <x:c r="N16" s="18" t="n">
        <x:f>ROUND(F16*'参数'!$B$20,0)</x:f>
        <x:v>41</x:v>
      </x:c>
      <x:c r="O16" s="18" t="n">
        <x:f>ROUND(F16*'参数'!$B$21,0)</x:f>
        <x:v>45</x:v>
      </x:c>
    </x:row>
    <x:row r="17" ht="22" customHeight="1">
      <x:c r="A17" s="19" t="n">
        <x:v>5</x:v>
      </x:c>
      <x:c r="B17" s="19" t="str">
        <x:v>良品</x:v>
      </x:c>
      <x:c r="C17" s="20" t="n">
        <x:f>'参数'!G12</x:f>
        <x:v>1.05</x:v>
      </x:c>
      <x:c r="D17" s="20" t="n">
        <x:f>'参数'!$B$49</x:f>
        <x:v>1.04</x:v>
      </x:c>
      <x:c r="E17" s="19" t="n">
        <x:f>ROUND('参数'!$B$18*'参数'!$B$19^(A17-1)*C17*D17,0)</x:f>
        <x:v>45</x:v>
      </x:c>
      <x:c r="F17" s="19" t="n">
        <x:f>ROUND(E17*'参数'!$K$11,0)</x:f>
        <x:v>45</x:v>
      </x:c>
      <x:c r="G17" s="19" t="n">
        <x:f>ROUND(E17*'参数'!$K$12,0)</x:f>
        <x:v>25</x:v>
      </x:c>
      <x:c r="H17" s="19" t="n">
        <x:f>ROUND(E17*'参数'!$L$14,0)</x:f>
        <x:v>360</x:v>
      </x:c>
      <x:c r="I17" s="19" t="n">
        <x:f>ROUND(E17*'参数'!$M$14,0)</x:f>
        <x:v>20</x:v>
      </x:c>
      <x:c r="J17" s="19" t="n">
        <x:f>ROUND(E17*'参数'!$K$21,0)</x:f>
        <x:v>128</x:v>
      </x:c>
      <x:c r="K17" s="19" t="n">
        <x:f>ROUND(E17*'参数'!$L$21,0)</x:f>
        <x:v>999</x:v>
      </x:c>
      <x:c r="L17" s="19" t="n">
        <x:f>ROUND(E17*'参数'!$M$21,0)</x:f>
        <x:v>79</x:v>
      </x:c>
      <x:c r="M17" s="22" t="n">
        <x:f>E17/E7-1</x:f>
        <x:v>0.15384615384615374</x:v>
      </x:c>
      <x:c r="N17" s="19" t="n">
        <x:f>ROUND(F17*'参数'!$B$20,0)</x:f>
        <x:v>43</x:v>
      </x:c>
      <x:c r="O17" s="19" t="n">
        <x:f>ROUND(F17*'参数'!$B$21,0)</x:f>
        <x:v>47</x:v>
      </x:c>
    </x:row>
    <x:row r="18" ht="22" customHeight="1">
      <x:c r="A18" s="18" t="n">
        <x:v>5</x:v>
      </x:c>
      <x:c r="B18" s="18" t="str">
        <x:v>珍品</x:v>
      </x:c>
      <x:c r="C18" s="15" t="n">
        <x:f>'参数'!G13</x:f>
        <x:v>1.1</x:v>
      </x:c>
      <x:c r="D18" s="15" t="n">
        <x:f>'参数'!$B$49</x:f>
        <x:v>1.04</x:v>
      </x:c>
      <x:c r="E18" s="18" t="n">
        <x:f>ROUND('参数'!$B$18*'参数'!$B$19^(A18-1)*C18*D18,0)</x:f>
        <x:v>48</x:v>
      </x:c>
      <x:c r="F18" s="18" t="n">
        <x:f>ROUND(E18*'参数'!$K$11,0)</x:f>
        <x:v>48</x:v>
      </x:c>
      <x:c r="G18" s="18" t="n">
        <x:f>ROUND(E18*'参数'!$K$12,0)</x:f>
        <x:v>26</x:v>
      </x:c>
      <x:c r="H18" s="18" t="n">
        <x:f>ROUND(E18*'参数'!$L$14,0)</x:f>
        <x:v>384</x:v>
      </x:c>
      <x:c r="I18" s="18" t="n">
        <x:f>ROUND(E18*'参数'!$M$14,0)</x:f>
        <x:v>22</x:v>
      </x:c>
      <x:c r="J18" s="18" t="n">
        <x:f>ROUND(E18*'参数'!$K$21,0)</x:f>
        <x:v>137</x:v>
      </x:c>
      <x:c r="K18" s="18" t="n">
        <x:f>ROUND(E18*'参数'!$L$21,0)</x:f>
        <x:v>1066</x:v>
      </x:c>
      <x:c r="L18" s="18" t="n">
        <x:f>ROUND(E18*'参数'!$M$21,0)</x:f>
        <x:v>84</x:v>
      </x:c>
      <x:c r="M18" s="21" t="n">
        <x:f>E18/E8-1</x:f>
        <x:v>0.1707317073170731</x:v>
      </x:c>
      <x:c r="N18" s="18" t="n">
        <x:f>ROUND(F18*'参数'!$B$20,0)</x:f>
        <x:v>46</x:v>
      </x:c>
      <x:c r="O18" s="18" t="n">
        <x:f>ROUND(F18*'参数'!$B$21,0)</x:f>
        <x:v>50</x:v>
      </x:c>
    </x:row>
    <x:row r="19" ht="22" customHeight="1">
      <x:c r="A19" s="19" t="n">
        <x:v>5</x:v>
      </x:c>
      <x:c r="B19" s="19" t="str">
        <x:v>传奇</x:v>
      </x:c>
      <x:c r="C19" s="20" t="n">
        <x:f>'参数'!G14</x:f>
        <x:v>1.16</x:v>
      </x:c>
      <x:c r="D19" s="20" t="n">
        <x:f>'参数'!$B$49</x:f>
        <x:v>1.04</x:v>
      </x:c>
      <x:c r="E19" s="19" t="n">
        <x:f>ROUND('参数'!$B$18*'参数'!$B$19^(A19-1)*C19*D19,0)</x:f>
        <x:v>50</x:v>
      </x:c>
      <x:c r="F19" s="19" t="n">
        <x:f>ROUND(E19*'参数'!$K$11,0)</x:f>
        <x:v>50</x:v>
      </x:c>
      <x:c r="G19" s="19" t="n">
        <x:f>ROUND(E19*'参数'!$K$12,0)</x:f>
        <x:v>28</x:v>
      </x:c>
      <x:c r="H19" s="19" t="n">
        <x:f>ROUND(E19*'参数'!$L$14,0)</x:f>
        <x:v>400</x:v>
      </x:c>
      <x:c r="I19" s="19" t="n">
        <x:f>ROUND(E19*'参数'!$M$14,0)</x:f>
        <x:v>23</x:v>
      </x:c>
      <x:c r="J19" s="19" t="n">
        <x:f>ROUND(E19*'参数'!$K$21,0)</x:f>
        <x:v>143</x:v>
      </x:c>
      <x:c r="K19" s="19" t="n">
        <x:f>ROUND(E19*'参数'!$L$21,0)</x:f>
        <x:v>1110</x:v>
      </x:c>
      <x:c r="L19" s="19" t="n">
        <x:f>ROUND(E19*'参数'!$M$21,0)</x:f>
        <x:v>88</x:v>
      </x:c>
      <x:c r="M19" s="22" t="n">
        <x:f>E19/E9-1</x:f>
        <x:v>0.16279069767441867</x:v>
      </x:c>
      <x:c r="N19" s="19" t="n">
        <x:f>ROUND(F19*'参数'!$B$20,0)</x:f>
        <x:v>48</x:v>
      </x:c>
      <x:c r="O19" s="19" t="n">
        <x:f>ROUND(F19*'参数'!$B$21,0)</x:f>
        <x:v>53</x:v>
      </x:c>
    </x:row>
    <x:row r="20" ht="22" customHeight="1">
      <x:c r="A20" s="18" t="n">
        <x:v>5</x:v>
      </x:c>
      <x:c r="B20" s="18" t="str">
        <x:v>传世</x:v>
      </x:c>
      <x:c r="C20" s="15" t="n">
        <x:f>'参数'!G15</x:f>
        <x:v>1.22</x:v>
      </x:c>
      <x:c r="D20" s="15" t="n">
        <x:f>'参数'!$B$49</x:f>
        <x:v>1.04</x:v>
      </x:c>
      <x:c r="E20" s="18" t="n">
        <x:f>ROUND('参数'!$B$18*'参数'!$B$19^(A20-1)*C20*D20,0)</x:f>
        <x:v>53</x:v>
      </x:c>
      <x:c r="F20" s="18" t="n">
        <x:f>ROUND(E20*'参数'!$K$11,0)</x:f>
        <x:v>53</x:v>
      </x:c>
      <x:c r="G20" s="18" t="n">
        <x:f>ROUND(E20*'参数'!$K$12,0)</x:f>
        <x:v>29</x:v>
      </x:c>
      <x:c r="H20" s="18" t="n">
        <x:f>ROUND(E20*'参数'!$L$14,0)</x:f>
        <x:v>424</x:v>
      </x:c>
      <x:c r="I20" s="18" t="n">
        <x:f>ROUND(E20*'参数'!$M$14,0)</x:f>
        <x:v>24</x:v>
      </x:c>
      <x:c r="J20" s="18" t="n">
        <x:f>ROUND(E20*'参数'!$K$21,0)</x:f>
        <x:v>151</x:v>
      </x:c>
      <x:c r="K20" s="18" t="n">
        <x:f>ROUND(E20*'参数'!$L$21,0)</x:f>
        <x:v>1177</x:v>
      </x:c>
      <x:c r="L20" s="18" t="n">
        <x:f>ROUND(E20*'参数'!$M$21,0)</x:f>
        <x:v>93</x:v>
      </x:c>
      <x:c r="M20" s="21" t="n">
        <x:f>E20/E10-1</x:f>
        <x:v>0.15217391304347827</x:v>
      </x:c>
      <x:c r="N20" s="18" t="n">
        <x:f>ROUND(F20*'参数'!$B$20,0)</x:f>
        <x:v>50</x:v>
      </x:c>
      <x:c r="O20" s="18" t="n">
        <x:f>ROUND(F20*'参数'!$B$21,0)</x:f>
        <x:v>56</x:v>
      </x:c>
    </x:row>
    <x:row r="21" ht="22" customHeight="1">
      <x:c r="A21" s="19" t="n">
        <x:v>5</x:v>
      </x:c>
      <x:c r="B21" s="19" t="str">
        <x:v>灵蕴</x:v>
      </x:c>
      <x:c r="C21" s="20" t="n">
        <x:f>'参数'!G16</x:f>
        <x:v>1.29</x:v>
      </x:c>
      <x:c r="D21" s="20" t="n">
        <x:f>'参数'!$B$49</x:f>
        <x:v>1.04</x:v>
      </x:c>
      <x:c r="E21" s="19" t="n">
        <x:f>ROUND('参数'!$B$18*'参数'!$B$19^(A21-1)*C21*D21,0)</x:f>
        <x:v>56</x:v>
      </x:c>
      <x:c r="F21" s="19" t="n">
        <x:f>ROUND(E21*'参数'!$K$11,0)</x:f>
        <x:v>56</x:v>
      </x:c>
      <x:c r="G21" s="19" t="n">
        <x:f>ROUND(E21*'参数'!$K$12,0)</x:f>
        <x:v>31</x:v>
      </x:c>
      <x:c r="H21" s="19" t="n">
        <x:f>ROUND(E21*'参数'!$L$14,0)</x:f>
        <x:v>448</x:v>
      </x:c>
      <x:c r="I21" s="19" t="n">
        <x:f>ROUND(E21*'参数'!$M$14,0)</x:f>
        <x:v>25</x:v>
      </x:c>
      <x:c r="J21" s="19" t="n">
        <x:f>ROUND(E21*'参数'!$K$21,0)</x:f>
        <x:v>160</x:v>
      </x:c>
      <x:c r="K21" s="19" t="n">
        <x:f>ROUND(E21*'参数'!$L$21,0)</x:f>
        <x:v>1243</x:v>
      </x:c>
      <x:c r="L21" s="19" t="n">
        <x:f>ROUND(E21*'参数'!$M$21,0)</x:f>
        <x:v>98</x:v>
      </x:c>
      <x:c r="M21" s="22" t="n">
        <x:f>E21/E11-1</x:f>
        <x:v>0.16666666666666674</x:v>
      </x:c>
      <x:c r="N21" s="19" t="n">
        <x:f>ROUND(F21*'参数'!$B$20,0)</x:f>
        <x:v>53</x:v>
      </x:c>
      <x:c r="O21" s="19" t="n">
        <x:f>ROUND(F21*'参数'!$B$21,0)</x:f>
        <x:v>59</x:v>
      </x:c>
    </x:row>
    <x:row r="22" ht="22" customHeight="1">
      <x:c r="A22" s="18" t="n">
        <x:v>5</x:v>
      </x:c>
      <x:c r="B22" s="18" t="str">
        <x:v>超然</x:v>
      </x:c>
      <x:c r="C22" s="15" t="n">
        <x:f>'参数'!G17</x:f>
        <x:v>1.36</x:v>
      </x:c>
      <x:c r="D22" s="15" t="n">
        <x:f>'参数'!$B$49</x:f>
        <x:v>1.04</x:v>
      </x:c>
      <x:c r="E22" s="18" t="n">
        <x:f>ROUND('参数'!$B$18*'参数'!$B$19^(A22-1)*C22*D22,0)</x:f>
        <x:v>59</x:v>
      </x:c>
      <x:c r="F22" s="18" t="n">
        <x:f>ROUND(E22*'参数'!$K$11,0)</x:f>
        <x:v>59</x:v>
      </x:c>
      <x:c r="G22" s="18" t="n">
        <x:f>ROUND(E22*'参数'!$K$12,0)</x:f>
        <x:v>32</x:v>
      </x:c>
      <x:c r="H22" s="18" t="n">
        <x:f>ROUND(E22*'参数'!$L$14,0)</x:f>
        <x:v>472</x:v>
      </x:c>
      <x:c r="I22" s="18" t="n">
        <x:f>ROUND(E22*'参数'!$M$14,0)</x:f>
        <x:v>27</x:v>
      </x:c>
      <x:c r="J22" s="18" t="n">
        <x:f>ROUND(E22*'参数'!$K$21,0)</x:f>
        <x:v>168</x:v>
      </x:c>
      <x:c r="K22" s="18" t="n">
        <x:f>ROUND(E22*'参数'!$L$21,0)</x:f>
        <x:v>1310</x:v>
      </x:c>
      <x:c r="L22" s="18" t="n">
        <x:f>ROUND(E22*'参数'!$M$21,0)</x:f>
        <x:v>103</x:v>
      </x:c>
      <x:c r="M22" s="21" t="n">
        <x:f>E22/E12-1</x:f>
        <x:v>0.15686274509803932</x:v>
      </x:c>
      <x:c r="N22" s="18" t="n">
        <x:f>ROUND(F22*'参数'!$B$20,0)</x:f>
        <x:v>56</x:v>
      </x:c>
      <x:c r="O22" s="18" t="n">
        <x:f>ROUND(F22*'参数'!$B$21,0)</x:f>
        <x:v>62</x:v>
      </x:c>
    </x:row>
    <x:row r="23" ht="22" customHeight="1">
      <x:c r="A23" s="19" t="n">
        <x:v>5</x:v>
      </x:c>
      <x:c r="B23" s="19" t="str">
        <x:v>星穹</x:v>
      </x:c>
      <x:c r="C23" s="20" t="n">
        <x:f>'参数'!G18</x:f>
        <x:v>1.43</x:v>
      </x:c>
      <x:c r="D23" s="20" t="n">
        <x:f>'参数'!$B$49</x:f>
        <x:v>1.04</x:v>
      </x:c>
      <x:c r="E23" s="19" t="n">
        <x:f>ROUND('参数'!$B$18*'参数'!$B$19^(A23-1)*C23*D23,0)</x:f>
        <x:v>62</x:v>
      </x:c>
      <x:c r="F23" s="19" t="n">
        <x:f>ROUND(E23*'参数'!$K$11,0)</x:f>
        <x:v>62</x:v>
      </x:c>
      <x:c r="G23" s="19" t="n">
        <x:f>ROUND(E23*'参数'!$K$12,0)</x:f>
        <x:v>34</x:v>
      </x:c>
      <x:c r="H23" s="19" t="n">
        <x:f>ROUND(E23*'参数'!$L$14,0)</x:f>
        <x:v>496</x:v>
      </x:c>
      <x:c r="I23" s="19" t="n">
        <x:f>ROUND(E23*'参数'!$M$14,0)</x:f>
        <x:v>28</x:v>
      </x:c>
      <x:c r="J23" s="19" t="n">
        <x:f>ROUND(E23*'参数'!$K$21,0)</x:f>
        <x:v>177</x:v>
      </x:c>
      <x:c r="K23" s="19" t="n">
        <x:f>ROUND(E23*'参数'!$L$21,0)</x:f>
        <x:v>1376</x:v>
      </x:c>
      <x:c r="L23" s="19" t="n">
        <x:f>ROUND(E23*'参数'!$M$21,0)</x:f>
        <x:v>109</x:v>
      </x:c>
      <x:c r="M23" s="22" t="n">
        <x:f>E23/E13-1</x:f>
        <x:v>0.14814814814814814</x:v>
      </x:c>
      <x:c r="N23" s="19" t="n">
        <x:f>ROUND(F23*'参数'!$B$20,0)</x:f>
        <x:v>59</x:v>
      </x:c>
      <x:c r="O23" s="19" t="n">
        <x:f>ROUND(F23*'参数'!$B$21,0)</x:f>
        <x:v>65</x:v>
      </x:c>
    </x:row>
    <x:row r="24" ht="22" customHeight="1">
      <x:c r="A24" s="18" t="n">
        <x:v>5</x:v>
      </x:c>
      <x:c r="B24" s="18" t="str">
        <x:v>神辉</x:v>
      </x:c>
      <x:c r="C24" s="15" t="n">
        <x:f>'参数'!G19</x:f>
        <x:v>1.51</x:v>
      </x:c>
      <x:c r="D24" s="15" t="n">
        <x:f>'参数'!$B$49</x:f>
        <x:v>1.04</x:v>
      </x:c>
      <x:c r="E24" s="18" t="n">
        <x:f>ROUND('参数'!$B$18*'参数'!$B$19^(A24-1)*C24*D24,0)</x:f>
        <x:v>65</x:v>
      </x:c>
      <x:c r="F24" s="18" t="n">
        <x:f>ROUND(E24*'参数'!$K$11,0)</x:f>
        <x:v>65</x:v>
      </x:c>
      <x:c r="G24" s="18" t="n">
        <x:f>ROUND(E24*'参数'!$K$12,0)</x:f>
        <x:v>36</x:v>
      </x:c>
      <x:c r="H24" s="18" t="n">
        <x:f>ROUND(E24*'参数'!$L$14,0)</x:f>
        <x:v>520</x:v>
      </x:c>
      <x:c r="I24" s="18" t="n">
        <x:f>ROUND(E24*'参数'!$M$14,0)</x:f>
        <x:v>29</x:v>
      </x:c>
      <x:c r="J24" s="18" t="n">
        <x:f>ROUND(E24*'参数'!$K$21,0)</x:f>
        <x:v>185</x:v>
      </x:c>
      <x:c r="K24" s="18" t="n">
        <x:f>ROUND(E24*'参数'!$L$21,0)</x:f>
        <x:v>1443</x:v>
      </x:c>
      <x:c r="L24" s="18" t="n">
        <x:f>ROUND(E24*'参数'!$M$21,0)</x:f>
        <x:v>114</x:v>
      </x:c>
      <x:c r="M24" s="21" t="n">
        <x:f>E24/E14-1</x:f>
        <x:v>0.14035087719298245</x:v>
      </x:c>
      <x:c r="N24" s="18" t="n">
        <x:f>ROUND(F24*'参数'!$B$20,0)</x:f>
        <x:v>62</x:v>
      </x:c>
      <x:c r="O24" s="18" t="n">
        <x:f>ROUND(F24*'参数'!$B$21,0)</x:f>
        <x:v>68</x:v>
      </x:c>
    </x:row>
    <x:row r="25" ht="22" customHeight="1">
      <x:c r="A25" s="19" t="n">
        <x:v>5</x:v>
      </x:c>
      <x:c r="B25" s="19" t="str">
        <x:v>混元</x:v>
      </x:c>
      <x:c r="C25" s="20" t="n">
        <x:f>'参数'!G20</x:f>
        <x:v>1.6</x:v>
      </x:c>
      <x:c r="D25" s="20" t="n">
        <x:f>'参数'!$B$49</x:f>
        <x:v>1.04</x:v>
      </x:c>
      <x:c r="E25" s="19" t="n">
        <x:f>ROUND('参数'!$B$18*'参数'!$B$19^(A25-1)*C25*D25,0)</x:f>
        <x:v>69</x:v>
      </x:c>
      <x:c r="F25" s="19" t="n">
        <x:f>ROUND(E25*'参数'!$K$11,0)</x:f>
        <x:v>69</x:v>
      </x:c>
      <x:c r="G25" s="19" t="n">
        <x:f>ROUND(E25*'参数'!$K$12,0)</x:f>
        <x:v>38</x:v>
      </x:c>
      <x:c r="H25" s="19" t="n">
        <x:f>ROUND(E25*'参数'!$L$14,0)</x:f>
        <x:v>552</x:v>
      </x:c>
      <x:c r="I25" s="19" t="n">
        <x:f>ROUND(E25*'参数'!$M$14,0)</x:f>
        <x:v>31</x:v>
      </x:c>
      <x:c r="J25" s="19" t="n">
        <x:f>ROUND(E25*'参数'!$K$21,0)</x:f>
        <x:v>197</x:v>
      </x:c>
      <x:c r="K25" s="19" t="n">
        <x:f>ROUND(E25*'参数'!$L$21,0)</x:f>
        <x:v>1532</x:v>
      </x:c>
      <x:c r="L25" s="19" t="n">
        <x:f>ROUND(E25*'参数'!$M$21,0)</x:f>
        <x:v>121</x:v>
      </x:c>
      <x:c r="M25" s="22" t="n">
        <x:f>E25/E15-1</x:f>
        <x:v>0.1499999999999999</x:v>
      </x:c>
      <x:c r="N25" s="19" t="n">
        <x:f>ROUND(F25*'参数'!$B$20,0)</x:f>
        <x:v>66</x:v>
      </x:c>
      <x:c r="O25" s="19" t="n">
        <x:f>ROUND(F25*'参数'!$B$21,0)</x:f>
        <x:v>72</x:v>
      </x:c>
    </x:row>
    <x:row r="26" ht="22" customHeight="1">
      <x:c r="A26" s="18" t="n">
        <x:v>10</x:v>
      </x:c>
      <x:c r="B26" s="18" t="str">
        <x:v>凡品</x:v>
      </x:c>
      <x:c r="C26" s="15" t="n">
        <x:f>'参数'!G11</x:f>
        <x:v>1</x:v>
      </x:c>
      <x:c r="D26" s="15" t="n">
        <x:f>'参数'!$B$49</x:f>
        <x:v>1.04</x:v>
      </x:c>
      <x:c r="E26" s="18" t="n">
        <x:f>ROUND('参数'!$B$18*'参数'!$B$19^(A26-1)*C26*D26,0)</x:f>
        <x:v>52</x:v>
      </x:c>
      <x:c r="F26" s="18" t="n">
        <x:f>ROUND(E26*'参数'!$K$11,0)</x:f>
        <x:v>52</x:v>
      </x:c>
      <x:c r="G26" s="18" t="n">
        <x:f>ROUND(E26*'参数'!$K$12,0)</x:f>
        <x:v>29</x:v>
      </x:c>
      <x:c r="H26" s="18" t="n">
        <x:f>ROUND(E26*'参数'!$L$14,0)</x:f>
        <x:v>416</x:v>
      </x:c>
      <x:c r="I26" s="18" t="n">
        <x:f>ROUND(E26*'参数'!$M$14,0)</x:f>
        <x:v>23</x:v>
      </x:c>
      <x:c r="J26" s="18" t="n">
        <x:f>ROUND(E26*'参数'!$K$21,0)</x:f>
        <x:v>148</x:v>
      </x:c>
      <x:c r="K26" s="18" t="n">
        <x:f>ROUND(E26*'参数'!$L$21,0)</x:f>
        <x:v>1154</x:v>
      </x:c>
      <x:c r="L26" s="18" t="n">
        <x:f>ROUND(E26*'参数'!$M$21,0)</x:f>
        <x:v>91</x:v>
      </x:c>
      <x:c r="M26" s="21" t="n">
        <x:f>E26/E16-1</x:f>
        <x:v>0.20930232558139528</x:v>
      </x:c>
      <x:c r="N26" s="18" t="n">
        <x:f>ROUND(F26*'参数'!$B$20,0)</x:f>
        <x:v>49</x:v>
      </x:c>
      <x:c r="O26" s="18" t="n">
        <x:f>ROUND(F26*'参数'!$B$21,0)</x:f>
        <x:v>55</x:v>
      </x:c>
    </x:row>
    <x:row r="27" ht="22" customHeight="1">
      <x:c r="A27" s="19" t="n">
        <x:v>10</x:v>
      </x:c>
      <x:c r="B27" s="19" t="str">
        <x:v>良品</x:v>
      </x:c>
      <x:c r="C27" s="20" t="n">
        <x:f>'参数'!G12</x:f>
        <x:v>1.05</x:v>
      </x:c>
      <x:c r="D27" s="20" t="n">
        <x:f>'参数'!$B$49</x:f>
        <x:v>1.04</x:v>
      </x:c>
      <x:c r="E27" s="19" t="n">
        <x:f>ROUND('参数'!$B$18*'参数'!$B$19^(A27-1)*C27*D27,0)</x:f>
        <x:v>55</x:v>
      </x:c>
      <x:c r="F27" s="19" t="n">
        <x:f>ROUND(E27*'参数'!$K$11,0)</x:f>
        <x:v>55</x:v>
      </x:c>
      <x:c r="G27" s="19" t="n">
        <x:f>ROUND(E27*'参数'!$K$12,0)</x:f>
        <x:v>30</x:v>
      </x:c>
      <x:c r="H27" s="19" t="n">
        <x:f>ROUND(E27*'参数'!$L$14,0)</x:f>
        <x:v>440</x:v>
      </x:c>
      <x:c r="I27" s="19" t="n">
        <x:f>ROUND(E27*'参数'!$M$14,0)</x:f>
        <x:v>25</x:v>
      </x:c>
      <x:c r="J27" s="19" t="n">
        <x:f>ROUND(E27*'参数'!$K$21,0)</x:f>
        <x:v>157</x:v>
      </x:c>
      <x:c r="K27" s="19" t="n">
        <x:f>ROUND(E27*'参数'!$L$21,0)</x:f>
        <x:v>1221</x:v>
      </x:c>
      <x:c r="L27" s="19" t="n">
        <x:f>ROUND(E27*'参数'!$M$21,0)</x:f>
        <x:v>96</x:v>
      </x:c>
      <x:c r="M27" s="22" t="n">
        <x:f>E27/E17-1</x:f>
        <x:v>0.22222222222222232</x:v>
      </x:c>
      <x:c r="N27" s="19" t="n">
        <x:f>ROUND(F27*'参数'!$B$20,0)</x:f>
        <x:v>52</x:v>
      </x:c>
      <x:c r="O27" s="19" t="n">
        <x:f>ROUND(F27*'参数'!$B$21,0)</x:f>
        <x:v>58</x:v>
      </x:c>
    </x:row>
    <x:row r="28" ht="22" customHeight="1">
      <x:c r="A28" s="18" t="n">
        <x:v>10</x:v>
      </x:c>
      <x:c r="B28" s="18" t="str">
        <x:v>珍品</x:v>
      </x:c>
      <x:c r="C28" s="15" t="n">
        <x:f>'参数'!G13</x:f>
        <x:v>1.1</x:v>
      </x:c>
      <x:c r="D28" s="15" t="n">
        <x:f>'参数'!$B$49</x:f>
        <x:v>1.04</x:v>
      </x:c>
      <x:c r="E28" s="18" t="n">
        <x:f>ROUND('参数'!$B$18*'参数'!$B$19^(A28-1)*C28*D28,0)</x:f>
        <x:v>57</x:v>
      </x:c>
      <x:c r="F28" s="18" t="n">
        <x:f>ROUND(E28*'参数'!$K$11,0)</x:f>
        <x:v>57</x:v>
      </x:c>
      <x:c r="G28" s="18" t="n">
        <x:f>ROUND(E28*'参数'!$K$12,0)</x:f>
        <x:v>31</x:v>
      </x:c>
      <x:c r="H28" s="18" t="n">
        <x:f>ROUND(E28*'参数'!$L$14,0)</x:f>
        <x:v>456</x:v>
      </x:c>
      <x:c r="I28" s="18" t="n">
        <x:f>ROUND(E28*'参数'!$M$14,0)</x:f>
        <x:v>26</x:v>
      </x:c>
      <x:c r="J28" s="18" t="n">
        <x:f>ROUND(E28*'参数'!$K$21,0)</x:f>
        <x:v>162</x:v>
      </x:c>
      <x:c r="K28" s="18" t="n">
        <x:f>ROUND(E28*'参数'!$L$21,0)</x:f>
        <x:v>1265</x:v>
      </x:c>
      <x:c r="L28" s="18" t="n">
        <x:f>ROUND(E28*'参数'!$M$21,0)</x:f>
        <x:v>100</x:v>
      </x:c>
      <x:c r="M28" s="21" t="n">
        <x:f>E28/E18-1</x:f>
        <x:v>0.1875</x:v>
      </x:c>
      <x:c r="N28" s="18" t="n">
        <x:f>ROUND(F28*'参数'!$B$20,0)</x:f>
        <x:v>54</x:v>
      </x:c>
      <x:c r="O28" s="18" t="n">
        <x:f>ROUND(F28*'参数'!$B$21,0)</x:f>
        <x:v>60</x:v>
      </x:c>
    </x:row>
    <x:row r="29" ht="22" customHeight="1">
      <x:c r="A29" s="19" t="n">
        <x:v>10</x:v>
      </x:c>
      <x:c r="B29" s="19" t="str">
        <x:v>传奇</x:v>
      </x:c>
      <x:c r="C29" s="20" t="n">
        <x:f>'参数'!G14</x:f>
        <x:v>1.16</x:v>
      </x:c>
      <x:c r="D29" s="20" t="n">
        <x:f>'参数'!$B$49</x:f>
        <x:v>1.04</x:v>
      </x:c>
      <x:c r="E29" s="19" t="n">
        <x:f>ROUND('参数'!$B$18*'参数'!$B$19^(A29-1)*C29*D29,0)</x:f>
        <x:v>60</x:v>
      </x:c>
      <x:c r="F29" s="19" t="n">
        <x:f>ROUND(E29*'参数'!$K$11,0)</x:f>
        <x:v>60</x:v>
      </x:c>
      <x:c r="G29" s="19" t="n">
        <x:f>ROUND(E29*'参数'!$K$12,0)</x:f>
        <x:v>33</x:v>
      </x:c>
      <x:c r="H29" s="19" t="n">
        <x:f>ROUND(E29*'参数'!$L$14,0)</x:f>
        <x:v>480</x:v>
      </x:c>
      <x:c r="I29" s="19" t="n">
        <x:f>ROUND(E29*'参数'!$M$14,0)</x:f>
        <x:v>27</x:v>
      </x:c>
      <x:c r="J29" s="19" t="n">
        <x:f>ROUND(E29*'参数'!$K$21,0)</x:f>
        <x:v>171</x:v>
      </x:c>
      <x:c r="K29" s="19" t="n">
        <x:f>ROUND(E29*'参数'!$L$21,0)</x:f>
        <x:v>1332</x:v>
      </x:c>
      <x:c r="L29" s="19" t="n">
        <x:f>ROUND(E29*'参数'!$M$21,0)</x:f>
        <x:v>105</x:v>
      </x:c>
      <x:c r="M29" s="22" t="n">
        <x:f>E29/E19-1</x:f>
        <x:v>0.19999999999999996</x:v>
      </x:c>
      <x:c r="N29" s="19" t="n">
        <x:f>ROUND(F29*'参数'!$B$20,0)</x:f>
        <x:v>57</x:v>
      </x:c>
      <x:c r="O29" s="19" t="n">
        <x:f>ROUND(F29*'参数'!$B$21,0)</x:f>
        <x:v>63</x:v>
      </x:c>
    </x:row>
    <x:row r="30" ht="22" customHeight="1">
      <x:c r="A30" s="18" t="n">
        <x:v>10</x:v>
      </x:c>
      <x:c r="B30" s="18" t="str">
        <x:v>传世</x:v>
      </x:c>
      <x:c r="C30" s="15" t="n">
        <x:f>'参数'!G15</x:f>
        <x:v>1.22</x:v>
      </x:c>
      <x:c r="D30" s="15" t="n">
        <x:f>'参数'!$B$49</x:f>
        <x:v>1.04</x:v>
      </x:c>
      <x:c r="E30" s="18" t="n">
        <x:f>ROUND('参数'!$B$18*'参数'!$B$19^(A30-1)*C30*D30,0)</x:f>
        <x:v>63</x:v>
      </x:c>
      <x:c r="F30" s="18" t="n">
        <x:f>ROUND(E30*'参数'!$K$11,0)</x:f>
        <x:v>63</x:v>
      </x:c>
      <x:c r="G30" s="18" t="n">
        <x:f>ROUND(E30*'参数'!$K$12,0)</x:f>
        <x:v>35</x:v>
      </x:c>
      <x:c r="H30" s="18" t="n">
        <x:f>ROUND(E30*'参数'!$L$14,0)</x:f>
        <x:v>504</x:v>
      </x:c>
      <x:c r="I30" s="18" t="n">
        <x:f>ROUND(E30*'参数'!$M$14,0)</x:f>
        <x:v>28</x:v>
      </x:c>
      <x:c r="J30" s="18" t="n">
        <x:f>ROUND(E30*'参数'!$K$21,0)</x:f>
        <x:v>180</x:v>
      </x:c>
      <x:c r="K30" s="18" t="n">
        <x:f>ROUND(E30*'参数'!$L$21,0)</x:f>
        <x:v>1399</x:v>
      </x:c>
      <x:c r="L30" s="18" t="n">
        <x:f>ROUND(E30*'参数'!$M$21,0)</x:f>
        <x:v>110</x:v>
      </x:c>
      <x:c r="M30" s="21" t="n">
        <x:f>E30/E20-1</x:f>
        <x:v>0.18867924528301883</x:v>
      </x:c>
      <x:c r="N30" s="18" t="n">
        <x:f>ROUND(F30*'参数'!$B$20,0)</x:f>
        <x:v>60</x:v>
      </x:c>
      <x:c r="O30" s="18" t="n">
        <x:f>ROUND(F30*'参数'!$B$21,0)</x:f>
        <x:v>66</x:v>
      </x:c>
    </x:row>
    <x:row r="31" ht="22" customHeight="1">
      <x:c r="A31" s="19" t="n">
        <x:v>10</x:v>
      </x:c>
      <x:c r="B31" s="19" t="str">
        <x:v>灵蕴</x:v>
      </x:c>
      <x:c r="C31" s="20" t="n">
        <x:f>'参数'!G16</x:f>
        <x:v>1.29</x:v>
      </x:c>
      <x:c r="D31" s="20" t="n">
        <x:f>'参数'!$B$49</x:f>
        <x:v>1.04</x:v>
      </x:c>
      <x:c r="E31" s="19" t="n">
        <x:f>ROUND('参数'!$B$18*'参数'!$B$19^(A31-1)*C31*D31,0)</x:f>
        <x:v>67</x:v>
      </x:c>
      <x:c r="F31" s="19" t="n">
        <x:f>ROUND(E31*'参数'!$K$11,0)</x:f>
        <x:v>67</x:v>
      </x:c>
      <x:c r="G31" s="19" t="n">
        <x:f>ROUND(E31*'参数'!$K$12,0)</x:f>
        <x:v>37</x:v>
      </x:c>
      <x:c r="H31" s="19" t="n">
        <x:f>ROUND(E31*'参数'!$L$14,0)</x:f>
        <x:v>536</x:v>
      </x:c>
      <x:c r="I31" s="19" t="n">
        <x:f>ROUND(E31*'参数'!$M$14,0)</x:f>
        <x:v>30</x:v>
      </x:c>
      <x:c r="J31" s="19" t="n">
        <x:f>ROUND(E31*'参数'!$K$21,0)</x:f>
        <x:v>191</x:v>
      </x:c>
      <x:c r="K31" s="19" t="n">
        <x:f>ROUND(E31*'参数'!$L$21,0)</x:f>
        <x:v>1487</x:v>
      </x:c>
      <x:c r="L31" s="19" t="n">
        <x:f>ROUND(E31*'参数'!$M$21,0)</x:f>
        <x:v>117</x:v>
      </x:c>
      <x:c r="M31" s="22" t="n">
        <x:f>E31/E21-1</x:f>
        <x:v>0.1964285714285714</x:v>
      </x:c>
      <x:c r="N31" s="19" t="n">
        <x:f>ROUND(F31*'参数'!$B$20,0)</x:f>
        <x:v>64</x:v>
      </x:c>
      <x:c r="O31" s="19" t="n">
        <x:f>ROUND(F31*'参数'!$B$21,0)</x:f>
        <x:v>70</x:v>
      </x:c>
    </x:row>
    <x:row r="32" ht="22" customHeight="1">
      <x:c r="A32" s="18" t="n">
        <x:v>10</x:v>
      </x:c>
      <x:c r="B32" s="18" t="str">
        <x:v>超然</x:v>
      </x:c>
      <x:c r="C32" s="15" t="n">
        <x:f>'参数'!G17</x:f>
        <x:v>1.36</x:v>
      </x:c>
      <x:c r="D32" s="15" t="n">
        <x:f>'参数'!$B$49</x:f>
        <x:v>1.04</x:v>
      </x:c>
      <x:c r="E32" s="18" t="n">
        <x:f>ROUND('参数'!$B$18*'参数'!$B$19^(A32-1)*C32*D32,0)</x:f>
        <x:v>71</x:v>
      </x:c>
      <x:c r="F32" s="18" t="n">
        <x:f>ROUND(E32*'参数'!$K$11,0)</x:f>
        <x:v>71</x:v>
      </x:c>
      <x:c r="G32" s="18" t="n">
        <x:f>ROUND(E32*'参数'!$K$12,0)</x:f>
        <x:v>39</x:v>
      </x:c>
      <x:c r="H32" s="18" t="n">
        <x:f>ROUND(E32*'参数'!$L$14,0)</x:f>
        <x:v>568</x:v>
      </x:c>
      <x:c r="I32" s="18" t="n">
        <x:f>ROUND(E32*'参数'!$M$14,0)</x:f>
        <x:v>32</x:v>
      </x:c>
      <x:c r="J32" s="18" t="n">
        <x:f>ROUND(E32*'参数'!$K$21,0)</x:f>
        <x:v>202</x:v>
      </x:c>
      <x:c r="K32" s="18" t="n">
        <x:f>ROUND(E32*'参数'!$L$21,0)</x:f>
        <x:v>1576</x:v>
      </x:c>
      <x:c r="L32" s="18" t="n">
        <x:f>ROUND(E32*'参数'!$M$21,0)</x:f>
        <x:v>124</x:v>
      </x:c>
      <x:c r="M32" s="21" t="n">
        <x:f>E32/E22-1</x:f>
        <x:v>0.20338983050847448</x:v>
      </x:c>
      <x:c r="N32" s="18" t="n">
        <x:f>ROUND(F32*'参数'!$B$20,0)</x:f>
        <x:v>67</x:v>
      </x:c>
      <x:c r="O32" s="18" t="n">
        <x:f>ROUND(F32*'参数'!$B$21,0)</x:f>
        <x:v>75</x:v>
      </x:c>
    </x:row>
    <x:row r="33" ht="22" customHeight="1">
      <x:c r="A33" s="19" t="n">
        <x:v>10</x:v>
      </x:c>
      <x:c r="B33" s="19" t="str">
        <x:v>星穹</x:v>
      </x:c>
      <x:c r="C33" s="20" t="n">
        <x:f>'参数'!G18</x:f>
        <x:v>1.43</x:v>
      </x:c>
      <x:c r="D33" s="20" t="n">
        <x:f>'参数'!$B$49</x:f>
        <x:v>1.04</x:v>
      </x:c>
      <x:c r="E33" s="19" t="n">
        <x:f>ROUND('参数'!$B$18*'参数'!$B$19^(A33-1)*C33*D33,0)</x:f>
        <x:v>74</x:v>
      </x:c>
      <x:c r="F33" s="19" t="n">
        <x:f>ROUND(E33*'参数'!$K$11,0)</x:f>
        <x:v>74</x:v>
      </x:c>
      <x:c r="G33" s="19" t="n">
        <x:f>ROUND(E33*'参数'!$K$12,0)</x:f>
        <x:v>41</x:v>
      </x:c>
      <x:c r="H33" s="19" t="n">
        <x:f>ROUND(E33*'参数'!$L$14,0)</x:f>
        <x:v>592</x:v>
      </x:c>
      <x:c r="I33" s="19" t="n">
        <x:f>ROUND(E33*'参数'!$M$14,0)</x:f>
        <x:v>33</x:v>
      </x:c>
      <x:c r="J33" s="19" t="n">
        <x:f>ROUND(E33*'参数'!$K$21,0)</x:f>
        <x:v>211</x:v>
      </x:c>
      <x:c r="K33" s="19" t="n">
        <x:f>ROUND(E33*'参数'!$L$21,0)</x:f>
        <x:v>1643</x:v>
      </x:c>
      <x:c r="L33" s="19" t="n">
        <x:f>ROUND(E33*'参数'!$M$21,0)</x:f>
        <x:v>130</x:v>
      </x:c>
      <x:c r="M33" s="22" t="n">
        <x:f>E33/E23-1</x:f>
        <x:v>0.19354838709677424</x:v>
      </x:c>
      <x:c r="N33" s="19" t="n">
        <x:f>ROUND(F33*'参数'!$B$20,0)</x:f>
        <x:v>70</x:v>
      </x:c>
      <x:c r="O33" s="19" t="n">
        <x:f>ROUND(F33*'参数'!$B$21,0)</x:f>
        <x:v>78</x:v>
      </x:c>
    </x:row>
    <x:row r="34" ht="22" customHeight="1">
      <x:c r="A34" s="18" t="n">
        <x:v>10</x:v>
      </x:c>
      <x:c r="B34" s="18" t="str">
        <x:v>神辉</x:v>
      </x:c>
      <x:c r="C34" s="15" t="n">
        <x:f>'参数'!G19</x:f>
        <x:v>1.51</x:v>
      </x:c>
      <x:c r="D34" s="15" t="n">
        <x:f>'参数'!$B$49</x:f>
        <x:v>1.04</x:v>
      </x:c>
      <x:c r="E34" s="18" t="n">
        <x:f>ROUND('参数'!$B$18*'参数'!$B$19^(A34-1)*C34*D34,0)</x:f>
        <x:v>78</x:v>
      </x:c>
      <x:c r="F34" s="18" t="n">
        <x:f>ROUND(E34*'参数'!$K$11,0)</x:f>
        <x:v>78</x:v>
      </x:c>
      <x:c r="G34" s="18" t="n">
        <x:f>ROUND(E34*'参数'!$K$12,0)</x:f>
        <x:v>43</x:v>
      </x:c>
      <x:c r="H34" s="18" t="n">
        <x:f>ROUND(E34*'参数'!$L$14,0)</x:f>
        <x:v>624</x:v>
      </x:c>
      <x:c r="I34" s="18" t="n">
        <x:f>ROUND(E34*'参数'!$M$14,0)</x:f>
        <x:v>35</x:v>
      </x:c>
      <x:c r="J34" s="18" t="n">
        <x:f>ROUND(E34*'参数'!$K$21,0)</x:f>
        <x:v>222</x:v>
      </x:c>
      <x:c r="K34" s="18" t="n">
        <x:f>ROUND(E34*'参数'!$L$21,0)</x:f>
        <x:v>1732</x:v>
      </x:c>
      <x:c r="L34" s="18" t="n">
        <x:f>ROUND(E34*'参数'!$M$21,0)</x:f>
        <x:v>137</x:v>
      </x:c>
      <x:c r="M34" s="21" t="n">
        <x:f>E34/E24-1</x:f>
        <x:v>0.19999999999999996</x:v>
      </x:c>
      <x:c r="N34" s="18" t="n">
        <x:f>ROUND(F34*'参数'!$B$20,0)</x:f>
        <x:v>74</x:v>
      </x:c>
      <x:c r="O34" s="18" t="n">
        <x:f>ROUND(F34*'参数'!$B$21,0)</x:f>
        <x:v>82</x:v>
      </x:c>
    </x:row>
    <x:row r="35" ht="22" customHeight="1">
      <x:c r="A35" s="19" t="n">
        <x:v>10</x:v>
      </x:c>
      <x:c r="B35" s="19" t="str">
        <x:v>混元</x:v>
      </x:c>
      <x:c r="C35" s="20" t="n">
        <x:f>'参数'!G20</x:f>
        <x:v>1.6</x:v>
      </x:c>
      <x:c r="D35" s="20" t="n">
        <x:f>'参数'!$B$49</x:f>
        <x:v>1.04</x:v>
      </x:c>
      <x:c r="E35" s="19" t="n">
        <x:f>ROUND('参数'!$B$18*'参数'!$B$19^(A35-1)*C35*D35,0)</x:f>
        <x:v>83</x:v>
      </x:c>
      <x:c r="F35" s="19" t="n">
        <x:f>ROUND(E35*'参数'!$K$11,0)</x:f>
        <x:v>83</x:v>
      </x:c>
      <x:c r="G35" s="19" t="n">
        <x:f>ROUND(E35*'参数'!$K$12,0)</x:f>
        <x:v>46</x:v>
      </x:c>
      <x:c r="H35" s="19" t="n">
        <x:f>ROUND(E35*'参数'!$L$14,0)</x:f>
        <x:v>664</x:v>
      </x:c>
      <x:c r="I35" s="19" t="n">
        <x:f>ROUND(E35*'参数'!$M$14,0)</x:f>
        <x:v>37</x:v>
      </x:c>
      <x:c r="J35" s="19" t="n">
        <x:f>ROUND(E35*'参数'!$K$21,0)</x:f>
        <x:v>237</x:v>
      </x:c>
      <x:c r="K35" s="19" t="n">
        <x:f>ROUND(E35*'参数'!$L$21,0)</x:f>
        <x:v>1843</x:v>
      </x:c>
      <x:c r="L35" s="19" t="n">
        <x:f>ROUND(E35*'参数'!$M$21,0)</x:f>
        <x:v>145</x:v>
      </x:c>
      <x:c r="M35" s="22" t="n">
        <x:f>E35/E25-1</x:f>
        <x:v>0.2028985507246377</x:v>
      </x:c>
      <x:c r="N35" s="19" t="n">
        <x:f>ROUND(F35*'参数'!$B$20,0)</x:f>
        <x:v>79</x:v>
      </x:c>
      <x:c r="O35" s="19" t="n">
        <x:f>ROUND(F35*'参数'!$B$21,0)</x:f>
        <x:v>87</x:v>
      </x:c>
    </x:row>
    <x:row r="36" ht="22" customHeight="1">
      <x:c r="A36" s="18" t="n">
        <x:v>15</x:v>
      </x:c>
      <x:c r="B36" s="18" t="str">
        <x:v>凡品</x:v>
      </x:c>
      <x:c r="C36" s="15" t="n">
        <x:f>'参数'!G11</x:f>
        <x:v>1</x:v>
      </x:c>
      <x:c r="D36" s="15" t="n">
        <x:f>'参数'!$B$49</x:f>
        <x:v>1.04</x:v>
      </x:c>
      <x:c r="E36" s="18" t="n">
        <x:f>ROUND('参数'!$B$18*'参数'!$B$19^(A36-1)*C36*D36,0)</x:f>
        <x:v>62</x:v>
      </x:c>
      <x:c r="F36" s="18" t="n">
        <x:f>ROUND(E36*'参数'!$K$11,0)</x:f>
        <x:v>62</x:v>
      </x:c>
      <x:c r="G36" s="18" t="n">
        <x:f>ROUND(E36*'参数'!$K$12,0)</x:f>
        <x:v>34</x:v>
      </x:c>
      <x:c r="H36" s="18" t="n">
        <x:f>ROUND(E36*'参数'!$L$14,0)</x:f>
        <x:v>496</x:v>
      </x:c>
      <x:c r="I36" s="18" t="n">
        <x:f>ROUND(E36*'参数'!$M$14,0)</x:f>
        <x:v>28</x:v>
      </x:c>
      <x:c r="J36" s="18" t="n">
        <x:f>ROUND(E36*'参数'!$K$21,0)</x:f>
        <x:v>177</x:v>
      </x:c>
      <x:c r="K36" s="18" t="n">
        <x:f>ROUND(E36*'参数'!$L$21,0)</x:f>
        <x:v>1376</x:v>
      </x:c>
      <x:c r="L36" s="18" t="n">
        <x:f>ROUND(E36*'参数'!$M$21,0)</x:f>
        <x:v>109</x:v>
      </x:c>
      <x:c r="M36" s="21" t="n">
        <x:f>E36/E26-1</x:f>
        <x:v>0.1923076923076923</x:v>
      </x:c>
      <x:c r="N36" s="18" t="n">
        <x:f>ROUND(F36*'参数'!$B$20,0)</x:f>
        <x:v>59</x:v>
      </x:c>
      <x:c r="O36" s="18" t="n">
        <x:f>ROUND(F36*'参数'!$B$21,0)</x:f>
        <x:v>65</x:v>
      </x:c>
    </x:row>
    <x:row r="37" ht="22" customHeight="1">
      <x:c r="A37" s="19" t="n">
        <x:v>15</x:v>
      </x:c>
      <x:c r="B37" s="19" t="str">
        <x:v>良品</x:v>
      </x:c>
      <x:c r="C37" s="20" t="n">
        <x:f>'参数'!G12</x:f>
        <x:v>1.05</x:v>
      </x:c>
      <x:c r="D37" s="20" t="n">
        <x:f>'参数'!$B$49</x:f>
        <x:v>1.04</x:v>
      </x:c>
      <x:c r="E37" s="19" t="n">
        <x:f>ROUND('参数'!$B$18*'参数'!$B$19^(A37-1)*C37*D37,0)</x:f>
        <x:v>65</x:v>
      </x:c>
      <x:c r="F37" s="19" t="n">
        <x:f>ROUND(E37*'参数'!$K$11,0)</x:f>
        <x:v>65</x:v>
      </x:c>
      <x:c r="G37" s="19" t="n">
        <x:f>ROUND(E37*'参数'!$K$12,0)</x:f>
        <x:v>36</x:v>
      </x:c>
      <x:c r="H37" s="19" t="n">
        <x:f>ROUND(E37*'参数'!$L$14,0)</x:f>
        <x:v>520</x:v>
      </x:c>
      <x:c r="I37" s="19" t="n">
        <x:f>ROUND(E37*'参数'!$M$14,0)</x:f>
        <x:v>29</x:v>
      </x:c>
      <x:c r="J37" s="19" t="n">
        <x:f>ROUND(E37*'参数'!$K$21,0)</x:f>
        <x:v>185</x:v>
      </x:c>
      <x:c r="K37" s="19" t="n">
        <x:f>ROUND(E37*'参数'!$L$21,0)</x:f>
        <x:v>1443</x:v>
      </x:c>
      <x:c r="L37" s="19" t="n">
        <x:f>ROUND(E37*'参数'!$M$21,0)</x:f>
        <x:v>114</x:v>
      </x:c>
      <x:c r="M37" s="22" t="n">
        <x:f>E37/E27-1</x:f>
        <x:v>0.18181818181818188</x:v>
      </x:c>
      <x:c r="N37" s="19" t="n">
        <x:f>ROUND(F37*'参数'!$B$20,0)</x:f>
        <x:v>62</x:v>
      </x:c>
      <x:c r="O37" s="19" t="n">
        <x:f>ROUND(F37*'参数'!$B$21,0)</x:f>
        <x:v>68</x:v>
      </x:c>
    </x:row>
    <x:row r="38" ht="22" customHeight="1">
      <x:c r="A38" s="18" t="n">
        <x:v>15</x:v>
      </x:c>
      <x:c r="B38" s="18" t="str">
        <x:v>珍品</x:v>
      </x:c>
      <x:c r="C38" s="15" t="n">
        <x:f>'参数'!G13</x:f>
        <x:v>1.1</x:v>
      </x:c>
      <x:c r="D38" s="15" t="n">
        <x:f>'参数'!$B$49</x:f>
        <x:v>1.04</x:v>
      </x:c>
      <x:c r="E38" s="18" t="n">
        <x:f>ROUND('参数'!$B$18*'参数'!$B$19^(A38-1)*C38*D38,0)</x:f>
        <x:v>68</x:v>
      </x:c>
      <x:c r="F38" s="18" t="n">
        <x:f>ROUND(E38*'参数'!$K$11,0)</x:f>
        <x:v>68</x:v>
      </x:c>
      <x:c r="G38" s="18" t="n">
        <x:f>ROUND(E38*'参数'!$K$12,0)</x:f>
        <x:v>37</x:v>
      </x:c>
      <x:c r="H38" s="18" t="n">
        <x:f>ROUND(E38*'参数'!$L$14,0)</x:f>
        <x:v>544</x:v>
      </x:c>
      <x:c r="I38" s="18" t="n">
        <x:f>ROUND(E38*'参数'!$M$14,0)</x:f>
        <x:v>31</x:v>
      </x:c>
      <x:c r="J38" s="18" t="n">
        <x:f>ROUND(E38*'参数'!$K$21,0)</x:f>
        <x:v>194</x:v>
      </x:c>
      <x:c r="K38" s="18" t="n">
        <x:f>ROUND(E38*'参数'!$L$21,0)</x:f>
        <x:v>1510</x:v>
      </x:c>
      <x:c r="L38" s="18" t="n">
        <x:f>ROUND(E38*'参数'!$M$21,0)</x:f>
        <x:v>119</x:v>
      </x:c>
      <x:c r="M38" s="21" t="n">
        <x:f>E38/E28-1</x:f>
        <x:v>0.1929824561403508</x:v>
      </x:c>
      <x:c r="N38" s="18" t="n">
        <x:f>ROUND(F38*'参数'!$B$20,0)</x:f>
        <x:v>65</x:v>
      </x:c>
      <x:c r="O38" s="18" t="n">
        <x:f>ROUND(F38*'参数'!$B$21,0)</x:f>
        <x:v>71</x:v>
      </x:c>
    </x:row>
    <x:row r="39" ht="22" customHeight="1">
      <x:c r="A39" s="19" t="n">
        <x:v>15</x:v>
      </x:c>
      <x:c r="B39" s="19" t="str">
        <x:v>传奇</x:v>
      </x:c>
      <x:c r="C39" s="20" t="n">
        <x:f>'参数'!G14</x:f>
        <x:v>1.16</x:v>
      </x:c>
      <x:c r="D39" s="20" t="n">
        <x:f>'参数'!$B$49</x:f>
        <x:v>1.04</x:v>
      </x:c>
      <x:c r="E39" s="19" t="n">
        <x:f>ROUND('参数'!$B$18*'参数'!$B$19^(A39-1)*C39*D39,0)</x:f>
        <x:v>72</x:v>
      </x:c>
      <x:c r="F39" s="19" t="n">
        <x:f>ROUND(E39*'参数'!$K$11,0)</x:f>
        <x:v>72</x:v>
      </x:c>
      <x:c r="G39" s="19" t="n">
        <x:f>ROUND(E39*'参数'!$K$12,0)</x:f>
        <x:v>40</x:v>
      </x:c>
      <x:c r="H39" s="19" t="n">
        <x:f>ROUND(E39*'参数'!$L$14,0)</x:f>
        <x:v>576</x:v>
      </x:c>
      <x:c r="I39" s="19" t="n">
        <x:f>ROUND(E39*'参数'!$M$14,0)</x:f>
        <x:v>32</x:v>
      </x:c>
      <x:c r="J39" s="19" t="n">
        <x:f>ROUND(E39*'参数'!$K$21,0)</x:f>
        <x:v>205</x:v>
      </x:c>
      <x:c r="K39" s="19" t="n">
        <x:f>ROUND(E39*'参数'!$L$21,0)</x:f>
        <x:v>1598</x:v>
      </x:c>
      <x:c r="L39" s="19" t="n">
        <x:f>ROUND(E39*'参数'!$M$21,0)</x:f>
        <x:v>126</x:v>
      </x:c>
      <x:c r="M39" s="22" t="n">
        <x:f>E39/E29-1</x:f>
        <x:v>0.19999999999999996</x:v>
      </x:c>
      <x:c r="N39" s="19" t="n">
        <x:f>ROUND(F39*'参数'!$B$20,0)</x:f>
        <x:v>68</x:v>
      </x:c>
      <x:c r="O39" s="19" t="n">
        <x:f>ROUND(F39*'参数'!$B$21,0)</x:f>
        <x:v>76</x:v>
      </x:c>
    </x:row>
    <x:row r="40" ht="22" customHeight="1">
      <x:c r="A40" s="18" t="n">
        <x:v>15</x:v>
      </x:c>
      <x:c r="B40" s="18" t="str">
        <x:v>传世</x:v>
      </x:c>
      <x:c r="C40" s="15" t="n">
        <x:f>'参数'!G15</x:f>
        <x:v>1.22</x:v>
      </x:c>
      <x:c r="D40" s="15" t="n">
        <x:f>'参数'!$B$49</x:f>
        <x:v>1.04</x:v>
      </x:c>
      <x:c r="E40" s="18" t="n">
        <x:f>ROUND('参数'!$B$18*'参数'!$B$19^(A40-1)*C40*D40,0)</x:f>
        <x:v>76</x:v>
      </x:c>
      <x:c r="F40" s="18" t="n">
        <x:f>ROUND(E40*'参数'!$K$11,0)</x:f>
        <x:v>76</x:v>
      </x:c>
      <x:c r="G40" s="18" t="n">
        <x:f>ROUND(E40*'参数'!$K$12,0)</x:f>
        <x:v>42</x:v>
      </x:c>
      <x:c r="H40" s="18" t="n">
        <x:f>ROUND(E40*'参数'!$L$14,0)</x:f>
        <x:v>608</x:v>
      </x:c>
      <x:c r="I40" s="18" t="n">
        <x:f>ROUND(E40*'参数'!$M$14,0)</x:f>
        <x:v>34</x:v>
      </x:c>
      <x:c r="J40" s="18" t="n">
        <x:f>ROUND(E40*'参数'!$K$21,0)</x:f>
        <x:v>217</x:v>
      </x:c>
      <x:c r="K40" s="18" t="n">
        <x:f>ROUND(E40*'参数'!$L$21,0)</x:f>
        <x:v>1687</x:v>
      </x:c>
      <x:c r="L40" s="18" t="n">
        <x:f>ROUND(E40*'参数'!$M$21,0)</x:f>
        <x:v>133</x:v>
      </x:c>
      <x:c r="M40" s="21" t="n">
        <x:f>E40/E30-1</x:f>
        <x:v>0.20634920634920628</x:v>
      </x:c>
      <x:c r="N40" s="18" t="n">
        <x:f>ROUND(F40*'参数'!$B$20,0)</x:f>
        <x:v>72</x:v>
      </x:c>
      <x:c r="O40" s="18" t="n">
        <x:f>ROUND(F40*'参数'!$B$21,0)</x:f>
        <x:v>80</x:v>
      </x:c>
    </x:row>
    <x:row r="41" ht="22" customHeight="1">
      <x:c r="A41" s="19" t="n">
        <x:v>15</x:v>
      </x:c>
      <x:c r="B41" s="19" t="str">
        <x:v>灵蕴</x:v>
      </x:c>
      <x:c r="C41" s="20" t="n">
        <x:f>'参数'!G16</x:f>
        <x:v>1.29</x:v>
      </x:c>
      <x:c r="D41" s="20" t="n">
        <x:f>'参数'!$B$49</x:f>
        <x:v>1.04</x:v>
      </x:c>
      <x:c r="E41" s="19" t="n">
        <x:f>ROUND('参数'!$B$18*'参数'!$B$19^(A41-1)*C41*D41,0)</x:f>
        <x:v>80</x:v>
      </x:c>
      <x:c r="F41" s="19" t="n">
        <x:f>ROUND(E41*'参数'!$K$11,0)</x:f>
        <x:v>80</x:v>
      </x:c>
      <x:c r="G41" s="19" t="n">
        <x:f>ROUND(E41*'参数'!$K$12,0)</x:f>
        <x:v>44</x:v>
      </x:c>
      <x:c r="H41" s="19" t="n">
        <x:f>ROUND(E41*'参数'!$L$14,0)</x:f>
        <x:v>640</x:v>
      </x:c>
      <x:c r="I41" s="19" t="n">
        <x:f>ROUND(E41*'参数'!$M$14,0)</x:f>
        <x:v>36</x:v>
      </x:c>
      <x:c r="J41" s="19" t="n">
        <x:f>ROUND(E41*'参数'!$K$21,0)</x:f>
        <x:v>228</x:v>
      </x:c>
      <x:c r="K41" s="19" t="n">
        <x:f>ROUND(E41*'参数'!$L$21,0)</x:f>
        <x:v>1776</x:v>
      </x:c>
      <x:c r="L41" s="19" t="n">
        <x:f>ROUND(E41*'参数'!$M$21,0)</x:f>
        <x:v>140</x:v>
      </x:c>
      <x:c r="M41" s="22" t="n">
        <x:f>E41/E31-1</x:f>
        <x:v>0.19402985074626855</x:v>
      </x:c>
      <x:c r="N41" s="19" t="n">
        <x:f>ROUND(F41*'参数'!$B$20,0)</x:f>
        <x:v>76</x:v>
      </x:c>
      <x:c r="O41" s="19" t="n">
        <x:f>ROUND(F41*'参数'!$B$21,0)</x:f>
        <x:v>84</x:v>
      </x:c>
    </x:row>
    <x:row r="42" ht="22" customHeight="1">
      <x:c r="A42" s="18" t="n">
        <x:v>15</x:v>
      </x:c>
      <x:c r="B42" s="18" t="str">
        <x:v>超然</x:v>
      </x:c>
      <x:c r="C42" s="15" t="n">
        <x:f>'参数'!G17</x:f>
        <x:v>1.36</x:v>
      </x:c>
      <x:c r="D42" s="15" t="n">
        <x:f>'参数'!$B$49</x:f>
        <x:v>1.04</x:v>
      </x:c>
      <x:c r="E42" s="18" t="n">
        <x:f>ROUND('参数'!$B$18*'参数'!$B$19^(A42-1)*C42*D42,0)</x:f>
        <x:v>85</x:v>
      </x:c>
      <x:c r="F42" s="18" t="n">
        <x:f>ROUND(E42*'参数'!$K$11,0)</x:f>
        <x:v>85</x:v>
      </x:c>
      <x:c r="G42" s="18" t="n">
        <x:f>ROUND(E42*'参数'!$K$12,0)</x:f>
        <x:v>47</x:v>
      </x:c>
      <x:c r="H42" s="18" t="n">
        <x:f>ROUND(E42*'参数'!$L$14,0)</x:f>
        <x:v>680</x:v>
      </x:c>
      <x:c r="I42" s="18" t="n">
        <x:f>ROUND(E42*'参数'!$M$14,0)</x:f>
        <x:v>38</x:v>
      </x:c>
      <x:c r="J42" s="18" t="n">
        <x:f>ROUND(E42*'参数'!$K$21,0)</x:f>
        <x:v>242</x:v>
      </x:c>
      <x:c r="K42" s="18" t="n">
        <x:f>ROUND(E42*'参数'!$L$21,0)</x:f>
        <x:v>1887</x:v>
      </x:c>
      <x:c r="L42" s="18" t="n">
        <x:f>ROUND(E42*'参数'!$M$21,0)</x:f>
        <x:v>149</x:v>
      </x:c>
      <x:c r="M42" s="21" t="n">
        <x:f>E42/E32-1</x:f>
        <x:v>0.19718309859154926</x:v>
      </x:c>
      <x:c r="N42" s="18" t="n">
        <x:f>ROUND(F42*'参数'!$B$20,0)</x:f>
        <x:v>81</x:v>
      </x:c>
      <x:c r="O42" s="18" t="n">
        <x:f>ROUND(F42*'参数'!$B$21,0)</x:f>
        <x:v>89</x:v>
      </x:c>
    </x:row>
    <x:row r="43" ht="22" customHeight="1">
      <x:c r="A43" s="19" t="n">
        <x:v>15</x:v>
      </x:c>
      <x:c r="B43" s="19" t="str">
        <x:v>星穹</x:v>
      </x:c>
      <x:c r="C43" s="20" t="n">
        <x:f>'参数'!G18</x:f>
        <x:v>1.43</x:v>
      </x:c>
      <x:c r="D43" s="20" t="n">
        <x:f>'参数'!$B$49</x:f>
        <x:v>1.04</x:v>
      </x:c>
      <x:c r="E43" s="19" t="n">
        <x:f>ROUND('参数'!$B$18*'参数'!$B$19^(A43-1)*C43*D43,0)</x:f>
        <x:v>89</x:v>
      </x:c>
      <x:c r="F43" s="19" t="n">
        <x:f>ROUND(E43*'参数'!$K$11,0)</x:f>
        <x:v>89</x:v>
      </x:c>
      <x:c r="G43" s="19" t="n">
        <x:f>ROUND(E43*'参数'!$K$12,0)</x:f>
        <x:v>49</x:v>
      </x:c>
      <x:c r="H43" s="19" t="n">
        <x:f>ROUND(E43*'参数'!$L$14,0)</x:f>
        <x:v>712</x:v>
      </x:c>
      <x:c r="I43" s="19" t="n">
        <x:f>ROUND(E43*'参数'!$M$14,0)</x:f>
        <x:v>40</x:v>
      </x:c>
      <x:c r="J43" s="19" t="n">
        <x:f>ROUND(E43*'参数'!$K$21,0)</x:f>
        <x:v>254</x:v>
      </x:c>
      <x:c r="K43" s="19" t="n">
        <x:f>ROUND(E43*'参数'!$L$21,0)</x:f>
        <x:v>1976</x:v>
      </x:c>
      <x:c r="L43" s="19" t="n">
        <x:f>ROUND(E43*'参数'!$M$21,0)</x:f>
        <x:v>156</x:v>
      </x:c>
      <x:c r="M43" s="22" t="n">
        <x:f>E43/E33-1</x:f>
        <x:v>0.20270270270270263</x:v>
      </x:c>
      <x:c r="N43" s="19" t="n">
        <x:f>ROUND(F43*'参数'!$B$20,0)</x:f>
        <x:v>85</x:v>
      </x:c>
      <x:c r="O43" s="19" t="n">
        <x:f>ROUND(F43*'参数'!$B$21,0)</x:f>
        <x:v>93</x:v>
      </x:c>
    </x:row>
    <x:row r="44" ht="22" customHeight="1">
      <x:c r="A44" s="18" t="n">
        <x:v>15</x:v>
      </x:c>
      <x:c r="B44" s="18" t="str">
        <x:v>神辉</x:v>
      </x:c>
      <x:c r="C44" s="15" t="n">
        <x:f>'参数'!G19</x:f>
        <x:v>1.51</x:v>
      </x:c>
      <x:c r="D44" s="15" t="n">
        <x:f>'参数'!$B$49</x:f>
        <x:v>1.04</x:v>
      </x:c>
      <x:c r="E44" s="18" t="n">
        <x:f>ROUND('参数'!$B$18*'参数'!$B$19^(A44-1)*C44*D44,0)</x:f>
        <x:v>94</x:v>
      </x:c>
      <x:c r="F44" s="18" t="n">
        <x:f>ROUND(E44*'参数'!$K$11,0)</x:f>
        <x:v>94</x:v>
      </x:c>
      <x:c r="G44" s="18" t="n">
        <x:f>ROUND(E44*'参数'!$K$12,0)</x:f>
        <x:v>52</x:v>
      </x:c>
      <x:c r="H44" s="18" t="n">
        <x:f>ROUND(E44*'参数'!$L$14,0)</x:f>
        <x:v>752</x:v>
      </x:c>
      <x:c r="I44" s="18" t="n">
        <x:f>ROUND(E44*'参数'!$M$14,0)</x:f>
        <x:v>42</x:v>
      </x:c>
      <x:c r="J44" s="18" t="n">
        <x:f>ROUND(E44*'参数'!$K$21,0)</x:f>
        <x:v>268</x:v>
      </x:c>
      <x:c r="K44" s="18" t="n">
        <x:f>ROUND(E44*'参数'!$L$21,0)</x:f>
        <x:v>2087</x:v>
      </x:c>
      <x:c r="L44" s="18" t="n">
        <x:f>ROUND(E44*'参数'!$M$21,0)</x:f>
        <x:v>165</x:v>
      </x:c>
      <x:c r="M44" s="21" t="n">
        <x:f>E44/E34-1</x:f>
        <x:v>0.20512820512820507</x:v>
      </x:c>
      <x:c r="N44" s="18" t="n">
        <x:f>ROUND(F44*'参数'!$B$20,0)</x:f>
        <x:v>89</x:v>
      </x:c>
      <x:c r="O44" s="18" t="n">
        <x:f>ROUND(F44*'参数'!$B$21,0)</x:f>
        <x:v>99</x:v>
      </x:c>
    </x:row>
    <x:row r="45" ht="22" customHeight="1">
      <x:c r="A45" s="19" t="n">
        <x:v>15</x:v>
      </x:c>
      <x:c r="B45" s="19" t="str">
        <x:v>混元</x:v>
      </x:c>
      <x:c r="C45" s="20" t="n">
        <x:f>'参数'!G20</x:f>
        <x:v>1.6</x:v>
      </x:c>
      <x:c r="D45" s="20" t="n">
        <x:f>'参数'!$B$49</x:f>
        <x:v>1.04</x:v>
      </x:c>
      <x:c r="E45" s="19" t="n">
        <x:f>ROUND('参数'!$B$18*'参数'!$B$19^(A45-1)*C45*D45,0)</x:f>
        <x:v>100</x:v>
      </x:c>
      <x:c r="F45" s="19" t="n">
        <x:f>ROUND(E45*'参数'!$K$11,0)</x:f>
        <x:v>100</x:v>
      </x:c>
      <x:c r="G45" s="19" t="n">
        <x:f>ROUND(E45*'参数'!$K$12,0)</x:f>
        <x:v>55</x:v>
      </x:c>
      <x:c r="H45" s="19" t="n">
        <x:f>ROUND(E45*'参数'!$L$14,0)</x:f>
        <x:v>800</x:v>
      </x:c>
      <x:c r="I45" s="19" t="n">
        <x:f>ROUND(E45*'参数'!$M$14,0)</x:f>
        <x:v>45</x:v>
      </x:c>
      <x:c r="J45" s="19" t="n">
        <x:f>ROUND(E45*'参数'!$K$21,0)</x:f>
        <x:v>285</x:v>
      </x:c>
      <x:c r="K45" s="19" t="n">
        <x:f>ROUND(E45*'参数'!$L$21,0)</x:f>
        <x:v>2220</x:v>
      </x:c>
      <x:c r="L45" s="19" t="n">
        <x:f>ROUND(E45*'参数'!$M$21,0)</x:f>
        <x:v>175</x:v>
      </x:c>
      <x:c r="M45" s="22" t="n">
        <x:f>E45/E35-1</x:f>
        <x:v>0.20481927710843384</x:v>
      </x:c>
      <x:c r="N45" s="19" t="n">
        <x:f>ROUND(F45*'参数'!$B$20,0)</x:f>
        <x:v>95</x:v>
      </x:c>
      <x:c r="O45" s="19" t="n">
        <x:f>ROUND(F45*'参数'!$B$21,0)</x:f>
        <x:v>105</x:v>
      </x:c>
    </x:row>
    <x:row r="46" ht="22" customHeight="1">
      <x:c r="A46" s="18" t="n">
        <x:v>20</x:v>
      </x:c>
      <x:c r="B46" s="18" t="str">
        <x:v>凡品</x:v>
      </x:c>
      <x:c r="C46" s="15" t="n">
        <x:f>'参数'!G11</x:f>
        <x:v>1</x:v>
      </x:c>
      <x:c r="D46" s="15" t="n">
        <x:f>'参数'!$B$49</x:f>
        <x:v>1.04</x:v>
      </x:c>
      <x:c r="E46" s="18" t="n">
        <x:f>ROUND('参数'!$B$18*'参数'!$B$19^(A46-1)*C46*D46,0)</x:f>
        <x:v>75</x:v>
      </x:c>
      <x:c r="F46" s="18" t="n">
        <x:f>ROUND(E46*'参数'!$K$11,0)</x:f>
        <x:v>75</x:v>
      </x:c>
      <x:c r="G46" s="18" t="n">
        <x:f>ROUND(E46*'参数'!$K$12,0)</x:f>
        <x:v>41</x:v>
      </x:c>
      <x:c r="H46" s="18" t="n">
        <x:f>ROUND(E46*'参数'!$L$14,0)</x:f>
        <x:v>600</x:v>
      </x:c>
      <x:c r="I46" s="18" t="n">
        <x:f>ROUND(E46*'参数'!$M$14,0)</x:f>
        <x:v>34</x:v>
      </x:c>
      <x:c r="J46" s="18" t="n">
        <x:f>ROUND(E46*'参数'!$K$21,0)</x:f>
        <x:v>214</x:v>
      </x:c>
      <x:c r="K46" s="18" t="n">
        <x:f>ROUND(E46*'参数'!$L$21,0)</x:f>
        <x:v>1665</x:v>
      </x:c>
      <x:c r="L46" s="18" t="n">
        <x:f>ROUND(E46*'参数'!$M$21,0)</x:f>
        <x:v>131</x:v>
      </x:c>
      <x:c r="M46" s="21" t="n">
        <x:f>E46/E36-1</x:f>
        <x:v>0.20967741935483875</x:v>
      </x:c>
      <x:c r="N46" s="18" t="n">
        <x:f>ROUND(F46*'参数'!$B$20,0)</x:f>
        <x:v>71</x:v>
      </x:c>
      <x:c r="O46" s="18" t="n">
        <x:f>ROUND(F46*'参数'!$B$21,0)</x:f>
        <x:v>79</x:v>
      </x:c>
    </x:row>
    <x:row r="47" ht="22" customHeight="1">
      <x:c r="A47" s="19" t="n">
        <x:v>20</x:v>
      </x:c>
      <x:c r="B47" s="19" t="str">
        <x:v>良品</x:v>
      </x:c>
      <x:c r="C47" s="20" t="n">
        <x:f>'参数'!G12</x:f>
        <x:v>1.05</x:v>
      </x:c>
      <x:c r="D47" s="20" t="n">
        <x:f>'参数'!$B$49</x:f>
        <x:v>1.04</x:v>
      </x:c>
      <x:c r="E47" s="19" t="n">
        <x:f>ROUND('参数'!$B$18*'参数'!$B$19^(A47-1)*C47*D47,0)</x:f>
        <x:v>78</x:v>
      </x:c>
      <x:c r="F47" s="19" t="n">
        <x:f>ROUND(E47*'参数'!$K$11,0)</x:f>
        <x:v>78</x:v>
      </x:c>
      <x:c r="G47" s="19" t="n">
        <x:f>ROUND(E47*'参数'!$K$12,0)</x:f>
        <x:v>43</x:v>
      </x:c>
      <x:c r="H47" s="19" t="n">
        <x:f>ROUND(E47*'参数'!$L$14,0)</x:f>
        <x:v>624</x:v>
      </x:c>
      <x:c r="I47" s="19" t="n">
        <x:f>ROUND(E47*'参数'!$M$14,0)</x:f>
        <x:v>35</x:v>
      </x:c>
      <x:c r="J47" s="19" t="n">
        <x:f>ROUND(E47*'参数'!$K$21,0)</x:f>
        <x:v>222</x:v>
      </x:c>
      <x:c r="K47" s="19" t="n">
        <x:f>ROUND(E47*'参数'!$L$21,0)</x:f>
        <x:v>1732</x:v>
      </x:c>
      <x:c r="L47" s="19" t="n">
        <x:f>ROUND(E47*'参数'!$M$21,0)</x:f>
        <x:v>137</x:v>
      </x:c>
      <x:c r="M47" s="22" t="n">
        <x:f>E47/E37-1</x:f>
        <x:v>0.19999999999999996</x:v>
      </x:c>
      <x:c r="N47" s="19" t="n">
        <x:f>ROUND(F47*'参数'!$B$20,0)</x:f>
        <x:v>74</x:v>
      </x:c>
      <x:c r="O47" s="19" t="n">
        <x:f>ROUND(F47*'参数'!$B$21,0)</x:f>
        <x:v>82</x:v>
      </x:c>
    </x:row>
    <x:row r="48" ht="22" customHeight="1">
      <x:c r="A48" s="18" t="n">
        <x:v>20</x:v>
      </x:c>
      <x:c r="B48" s="18" t="str">
        <x:v>珍品</x:v>
      </x:c>
      <x:c r="C48" s="15" t="n">
        <x:f>'参数'!G13</x:f>
        <x:v>1.1</x:v>
      </x:c>
      <x:c r="D48" s="15" t="n">
        <x:f>'参数'!$B$49</x:f>
        <x:v>1.04</x:v>
      </x:c>
      <x:c r="E48" s="18" t="n">
        <x:f>ROUND('参数'!$B$18*'参数'!$B$19^(A48-1)*C48*D48,0)</x:f>
        <x:v>82</x:v>
      </x:c>
      <x:c r="F48" s="18" t="n">
        <x:f>ROUND(E48*'参数'!$K$11,0)</x:f>
        <x:v>82</x:v>
      </x:c>
      <x:c r="G48" s="18" t="n">
        <x:f>ROUND(E48*'参数'!$K$12,0)</x:f>
        <x:v>45</x:v>
      </x:c>
      <x:c r="H48" s="18" t="n">
        <x:f>ROUND(E48*'参数'!$L$14,0)</x:f>
        <x:v>656</x:v>
      </x:c>
      <x:c r="I48" s="18" t="n">
        <x:f>ROUND(E48*'参数'!$M$14,0)</x:f>
        <x:v>37</x:v>
      </x:c>
      <x:c r="J48" s="18" t="n">
        <x:f>ROUND(E48*'参数'!$K$21,0)</x:f>
        <x:v>234</x:v>
      </x:c>
      <x:c r="K48" s="18" t="n">
        <x:f>ROUND(E48*'参数'!$L$21,0)</x:f>
        <x:v>1820</x:v>
      </x:c>
      <x:c r="L48" s="18" t="n">
        <x:f>ROUND(E48*'参数'!$M$21,0)</x:f>
        <x:v>144</x:v>
      </x:c>
      <x:c r="M48" s="21" t="n">
        <x:f>E48/E38-1</x:f>
        <x:v>0.2058823529411764</x:v>
      </x:c>
      <x:c r="N48" s="18" t="n">
        <x:f>ROUND(F48*'参数'!$B$20,0)</x:f>
        <x:v>78</x:v>
      </x:c>
      <x:c r="O48" s="18" t="n">
        <x:f>ROUND(F48*'参数'!$B$21,0)</x:f>
        <x:v>86</x:v>
      </x:c>
    </x:row>
    <x:row r="49" ht="22" customHeight="1">
      <x:c r="A49" s="19" t="n">
        <x:v>20</x:v>
      </x:c>
      <x:c r="B49" s="19" t="str">
        <x:v>传奇</x:v>
      </x:c>
      <x:c r="C49" s="20" t="n">
        <x:f>'参数'!G14</x:f>
        <x:v>1.16</x:v>
      </x:c>
      <x:c r="D49" s="20" t="n">
        <x:f>'参数'!$B$49</x:f>
        <x:v>1.04</x:v>
      </x:c>
      <x:c r="E49" s="19" t="n">
        <x:f>ROUND('参数'!$B$18*'参数'!$B$19^(A49-1)*C49*D49,0)</x:f>
        <x:v>87</x:v>
      </x:c>
      <x:c r="F49" s="19" t="n">
        <x:f>ROUND(E49*'参数'!$K$11,0)</x:f>
        <x:v>87</x:v>
      </x:c>
      <x:c r="G49" s="19" t="n">
        <x:f>ROUND(E49*'参数'!$K$12,0)</x:f>
        <x:v>48</x:v>
      </x:c>
      <x:c r="H49" s="19" t="n">
        <x:f>ROUND(E49*'参数'!$L$14,0)</x:f>
        <x:v>696</x:v>
      </x:c>
      <x:c r="I49" s="19" t="n">
        <x:f>ROUND(E49*'参数'!$M$14,0)</x:f>
        <x:v>39</x:v>
      </x:c>
      <x:c r="J49" s="19" t="n">
        <x:f>ROUND(E49*'参数'!$K$21,0)</x:f>
        <x:v>248</x:v>
      </x:c>
      <x:c r="K49" s="19" t="n">
        <x:f>ROUND(E49*'参数'!$L$21,0)</x:f>
        <x:v>1931</x:v>
      </x:c>
      <x:c r="L49" s="19" t="n">
        <x:f>ROUND(E49*'参数'!$M$21,0)</x:f>
        <x:v>152</x:v>
      </x:c>
      <x:c r="M49" s="22" t="n">
        <x:f>E49/E39-1</x:f>
        <x:v>0.20833333333333326</x:v>
      </x:c>
      <x:c r="N49" s="19" t="n">
        <x:f>ROUND(F49*'参数'!$B$20,0)</x:f>
        <x:v>83</x:v>
      </x:c>
      <x:c r="O49" s="19" t="n">
        <x:f>ROUND(F49*'参数'!$B$21,0)</x:f>
        <x:v>91</x:v>
      </x:c>
    </x:row>
    <x:row r="50" ht="22" customHeight="1">
      <x:c r="A50" s="18" t="n">
        <x:v>20</x:v>
      </x:c>
      <x:c r="B50" s="18" t="str">
        <x:v>传世</x:v>
      </x:c>
      <x:c r="C50" s="15" t="n">
        <x:f>'参数'!G15</x:f>
        <x:v>1.22</x:v>
      </x:c>
      <x:c r="D50" s="15" t="n">
        <x:f>'参数'!$B$49</x:f>
        <x:v>1.04</x:v>
      </x:c>
      <x:c r="E50" s="18" t="n">
        <x:f>ROUND('参数'!$B$18*'参数'!$B$19^(A50-1)*C50*D50,0)</x:f>
        <x:v>91</x:v>
      </x:c>
      <x:c r="F50" s="18" t="n">
        <x:f>ROUND(E50*'参数'!$K$11,0)</x:f>
        <x:v>91</x:v>
      </x:c>
      <x:c r="G50" s="18" t="n">
        <x:f>ROUND(E50*'参数'!$K$12,0)</x:f>
        <x:v>50</x:v>
      </x:c>
      <x:c r="H50" s="18" t="n">
        <x:f>ROUND(E50*'参数'!$L$14,0)</x:f>
        <x:v>728</x:v>
      </x:c>
      <x:c r="I50" s="18" t="n">
        <x:f>ROUND(E50*'参数'!$M$14,0)</x:f>
        <x:v>41</x:v>
      </x:c>
      <x:c r="J50" s="18" t="n">
        <x:f>ROUND(E50*'参数'!$K$21,0)</x:f>
        <x:v>259</x:v>
      </x:c>
      <x:c r="K50" s="18" t="n">
        <x:f>ROUND(E50*'参数'!$L$21,0)</x:f>
        <x:v>2020</x:v>
      </x:c>
      <x:c r="L50" s="18" t="n">
        <x:f>ROUND(E50*'参数'!$M$21,0)</x:f>
        <x:v>159</x:v>
      </x:c>
      <x:c r="M50" s="21" t="n">
        <x:f>E50/E40-1</x:f>
        <x:v>0.19736842105263164</x:v>
      </x:c>
      <x:c r="N50" s="18" t="n">
        <x:f>ROUND(F50*'参数'!$B$20,0)</x:f>
        <x:v>86</x:v>
      </x:c>
      <x:c r="O50" s="18" t="n">
        <x:f>ROUND(F50*'参数'!$B$21,0)</x:f>
        <x:v>96</x:v>
      </x:c>
    </x:row>
    <x:row r="51" ht="22" customHeight="1">
      <x:c r="A51" s="19" t="n">
        <x:v>20</x:v>
      </x:c>
      <x:c r="B51" s="19" t="str">
        <x:v>灵蕴</x:v>
      </x:c>
      <x:c r="C51" s="20" t="n">
        <x:f>'参数'!G16</x:f>
        <x:v>1.29</x:v>
      </x:c>
      <x:c r="D51" s="20" t="n">
        <x:f>'参数'!$B$49</x:f>
        <x:v>1.04</x:v>
      </x:c>
      <x:c r="E51" s="19" t="n">
        <x:f>ROUND('参数'!$B$18*'参数'!$B$19^(A51-1)*C51*D51,0)</x:f>
        <x:v>96</x:v>
      </x:c>
      <x:c r="F51" s="19" t="n">
        <x:f>ROUND(E51*'参数'!$K$11,0)</x:f>
        <x:v>96</x:v>
      </x:c>
      <x:c r="G51" s="19" t="n">
        <x:f>ROUND(E51*'参数'!$K$12,0)</x:f>
        <x:v>53</x:v>
      </x:c>
      <x:c r="H51" s="19" t="n">
        <x:f>ROUND(E51*'参数'!$L$14,0)</x:f>
        <x:v>768</x:v>
      </x:c>
      <x:c r="I51" s="19" t="n">
        <x:f>ROUND(E51*'参数'!$M$14,0)</x:f>
        <x:v>43</x:v>
      </x:c>
      <x:c r="J51" s="19" t="n">
        <x:f>ROUND(E51*'参数'!$K$21,0)</x:f>
        <x:v>274</x:v>
      </x:c>
      <x:c r="K51" s="19" t="n">
        <x:f>ROUND(E51*'参数'!$L$21,0)</x:f>
        <x:v>2131</x:v>
      </x:c>
      <x:c r="L51" s="19" t="n">
        <x:f>ROUND(E51*'参数'!$M$21,0)</x:f>
        <x:v>168</x:v>
      </x:c>
      <x:c r="M51" s="22" t="n">
        <x:f>E51/E41-1</x:f>
        <x:v>0.19999999999999996</x:v>
      </x:c>
      <x:c r="N51" s="19" t="n">
        <x:f>ROUND(F51*'参数'!$B$20,0)</x:f>
        <x:v>91</x:v>
      </x:c>
      <x:c r="O51" s="19" t="n">
        <x:f>ROUND(F51*'参数'!$B$21,0)</x:f>
        <x:v>101</x:v>
      </x:c>
    </x:row>
    <x:row r="52" ht="22" customHeight="1">
      <x:c r="A52" s="18" t="n">
        <x:v>20</x:v>
      </x:c>
      <x:c r="B52" s="18" t="str">
        <x:v>超然</x:v>
      </x:c>
      <x:c r="C52" s="15" t="n">
        <x:f>'参数'!G17</x:f>
        <x:v>1.36</x:v>
      </x:c>
      <x:c r="D52" s="15" t="n">
        <x:f>'参数'!$B$49</x:f>
        <x:v>1.04</x:v>
      </x:c>
      <x:c r="E52" s="18" t="n">
        <x:f>ROUND('参数'!$B$18*'参数'!$B$19^(A52-1)*C52*D52,0)</x:f>
        <x:v>102</x:v>
      </x:c>
      <x:c r="F52" s="18" t="n">
        <x:f>ROUND(E52*'参数'!$K$11,0)</x:f>
        <x:v>102</x:v>
      </x:c>
      <x:c r="G52" s="18" t="n">
        <x:f>ROUND(E52*'参数'!$K$12,0)</x:f>
        <x:v>56</x:v>
      </x:c>
      <x:c r="H52" s="18" t="n">
        <x:f>ROUND(E52*'参数'!$L$14,0)</x:f>
        <x:v>816</x:v>
      </x:c>
      <x:c r="I52" s="18" t="n">
        <x:f>ROUND(E52*'参数'!$M$14,0)</x:f>
        <x:v>46</x:v>
      </x:c>
      <x:c r="J52" s="18" t="n">
        <x:f>ROUND(E52*'参数'!$K$21,0)</x:f>
        <x:v>291</x:v>
      </x:c>
      <x:c r="K52" s="18" t="n">
        <x:f>ROUND(E52*'参数'!$L$21,0)</x:f>
        <x:v>2264</x:v>
      </x:c>
      <x:c r="L52" s="18" t="n">
        <x:f>ROUND(E52*'参数'!$M$21,0)</x:f>
        <x:v>179</x:v>
      </x:c>
      <x:c r="M52" s="21" t="n">
        <x:f>E52/E42-1</x:f>
        <x:v>0.19999999999999996</x:v>
      </x:c>
      <x:c r="N52" s="18" t="n">
        <x:f>ROUND(F52*'参数'!$B$20,0)</x:f>
        <x:v>97</x:v>
      </x:c>
      <x:c r="O52" s="18" t="n">
        <x:f>ROUND(F52*'参数'!$B$21,0)</x:f>
        <x:v>107</x:v>
      </x:c>
    </x:row>
    <x:row r="53" ht="22" customHeight="1">
      <x:c r="A53" s="19" t="n">
        <x:v>20</x:v>
      </x:c>
      <x:c r="B53" s="19" t="str">
        <x:v>星穹</x:v>
      </x:c>
      <x:c r="C53" s="20" t="n">
        <x:f>'参数'!G18</x:f>
        <x:v>1.43</x:v>
      </x:c>
      <x:c r="D53" s="20" t="n">
        <x:f>'参数'!$B$49</x:f>
        <x:v>1.04</x:v>
      </x:c>
      <x:c r="E53" s="19" t="n">
        <x:f>ROUND('参数'!$B$18*'参数'!$B$19^(A53-1)*C53*D53,0)</x:f>
        <x:v>107</x:v>
      </x:c>
      <x:c r="F53" s="19" t="n">
        <x:f>ROUND(E53*'参数'!$K$11,0)</x:f>
        <x:v>107</x:v>
      </x:c>
      <x:c r="G53" s="19" t="n">
        <x:f>ROUND(E53*'参数'!$K$12,0)</x:f>
        <x:v>59</x:v>
      </x:c>
      <x:c r="H53" s="19" t="n">
        <x:f>ROUND(E53*'参数'!$L$14,0)</x:f>
        <x:v>856</x:v>
      </x:c>
      <x:c r="I53" s="19" t="n">
        <x:f>ROUND(E53*'参数'!$M$14,0)</x:f>
        <x:v>48</x:v>
      </x:c>
      <x:c r="J53" s="19" t="n">
        <x:f>ROUND(E53*'参数'!$K$21,0)</x:f>
        <x:v>305</x:v>
      </x:c>
      <x:c r="K53" s="19" t="n">
        <x:f>ROUND(E53*'参数'!$L$21,0)</x:f>
        <x:v>2375</x:v>
      </x:c>
      <x:c r="L53" s="19" t="n">
        <x:f>ROUND(E53*'参数'!$M$21,0)</x:f>
        <x:v>187</x:v>
      </x:c>
      <x:c r="M53" s="22" t="n">
        <x:f>E53/E43-1</x:f>
        <x:v>0.202247191011236</x:v>
      </x:c>
      <x:c r="N53" s="19" t="n">
        <x:f>ROUND(F53*'参数'!$B$20,0)</x:f>
        <x:v>102</x:v>
      </x:c>
      <x:c r="O53" s="19" t="n">
        <x:f>ROUND(F53*'参数'!$B$21,0)</x:f>
        <x:v>112</x:v>
      </x:c>
    </x:row>
    <x:row r="54" ht="22" customHeight="1">
      <x:c r="A54" s="18" t="n">
        <x:v>20</x:v>
      </x:c>
      <x:c r="B54" s="18" t="str">
        <x:v>神辉</x:v>
      </x:c>
      <x:c r="C54" s="15" t="n">
        <x:f>'参数'!G19</x:f>
        <x:v>1.51</x:v>
      </x:c>
      <x:c r="D54" s="15" t="n">
        <x:f>'参数'!$B$49</x:f>
        <x:v>1.04</x:v>
      </x:c>
      <x:c r="E54" s="18" t="n">
        <x:f>ROUND('参数'!$B$18*'参数'!$B$19^(A54-1)*C54*D54,0)</x:f>
        <x:v>113</x:v>
      </x:c>
      <x:c r="F54" s="18" t="n">
        <x:f>ROUND(E54*'参数'!$K$11,0)</x:f>
        <x:v>113</x:v>
      </x:c>
      <x:c r="G54" s="18" t="n">
        <x:f>ROUND(E54*'参数'!$K$12,0)</x:f>
        <x:v>62</x:v>
      </x:c>
      <x:c r="H54" s="18" t="n">
        <x:f>ROUND(E54*'参数'!$L$14,0)</x:f>
        <x:v>904</x:v>
      </x:c>
      <x:c r="I54" s="18" t="n">
        <x:f>ROUND(E54*'参数'!$M$14,0)</x:f>
        <x:v>51</x:v>
      </x:c>
      <x:c r="J54" s="18" t="n">
        <x:f>ROUND(E54*'参数'!$K$21,0)</x:f>
        <x:v>322</x:v>
      </x:c>
      <x:c r="K54" s="18" t="n">
        <x:f>ROUND(E54*'参数'!$L$21,0)</x:f>
        <x:v>2509</x:v>
      </x:c>
      <x:c r="L54" s="18" t="n">
        <x:f>ROUND(E54*'参数'!$M$21,0)</x:f>
        <x:v>198</x:v>
      </x:c>
      <x:c r="M54" s="21" t="n">
        <x:f>E54/E44-1</x:f>
        <x:v>0.2021276595744681</x:v>
      </x:c>
      <x:c r="N54" s="18" t="n">
        <x:f>ROUND(F54*'参数'!$B$20,0)</x:f>
        <x:v>107</x:v>
      </x:c>
      <x:c r="O54" s="18" t="n">
        <x:f>ROUND(F54*'参数'!$B$21,0)</x:f>
        <x:v>119</x:v>
      </x:c>
    </x:row>
    <x:row r="55" ht="22" customHeight="1">
      <x:c r="A55" s="19" t="n">
        <x:v>20</x:v>
      </x:c>
      <x:c r="B55" s="19" t="str">
        <x:v>混元</x:v>
      </x:c>
      <x:c r="C55" s="20" t="n">
        <x:f>'参数'!G20</x:f>
        <x:v>1.6</x:v>
      </x:c>
      <x:c r="D55" s="20" t="n">
        <x:f>'参数'!$B$49</x:f>
        <x:v>1.04</x:v>
      </x:c>
      <x:c r="E55" s="19" t="n">
        <x:f>ROUND('参数'!$B$18*'参数'!$B$19^(A55-1)*C55*D55,0)</x:f>
        <x:v>119</x:v>
      </x:c>
      <x:c r="F55" s="19" t="n">
        <x:f>ROUND(E55*'参数'!$K$11,0)</x:f>
        <x:v>119</x:v>
      </x:c>
      <x:c r="G55" s="19" t="n">
        <x:f>ROUND(E55*'参数'!$K$12,0)</x:f>
        <x:v>65</x:v>
      </x:c>
      <x:c r="H55" s="19" t="n">
        <x:f>ROUND(E55*'参数'!$L$14,0)</x:f>
        <x:v>952</x:v>
      </x:c>
      <x:c r="I55" s="19" t="n">
        <x:f>ROUND(E55*'参数'!$M$14,0)</x:f>
        <x:v>54</x:v>
      </x:c>
      <x:c r="J55" s="19" t="n">
        <x:f>ROUND(E55*'参数'!$K$21,0)</x:f>
        <x:v>339</x:v>
      </x:c>
      <x:c r="K55" s="19" t="n">
        <x:f>ROUND(E55*'参数'!$L$21,0)</x:f>
        <x:v>2642</x:v>
      </x:c>
      <x:c r="L55" s="19" t="n">
        <x:f>ROUND(E55*'参数'!$M$21,0)</x:f>
        <x:v>208</x:v>
      </x:c>
      <x:c r="M55" s="22" t="n">
        <x:f>E55/E45-1</x:f>
        <x:v>0.18999999999999995</x:v>
      </x:c>
      <x:c r="N55" s="19" t="n">
        <x:f>ROUND(F55*'参数'!$B$20,0)</x:f>
        <x:v>113</x:v>
      </x:c>
      <x:c r="O55" s="19" t="n">
        <x:f>ROUND(F55*'参数'!$B$21,0)</x:f>
        <x:v>125</x:v>
      </x:c>
    </x:row>
    <x:row r="56" ht="22" customHeight="1">
      <x:c r="A56" s="18" t="n">
        <x:v>25</x:v>
      </x:c>
      <x:c r="B56" s="18" t="str">
        <x:v>凡品</x:v>
      </x:c>
      <x:c r="C56" s="15" t="n">
        <x:f>'参数'!G11</x:f>
        <x:v>1</x:v>
      </x:c>
      <x:c r="D56" s="15" t="n">
        <x:f>'参数'!$B$49</x:f>
        <x:v>1.04</x:v>
      </x:c>
      <x:c r="E56" s="18" t="n">
        <x:f>ROUND('参数'!$B$18*'参数'!$B$19^(A56-1)*C56*D56,0)</x:f>
        <x:v>90</x:v>
      </x:c>
      <x:c r="F56" s="18" t="n">
        <x:f>ROUND(E56*'参数'!$K$11,0)</x:f>
        <x:v>90</x:v>
      </x:c>
      <x:c r="G56" s="18" t="n">
        <x:f>ROUND(E56*'参数'!$K$12,0)</x:f>
        <x:v>50</x:v>
      </x:c>
      <x:c r="H56" s="18" t="n">
        <x:f>ROUND(E56*'参数'!$L$14,0)</x:f>
        <x:v>720</x:v>
      </x:c>
      <x:c r="I56" s="18" t="n">
        <x:f>ROUND(E56*'参数'!$M$14,0)</x:f>
        <x:v>41</x:v>
      </x:c>
      <x:c r="J56" s="18" t="n">
        <x:f>ROUND(E56*'参数'!$K$21,0)</x:f>
        <x:v>257</x:v>
      </x:c>
      <x:c r="K56" s="18" t="n">
        <x:f>ROUND(E56*'参数'!$L$21,0)</x:f>
        <x:v>1998</x:v>
      </x:c>
      <x:c r="L56" s="18" t="n">
        <x:f>ROUND(E56*'参数'!$M$21,0)</x:f>
        <x:v>158</x:v>
      </x:c>
      <x:c r="M56" s="21" t="n">
        <x:f>E56/E46-1</x:f>
        <x:v>0.19999999999999996</x:v>
      </x:c>
      <x:c r="N56" s="18" t="n">
        <x:f>ROUND(F56*'参数'!$B$20,0)</x:f>
        <x:v>86</x:v>
      </x:c>
      <x:c r="O56" s="18" t="n">
        <x:f>ROUND(F56*'参数'!$B$21,0)</x:f>
        <x:v>95</x:v>
      </x:c>
    </x:row>
    <x:row r="57" ht="22" customHeight="1">
      <x:c r="A57" s="19" t="n">
        <x:v>25</x:v>
      </x:c>
      <x:c r="B57" s="19" t="str">
        <x:v>良品</x:v>
      </x:c>
      <x:c r="C57" s="20" t="n">
        <x:f>'参数'!G12</x:f>
        <x:v>1.05</x:v>
      </x:c>
      <x:c r="D57" s="20" t="n">
        <x:f>'参数'!$B$49</x:f>
        <x:v>1.04</x:v>
      </x:c>
      <x:c r="E57" s="19" t="n">
        <x:f>ROUND('参数'!$B$18*'参数'!$B$19^(A57-1)*C57*D57,0)</x:f>
        <x:v>94</x:v>
      </x:c>
      <x:c r="F57" s="19" t="n">
        <x:f>ROUND(E57*'参数'!$K$11,0)</x:f>
        <x:v>94</x:v>
      </x:c>
      <x:c r="G57" s="19" t="n">
        <x:f>ROUND(E57*'参数'!$K$12,0)</x:f>
        <x:v>52</x:v>
      </x:c>
      <x:c r="H57" s="19" t="n">
        <x:f>ROUND(E57*'参数'!$L$14,0)</x:f>
        <x:v>752</x:v>
      </x:c>
      <x:c r="I57" s="19" t="n">
        <x:f>ROUND(E57*'参数'!$M$14,0)</x:f>
        <x:v>42</x:v>
      </x:c>
      <x:c r="J57" s="19" t="n">
        <x:f>ROUND(E57*'参数'!$K$21,0)</x:f>
        <x:v>268</x:v>
      </x:c>
      <x:c r="K57" s="19" t="n">
        <x:f>ROUND(E57*'参数'!$L$21,0)</x:f>
        <x:v>2087</x:v>
      </x:c>
      <x:c r="L57" s="19" t="n">
        <x:f>ROUND(E57*'参数'!$M$21,0)</x:f>
        <x:v>165</x:v>
      </x:c>
      <x:c r="M57" s="22" t="n">
        <x:f>E57/E47-1</x:f>
        <x:v>0.20512820512820507</x:v>
      </x:c>
      <x:c r="N57" s="19" t="n">
        <x:f>ROUND(F57*'参数'!$B$20,0)</x:f>
        <x:v>89</x:v>
      </x:c>
      <x:c r="O57" s="19" t="n">
        <x:f>ROUND(F57*'参数'!$B$21,0)</x:f>
        <x:v>99</x:v>
      </x:c>
    </x:row>
    <x:row r="58" ht="22" customHeight="1">
      <x:c r="A58" s="18" t="n">
        <x:v>25</x:v>
      </x:c>
      <x:c r="B58" s="18" t="str">
        <x:v>珍品</x:v>
      </x:c>
      <x:c r="C58" s="15" t="n">
        <x:f>'参数'!G13</x:f>
        <x:v>1.1</x:v>
      </x:c>
      <x:c r="D58" s="15" t="n">
        <x:f>'参数'!$B$49</x:f>
        <x:v>1.04</x:v>
      </x:c>
      <x:c r="E58" s="18" t="n">
        <x:f>ROUND('参数'!$B$18*'参数'!$B$19^(A58-1)*C58*D58,0)</x:f>
        <x:v>98</x:v>
      </x:c>
      <x:c r="F58" s="18" t="n">
        <x:f>ROUND(E58*'参数'!$K$11,0)</x:f>
        <x:v>98</x:v>
      </x:c>
      <x:c r="G58" s="18" t="n">
        <x:f>ROUND(E58*'参数'!$K$12,0)</x:f>
        <x:v>54</x:v>
      </x:c>
      <x:c r="H58" s="18" t="n">
        <x:f>ROUND(E58*'参数'!$L$14,0)</x:f>
        <x:v>784</x:v>
      </x:c>
      <x:c r="I58" s="18" t="n">
        <x:f>ROUND(E58*'参数'!$M$14,0)</x:f>
        <x:v>44</x:v>
      </x:c>
      <x:c r="J58" s="18" t="n">
        <x:f>ROUND(E58*'参数'!$K$21,0)</x:f>
        <x:v>279</x:v>
      </x:c>
      <x:c r="K58" s="18" t="n">
        <x:f>ROUND(E58*'参数'!$L$21,0)</x:f>
        <x:v>2176</x:v>
      </x:c>
      <x:c r="L58" s="18" t="n">
        <x:f>ROUND(E58*'参数'!$M$21,0)</x:f>
        <x:v>172</x:v>
      </x:c>
      <x:c r="M58" s="21" t="n">
        <x:f>E58/E48-1</x:f>
        <x:v>0.19512195121951215</x:v>
      </x:c>
      <x:c r="N58" s="18" t="n">
        <x:f>ROUND(F58*'参数'!$B$20,0)</x:f>
        <x:v>93</x:v>
      </x:c>
      <x:c r="O58" s="18" t="n">
        <x:f>ROUND(F58*'参数'!$B$21,0)</x:f>
        <x:v>103</x:v>
      </x:c>
    </x:row>
    <x:row r="59" ht="22" customHeight="1">
      <x:c r="A59" s="19" t="n">
        <x:v>25</x:v>
      </x:c>
      <x:c r="B59" s="19" t="str">
        <x:v>传奇</x:v>
      </x:c>
      <x:c r="C59" s="20" t="n">
        <x:f>'参数'!G14</x:f>
        <x:v>1.16</x:v>
      </x:c>
      <x:c r="D59" s="20" t="n">
        <x:f>'参数'!$B$49</x:f>
        <x:v>1.04</x:v>
      </x:c>
      <x:c r="E59" s="19" t="n">
        <x:f>ROUND('参数'!$B$18*'参数'!$B$19^(A59-1)*C59*D59,0)</x:f>
        <x:v>104</x:v>
      </x:c>
      <x:c r="F59" s="19" t="n">
        <x:f>ROUND(E59*'参数'!$K$11,0)</x:f>
        <x:v>104</x:v>
      </x:c>
      <x:c r="G59" s="19" t="n">
        <x:f>ROUND(E59*'参数'!$K$12,0)</x:f>
        <x:v>57</x:v>
      </x:c>
      <x:c r="H59" s="19" t="n">
        <x:f>ROUND(E59*'参数'!$L$14,0)</x:f>
        <x:v>832</x:v>
      </x:c>
      <x:c r="I59" s="19" t="n">
        <x:f>ROUND(E59*'参数'!$M$14,0)</x:f>
        <x:v>47</x:v>
      </x:c>
      <x:c r="J59" s="19" t="n">
        <x:f>ROUND(E59*'参数'!$K$21,0)</x:f>
        <x:v>296</x:v>
      </x:c>
      <x:c r="K59" s="19" t="n">
        <x:f>ROUND(E59*'参数'!$L$21,0)</x:f>
        <x:v>2309</x:v>
      </x:c>
      <x:c r="L59" s="19" t="n">
        <x:f>ROUND(E59*'参数'!$M$21,0)</x:f>
        <x:v>182</x:v>
      </x:c>
      <x:c r="M59" s="22" t="n">
        <x:f>E59/E49-1</x:f>
        <x:v>0.1954022988505748</x:v>
      </x:c>
      <x:c r="N59" s="19" t="n">
        <x:f>ROUND(F59*'参数'!$B$20,0)</x:f>
        <x:v>99</x:v>
      </x:c>
      <x:c r="O59" s="19" t="n">
        <x:f>ROUND(F59*'参数'!$B$21,0)</x:f>
        <x:v>109</x:v>
      </x:c>
    </x:row>
    <x:row r="60" ht="22" customHeight="1">
      <x:c r="A60" s="18" t="n">
        <x:v>25</x:v>
      </x:c>
      <x:c r="B60" s="18" t="str">
        <x:v>传世</x:v>
      </x:c>
      <x:c r="C60" s="15" t="n">
        <x:f>'参数'!G15</x:f>
        <x:v>1.22</x:v>
      </x:c>
      <x:c r="D60" s="15" t="n">
        <x:f>'参数'!$B$49</x:f>
        <x:v>1.04</x:v>
      </x:c>
      <x:c r="E60" s="18" t="n">
        <x:f>ROUND('参数'!$B$18*'参数'!$B$19^(A60-1)*C60*D60,0)</x:f>
        <x:v>109</x:v>
      </x:c>
      <x:c r="F60" s="18" t="n">
        <x:f>ROUND(E60*'参数'!$K$11,0)</x:f>
        <x:v>109</x:v>
      </x:c>
      <x:c r="G60" s="18" t="n">
        <x:f>ROUND(E60*'参数'!$K$12,0)</x:f>
        <x:v>60</x:v>
      </x:c>
      <x:c r="H60" s="18" t="n">
        <x:f>ROUND(E60*'参数'!$L$14,0)</x:f>
        <x:v>872</x:v>
      </x:c>
      <x:c r="I60" s="18" t="n">
        <x:f>ROUND(E60*'参数'!$M$14,0)</x:f>
        <x:v>49</x:v>
      </x:c>
      <x:c r="J60" s="18" t="n">
        <x:f>ROUND(E60*'参数'!$K$21,0)</x:f>
        <x:v>311</x:v>
      </x:c>
      <x:c r="K60" s="18" t="n">
        <x:f>ROUND(E60*'参数'!$L$21,0)</x:f>
        <x:v>2420</x:v>
      </x:c>
      <x:c r="L60" s="18" t="n">
        <x:f>ROUND(E60*'参数'!$M$21,0)</x:f>
        <x:v>191</x:v>
      </x:c>
      <x:c r="M60" s="21" t="n">
        <x:f>E60/E50-1</x:f>
        <x:v>0.19780219780219777</x:v>
      </x:c>
      <x:c r="N60" s="18" t="n">
        <x:f>ROUND(F60*'参数'!$B$20,0)</x:f>
        <x:v>104</x:v>
      </x:c>
      <x:c r="O60" s="18" t="n">
        <x:f>ROUND(F60*'参数'!$B$21,0)</x:f>
        <x:v>114</x:v>
      </x:c>
    </x:row>
    <x:row r="61" ht="22" customHeight="1">
      <x:c r="A61" s="19" t="n">
        <x:v>25</x:v>
      </x:c>
      <x:c r="B61" s="19" t="str">
        <x:v>灵蕴</x:v>
      </x:c>
      <x:c r="C61" s="20" t="n">
        <x:f>'参数'!G16</x:f>
        <x:v>1.29</x:v>
      </x:c>
      <x:c r="D61" s="20" t="n">
        <x:f>'参数'!$B$49</x:f>
        <x:v>1.04</x:v>
      </x:c>
      <x:c r="E61" s="19" t="n">
        <x:f>ROUND('参数'!$B$18*'参数'!$B$19^(A61-1)*C61*D61,0)</x:f>
        <x:v>116</x:v>
      </x:c>
      <x:c r="F61" s="19" t="n">
        <x:f>ROUND(E61*'参数'!$K$11,0)</x:f>
        <x:v>116</x:v>
      </x:c>
      <x:c r="G61" s="19" t="n">
        <x:f>ROUND(E61*'参数'!$K$12,0)</x:f>
        <x:v>64</x:v>
      </x:c>
      <x:c r="H61" s="19" t="n">
        <x:f>ROUND(E61*'参数'!$L$14,0)</x:f>
        <x:v>928</x:v>
      </x:c>
      <x:c r="I61" s="19" t="n">
        <x:f>ROUND(E61*'参数'!$M$14,0)</x:f>
        <x:v>52</x:v>
      </x:c>
      <x:c r="J61" s="19" t="n">
        <x:f>ROUND(E61*'参数'!$K$21,0)</x:f>
        <x:v>331</x:v>
      </x:c>
      <x:c r="K61" s="19" t="n">
        <x:f>ROUND(E61*'参数'!$L$21,0)</x:f>
        <x:v>2575</x:v>
      </x:c>
      <x:c r="L61" s="19" t="n">
        <x:f>ROUND(E61*'参数'!$M$21,0)</x:f>
        <x:v>203</x:v>
      </x:c>
      <x:c r="M61" s="22" t="n">
        <x:f>E61/E51-1</x:f>
        <x:v>0.20833333333333326</x:v>
      </x:c>
      <x:c r="N61" s="19" t="n">
        <x:f>ROUND(F61*'参数'!$B$20,0)</x:f>
        <x:v>110</x:v>
      </x:c>
      <x:c r="O61" s="19" t="n">
        <x:f>ROUND(F61*'参数'!$B$21,0)</x:f>
        <x:v>122</x:v>
      </x:c>
    </x:row>
    <x:row r="62" ht="22" customHeight="1">
      <x:c r="A62" s="18" t="n">
        <x:v>25</x:v>
      </x:c>
      <x:c r="B62" s="18" t="str">
        <x:v>超然</x:v>
      </x:c>
      <x:c r="C62" s="15" t="n">
        <x:f>'参数'!G17</x:f>
        <x:v>1.36</x:v>
      </x:c>
      <x:c r="D62" s="15" t="n">
        <x:f>'参数'!$B$49</x:f>
        <x:v>1.04</x:v>
      </x:c>
      <x:c r="E62" s="18" t="n">
        <x:f>ROUND('参数'!$B$18*'参数'!$B$19^(A62-1)*C62*D62,0)</x:f>
        <x:v>122</x:v>
      </x:c>
      <x:c r="F62" s="18" t="n">
        <x:f>ROUND(E62*'参数'!$K$11,0)</x:f>
        <x:v>122</x:v>
      </x:c>
      <x:c r="G62" s="18" t="n">
        <x:f>ROUND(E62*'参数'!$K$12,0)</x:f>
        <x:v>67</x:v>
      </x:c>
      <x:c r="H62" s="18" t="n">
        <x:f>ROUND(E62*'参数'!$L$14,0)</x:f>
        <x:v>976</x:v>
      </x:c>
      <x:c r="I62" s="18" t="n">
        <x:f>ROUND(E62*'参数'!$M$14,0)</x:f>
        <x:v>55</x:v>
      </x:c>
      <x:c r="J62" s="18" t="n">
        <x:f>ROUND(E62*'参数'!$K$21,0)</x:f>
        <x:v>348</x:v>
      </x:c>
      <x:c r="K62" s="18" t="n">
        <x:f>ROUND(E62*'参数'!$L$21,0)</x:f>
        <x:v>2708</x:v>
      </x:c>
      <x:c r="L62" s="18" t="n">
        <x:f>ROUND(E62*'参数'!$M$21,0)</x:f>
        <x:v>214</x:v>
      </x:c>
      <x:c r="M62" s="21" t="n">
        <x:f>E62/E52-1</x:f>
        <x:v>0.196078431372549</x:v>
      </x:c>
      <x:c r="N62" s="18" t="n">
        <x:f>ROUND(F62*'参数'!$B$20,0)</x:f>
        <x:v>116</x:v>
      </x:c>
      <x:c r="O62" s="18" t="n">
        <x:f>ROUND(F62*'参数'!$B$21,0)</x:f>
        <x:v>128</x:v>
      </x:c>
    </x:row>
    <x:row r="63" ht="22" customHeight="1">
      <x:c r="A63" s="19" t="n">
        <x:v>25</x:v>
      </x:c>
      <x:c r="B63" s="19" t="str">
        <x:v>星穹</x:v>
      </x:c>
      <x:c r="C63" s="20" t="n">
        <x:f>'参数'!G18</x:f>
        <x:v>1.43</x:v>
      </x:c>
      <x:c r="D63" s="20" t="n">
        <x:f>'参数'!$B$49</x:f>
        <x:v>1.04</x:v>
      </x:c>
      <x:c r="E63" s="19" t="n">
        <x:f>ROUND('参数'!$B$18*'参数'!$B$19^(A63-1)*C63*D63,0)</x:f>
        <x:v>128</x:v>
      </x:c>
      <x:c r="F63" s="19" t="n">
        <x:f>ROUND(E63*'参数'!$K$11,0)</x:f>
        <x:v>128</x:v>
      </x:c>
      <x:c r="G63" s="19" t="n">
        <x:f>ROUND(E63*'参数'!$K$12,0)</x:f>
        <x:v>70</x:v>
      </x:c>
      <x:c r="H63" s="19" t="n">
        <x:f>ROUND(E63*'参数'!$L$14,0)</x:f>
        <x:v>1024</x:v>
      </x:c>
      <x:c r="I63" s="19" t="n">
        <x:f>ROUND(E63*'参数'!$M$14,0)</x:f>
        <x:v>58</x:v>
      </x:c>
      <x:c r="J63" s="19" t="n">
        <x:f>ROUND(E63*'参数'!$K$21,0)</x:f>
        <x:v>365</x:v>
      </x:c>
      <x:c r="K63" s="19" t="n">
        <x:f>ROUND(E63*'参数'!$L$21,0)</x:f>
        <x:v>2842</x:v>
      </x:c>
      <x:c r="L63" s="19" t="n">
        <x:f>ROUND(E63*'参数'!$M$21,0)</x:f>
        <x:v>224</x:v>
      </x:c>
      <x:c r="M63" s="22" t="n">
        <x:f>E63/E53-1</x:f>
        <x:v>0.19626168224299056</x:v>
      </x:c>
      <x:c r="N63" s="19" t="n">
        <x:f>ROUND(F63*'参数'!$B$20,0)</x:f>
        <x:v>122</x:v>
      </x:c>
      <x:c r="O63" s="19" t="n">
        <x:f>ROUND(F63*'参数'!$B$21,0)</x:f>
        <x:v>134</x:v>
      </x:c>
    </x:row>
    <x:row r="64" ht="22" customHeight="1">
      <x:c r="A64" s="18" t="n">
        <x:v>25</x:v>
      </x:c>
      <x:c r="B64" s="18" t="str">
        <x:v>神辉</x:v>
      </x:c>
      <x:c r="C64" s="15" t="n">
        <x:f>'参数'!G19</x:f>
        <x:v>1.51</x:v>
      </x:c>
      <x:c r="D64" s="15" t="n">
        <x:f>'参数'!$B$49</x:f>
        <x:v>1.04</x:v>
      </x:c>
      <x:c r="E64" s="18" t="n">
        <x:f>ROUND('参数'!$B$18*'参数'!$B$19^(A64-1)*C64*D64,0)</x:f>
        <x:v>135</x:v>
      </x:c>
      <x:c r="F64" s="18" t="n">
        <x:f>ROUND(E64*'参数'!$K$11,0)</x:f>
        <x:v>135</x:v>
      </x:c>
      <x:c r="G64" s="18" t="n">
        <x:f>ROUND(E64*'参数'!$K$12,0)</x:f>
        <x:v>74</x:v>
      </x:c>
      <x:c r="H64" s="18" t="n">
        <x:f>ROUND(E64*'参数'!$L$14,0)</x:f>
        <x:v>1080</x:v>
      </x:c>
      <x:c r="I64" s="18" t="n">
        <x:f>ROUND(E64*'参数'!$M$14,0)</x:f>
        <x:v>61</x:v>
      </x:c>
      <x:c r="J64" s="18" t="n">
        <x:f>ROUND(E64*'参数'!$K$21,0)</x:f>
        <x:v>385</x:v>
      </x:c>
      <x:c r="K64" s="18" t="n">
        <x:f>ROUND(E64*'参数'!$L$21,0)</x:f>
        <x:v>2997</x:v>
      </x:c>
      <x:c r="L64" s="18" t="n">
        <x:f>ROUND(E64*'参数'!$M$21,0)</x:f>
        <x:v>236</x:v>
      </x:c>
      <x:c r="M64" s="21" t="n">
        <x:f>E64/E54-1</x:f>
        <x:v>0.19469026548672574</x:v>
      </x:c>
      <x:c r="N64" s="18" t="n">
        <x:f>ROUND(F64*'参数'!$B$20,0)</x:f>
        <x:v>128</x:v>
      </x:c>
      <x:c r="O64" s="18" t="n">
        <x:f>ROUND(F64*'参数'!$B$21,0)</x:f>
        <x:v>142</x:v>
      </x:c>
    </x:row>
    <x:row r="65" ht="22" customHeight="1">
      <x:c r="A65" s="19" t="n">
        <x:v>25</x:v>
      </x:c>
      <x:c r="B65" s="19" t="str">
        <x:v>混元</x:v>
      </x:c>
      <x:c r="C65" s="20" t="n">
        <x:f>'参数'!G20</x:f>
        <x:v>1.6</x:v>
      </x:c>
      <x:c r="D65" s="20" t="n">
        <x:f>'参数'!$B$49</x:f>
        <x:v>1.04</x:v>
      </x:c>
      <x:c r="E65" s="19" t="n">
        <x:f>ROUND('参数'!$B$18*'参数'!$B$19^(A65-1)*C65*D65,0)</x:f>
        <x:v>143</x:v>
      </x:c>
      <x:c r="F65" s="19" t="n">
        <x:f>ROUND(E65*'参数'!$K$11,0)</x:f>
        <x:v>143</x:v>
      </x:c>
      <x:c r="G65" s="19" t="n">
        <x:f>ROUND(E65*'参数'!$K$12,0)</x:f>
        <x:v>79</x:v>
      </x:c>
      <x:c r="H65" s="19" t="n">
        <x:f>ROUND(E65*'参数'!$L$14,0)</x:f>
        <x:v>1144</x:v>
      </x:c>
      <x:c r="I65" s="19" t="n">
        <x:f>ROUND(E65*'参数'!$M$14,0)</x:f>
        <x:v>64</x:v>
      </x:c>
      <x:c r="J65" s="19" t="n">
        <x:f>ROUND(E65*'参数'!$K$21,0)</x:f>
        <x:v>408</x:v>
      </x:c>
      <x:c r="K65" s="19" t="n">
        <x:f>ROUND(E65*'参数'!$L$21,0)</x:f>
        <x:v>3175</x:v>
      </x:c>
      <x:c r="L65" s="19" t="n">
        <x:f>ROUND(E65*'参数'!$M$21,0)</x:f>
        <x:v>250</x:v>
      </x:c>
      <x:c r="M65" s="22" t="n">
        <x:f>E65/E55-1</x:f>
        <x:v>0.2016806722689075</x:v>
      </x:c>
      <x:c r="N65" s="19" t="n">
        <x:f>ROUND(F65*'参数'!$B$20,0)</x:f>
        <x:v>136</x:v>
      </x:c>
      <x:c r="O65" s="19" t="n">
        <x:f>ROUND(F65*'参数'!$B$21,0)</x:f>
        <x:v>150</x:v>
      </x:c>
    </x:row>
    <x:row r="66" ht="22" customHeight="1">
      <x:c r="A66" s="18" t="n">
        <x:v>30</x:v>
      </x:c>
      <x:c r="B66" s="18" t="str">
        <x:v>凡品</x:v>
      </x:c>
      <x:c r="C66" s="15" t="n">
        <x:f>'参数'!G11</x:f>
        <x:v>1</x:v>
      </x:c>
      <x:c r="D66" s="15" t="n">
        <x:f>'参数'!$B$49</x:f>
        <x:v>1.04</x:v>
      </x:c>
      <x:c r="E66" s="18" t="n">
        <x:f>ROUND('参数'!$B$18*'参数'!$B$19^(A66-1)*C66*D66,0)</x:f>
        <x:v>107</x:v>
      </x:c>
      <x:c r="F66" s="18" t="n">
        <x:f>ROUND(E66*'参数'!$K$11,0)</x:f>
        <x:v>107</x:v>
      </x:c>
      <x:c r="G66" s="18" t="n">
        <x:f>ROUND(E66*'参数'!$K$12,0)</x:f>
        <x:v>59</x:v>
      </x:c>
      <x:c r="H66" s="18" t="n">
        <x:f>ROUND(E66*'参数'!$L$14,0)</x:f>
        <x:v>856</x:v>
      </x:c>
      <x:c r="I66" s="18" t="n">
        <x:f>ROUND(E66*'参数'!$M$14,0)</x:f>
        <x:v>48</x:v>
      </x:c>
      <x:c r="J66" s="18" t="n">
        <x:f>ROUND(E66*'参数'!$K$21,0)</x:f>
        <x:v>305</x:v>
      </x:c>
      <x:c r="K66" s="18" t="n">
        <x:f>ROUND(E66*'参数'!$L$21,0)</x:f>
        <x:v>2375</x:v>
      </x:c>
      <x:c r="L66" s="18" t="n">
        <x:f>ROUND(E66*'参数'!$M$21,0)</x:f>
        <x:v>187</x:v>
      </x:c>
      <x:c r="M66" s="21" t="n">
        <x:f>E66/E56-1</x:f>
        <x:v>0.18888888888888888</x:v>
      </x:c>
      <x:c r="N66" s="18" t="n">
        <x:f>ROUND(F66*'参数'!$B$20,0)</x:f>
        <x:v>102</x:v>
      </x:c>
      <x:c r="O66" s="18" t="n">
        <x:f>ROUND(F66*'参数'!$B$21,0)</x:f>
        <x:v>112</x:v>
      </x:c>
    </x:row>
    <x:row r="67" ht="22" customHeight="1">
      <x:c r="A67" s="19" t="n">
        <x:v>30</x:v>
      </x:c>
      <x:c r="B67" s="19" t="str">
        <x:v>良品</x:v>
      </x:c>
      <x:c r="C67" s="20" t="n">
        <x:f>'参数'!G12</x:f>
        <x:v>1.05</x:v>
      </x:c>
      <x:c r="D67" s="20" t="n">
        <x:f>'参数'!$B$49</x:f>
        <x:v>1.04</x:v>
      </x:c>
      <x:c r="E67" s="19" t="n">
        <x:f>ROUND('参数'!$B$18*'参数'!$B$19^(A67-1)*C67*D67,0)</x:f>
        <x:v>113</x:v>
      </x:c>
      <x:c r="F67" s="19" t="n">
        <x:f>ROUND(E67*'参数'!$K$11,0)</x:f>
        <x:v>113</x:v>
      </x:c>
      <x:c r="G67" s="19" t="n">
        <x:f>ROUND(E67*'参数'!$K$12,0)</x:f>
        <x:v>62</x:v>
      </x:c>
      <x:c r="H67" s="19" t="n">
        <x:f>ROUND(E67*'参数'!$L$14,0)</x:f>
        <x:v>904</x:v>
      </x:c>
      <x:c r="I67" s="19" t="n">
        <x:f>ROUND(E67*'参数'!$M$14,0)</x:f>
        <x:v>51</x:v>
      </x:c>
      <x:c r="J67" s="19" t="n">
        <x:f>ROUND(E67*'参数'!$K$21,0)</x:f>
        <x:v>322</x:v>
      </x:c>
      <x:c r="K67" s="19" t="n">
        <x:f>ROUND(E67*'参数'!$L$21,0)</x:f>
        <x:v>2509</x:v>
      </x:c>
      <x:c r="L67" s="19" t="n">
        <x:f>ROUND(E67*'参数'!$M$21,0)</x:f>
        <x:v>198</x:v>
      </x:c>
      <x:c r="M67" s="22" t="n">
        <x:f>E67/E57-1</x:f>
        <x:v>0.2021276595744681</x:v>
      </x:c>
      <x:c r="N67" s="19" t="n">
        <x:f>ROUND(F67*'参数'!$B$20,0)</x:f>
        <x:v>107</x:v>
      </x:c>
      <x:c r="O67" s="19" t="n">
        <x:f>ROUND(F67*'参数'!$B$21,0)</x:f>
        <x:v>119</x:v>
      </x:c>
    </x:row>
    <x:row r="68" ht="22" customHeight="1">
      <x:c r="A68" s="18" t="n">
        <x:v>30</x:v>
      </x:c>
      <x:c r="B68" s="18" t="str">
        <x:v>珍品</x:v>
      </x:c>
      <x:c r="C68" s="15" t="n">
        <x:f>'参数'!G13</x:f>
        <x:v>1.1</x:v>
      </x:c>
      <x:c r="D68" s="15" t="n">
        <x:f>'参数'!$B$49</x:f>
        <x:v>1.04</x:v>
      </x:c>
      <x:c r="E68" s="18" t="n">
        <x:f>ROUND('参数'!$B$18*'参数'!$B$19^(A68-1)*C68*D68,0)</x:f>
        <x:v>118</x:v>
      </x:c>
      <x:c r="F68" s="18" t="n">
        <x:f>ROUND(E68*'参数'!$K$11,0)</x:f>
        <x:v>118</x:v>
      </x:c>
      <x:c r="G68" s="18" t="n">
        <x:f>ROUND(E68*'参数'!$K$12,0)</x:f>
        <x:v>65</x:v>
      </x:c>
      <x:c r="H68" s="18" t="n">
        <x:f>ROUND(E68*'参数'!$L$14,0)</x:f>
        <x:v>944</x:v>
      </x:c>
      <x:c r="I68" s="18" t="n">
        <x:f>ROUND(E68*'参数'!$M$14,0)</x:f>
        <x:v>53</x:v>
      </x:c>
      <x:c r="J68" s="18" t="n">
        <x:f>ROUND(E68*'参数'!$K$21,0)</x:f>
        <x:v>336</x:v>
      </x:c>
      <x:c r="K68" s="18" t="n">
        <x:f>ROUND(E68*'参数'!$L$21,0)</x:f>
        <x:v>2620</x:v>
      </x:c>
      <x:c r="L68" s="18" t="n">
        <x:f>ROUND(E68*'参数'!$M$21,0)</x:f>
        <x:v>207</x:v>
      </x:c>
      <x:c r="M68" s="21" t="n">
        <x:f>E68/E58-1</x:f>
        <x:v>0.20408163265306123</x:v>
      </x:c>
      <x:c r="N68" s="18" t="n">
        <x:f>ROUND(F68*'参数'!$B$20,0)</x:f>
        <x:v>112</x:v>
      </x:c>
      <x:c r="O68" s="18" t="n">
        <x:f>ROUND(F68*'参数'!$B$21,0)</x:f>
        <x:v>124</x:v>
      </x:c>
    </x:row>
    <x:row r="69" ht="22" customHeight="1">
      <x:c r="A69" s="19" t="n">
        <x:v>30</x:v>
      </x:c>
      <x:c r="B69" s="19" t="str">
        <x:v>传奇</x:v>
      </x:c>
      <x:c r="C69" s="20" t="n">
        <x:f>'参数'!G14</x:f>
        <x:v>1.16</x:v>
      </x:c>
      <x:c r="D69" s="20" t="n">
        <x:f>'参数'!$B$49</x:f>
        <x:v>1.04</x:v>
      </x:c>
      <x:c r="E69" s="19" t="n">
        <x:f>ROUND('参数'!$B$18*'参数'!$B$19^(A69-1)*C69*D69,0)</x:f>
        <x:v>125</x:v>
      </x:c>
      <x:c r="F69" s="19" t="n">
        <x:f>ROUND(E69*'参数'!$K$11,0)</x:f>
        <x:v>125</x:v>
      </x:c>
      <x:c r="G69" s="19" t="n">
        <x:f>ROUND(E69*'参数'!$K$12,0)</x:f>
        <x:v>69</x:v>
      </x:c>
      <x:c r="H69" s="19" t="n">
        <x:f>ROUND(E69*'参数'!$L$14,0)</x:f>
        <x:v>1000</x:v>
      </x:c>
      <x:c r="I69" s="19" t="n">
        <x:f>ROUND(E69*'参数'!$M$14,0)</x:f>
        <x:v>56</x:v>
      </x:c>
      <x:c r="J69" s="19" t="n">
        <x:f>ROUND(E69*'参数'!$K$21,0)</x:f>
        <x:v>356</x:v>
      </x:c>
      <x:c r="K69" s="19" t="n">
        <x:f>ROUND(E69*'参数'!$L$21,0)</x:f>
        <x:v>2775</x:v>
      </x:c>
      <x:c r="L69" s="19" t="n">
        <x:f>ROUND(E69*'参数'!$M$21,0)</x:f>
        <x:v>219</x:v>
      </x:c>
      <x:c r="M69" s="22" t="n">
        <x:f>E69/E59-1</x:f>
        <x:v>0.20192307692307687</x:v>
      </x:c>
      <x:c r="N69" s="19" t="n">
        <x:f>ROUND(F69*'参数'!$B$20,0)</x:f>
        <x:v>119</x:v>
      </x:c>
      <x:c r="O69" s="19" t="n">
        <x:f>ROUND(F69*'参数'!$B$21,0)</x:f>
        <x:v>131</x:v>
      </x:c>
    </x:row>
    <x:row r="70" ht="22" customHeight="1">
      <x:c r="A70" s="18" t="n">
        <x:v>30</x:v>
      </x:c>
      <x:c r="B70" s="18" t="str">
        <x:v>传世</x:v>
      </x:c>
      <x:c r="C70" s="15" t="n">
        <x:f>'参数'!G15</x:f>
        <x:v>1.22</x:v>
      </x:c>
      <x:c r="D70" s="15" t="n">
        <x:f>'参数'!$B$49</x:f>
        <x:v>1.04</x:v>
      </x:c>
      <x:c r="E70" s="18" t="n">
        <x:f>ROUND('参数'!$B$18*'参数'!$B$19^(A70-1)*C70*D70,0)</x:f>
        <x:v>131</x:v>
      </x:c>
      <x:c r="F70" s="18" t="n">
        <x:f>ROUND(E70*'参数'!$K$11,0)</x:f>
        <x:v>131</x:v>
      </x:c>
      <x:c r="G70" s="18" t="n">
        <x:f>ROUND(E70*'参数'!$K$12,0)</x:f>
        <x:v>72</x:v>
      </x:c>
      <x:c r="H70" s="18" t="n">
        <x:f>ROUND(E70*'参数'!$L$14,0)</x:f>
        <x:v>1048</x:v>
      </x:c>
      <x:c r="I70" s="18" t="n">
        <x:f>ROUND(E70*'参数'!$M$14,0)</x:f>
        <x:v>59</x:v>
      </x:c>
      <x:c r="J70" s="18" t="n">
        <x:f>ROUND(E70*'参数'!$K$21,0)</x:f>
        <x:v>373</x:v>
      </x:c>
      <x:c r="K70" s="18" t="n">
        <x:f>ROUND(E70*'参数'!$L$21,0)</x:f>
        <x:v>2908</x:v>
      </x:c>
      <x:c r="L70" s="18" t="n">
        <x:f>ROUND(E70*'参数'!$M$21,0)</x:f>
        <x:v>229</x:v>
      </x:c>
      <x:c r="M70" s="21" t="n">
        <x:f>E70/E60-1</x:f>
        <x:v>0.201834862385321</x:v>
      </x:c>
      <x:c r="N70" s="18" t="n">
        <x:f>ROUND(F70*'参数'!$B$20,0)</x:f>
        <x:v>124</x:v>
      </x:c>
      <x:c r="O70" s="18" t="n">
        <x:f>ROUND(F70*'参数'!$B$21,0)</x:f>
        <x:v>138</x:v>
      </x:c>
    </x:row>
    <x:row r="71" ht="22" customHeight="1">
      <x:c r="A71" s="19" t="n">
        <x:v>30</x:v>
      </x:c>
      <x:c r="B71" s="19" t="str">
        <x:v>灵蕴</x:v>
      </x:c>
      <x:c r="C71" s="20" t="n">
        <x:f>'参数'!G16</x:f>
        <x:v>1.29</x:v>
      </x:c>
      <x:c r="D71" s="20" t="n">
        <x:f>'参数'!$B$49</x:f>
        <x:v>1.04</x:v>
      </x:c>
      <x:c r="E71" s="19" t="n">
        <x:f>ROUND('参数'!$B$18*'参数'!$B$19^(A71-1)*C71*D71,0)</x:f>
        <x:v>139</x:v>
      </x:c>
      <x:c r="F71" s="19" t="n">
        <x:f>ROUND(E71*'参数'!$K$11,0)</x:f>
        <x:v>139</x:v>
      </x:c>
      <x:c r="G71" s="19" t="n">
        <x:f>ROUND(E71*'参数'!$K$12,0)</x:f>
        <x:v>76</x:v>
      </x:c>
      <x:c r="H71" s="19" t="n">
        <x:f>ROUND(E71*'参数'!$L$14,0)</x:f>
        <x:v>1112</x:v>
      </x:c>
      <x:c r="I71" s="19" t="n">
        <x:f>ROUND(E71*'参数'!$M$14,0)</x:f>
        <x:v>63</x:v>
      </x:c>
      <x:c r="J71" s="19" t="n">
        <x:f>ROUND(E71*'参数'!$K$21,0)</x:f>
        <x:v>396</x:v>
      </x:c>
      <x:c r="K71" s="19" t="n">
        <x:f>ROUND(E71*'参数'!$L$21,0)</x:f>
        <x:v>3086</x:v>
      </x:c>
      <x:c r="L71" s="19" t="n">
        <x:f>ROUND(E71*'参数'!$M$21,0)</x:f>
        <x:v>243</x:v>
      </x:c>
      <x:c r="M71" s="22" t="n">
        <x:f>E71/E61-1</x:f>
        <x:v>0.19827586206896552</x:v>
      </x:c>
      <x:c r="N71" s="19" t="n">
        <x:f>ROUND(F71*'参数'!$B$20,0)</x:f>
        <x:v>132</x:v>
      </x:c>
      <x:c r="O71" s="19" t="n">
        <x:f>ROUND(F71*'参数'!$B$21,0)</x:f>
        <x:v>146</x:v>
      </x:c>
    </x:row>
    <x:row r="72" ht="22" customHeight="1">
      <x:c r="A72" s="18" t="n">
        <x:v>30</x:v>
      </x:c>
      <x:c r="B72" s="18" t="str">
        <x:v>超然</x:v>
      </x:c>
      <x:c r="C72" s="15" t="n">
        <x:f>'参数'!G17</x:f>
        <x:v>1.36</x:v>
      </x:c>
      <x:c r="D72" s="15" t="n">
        <x:f>'参数'!$B$49</x:f>
        <x:v>1.04</x:v>
      </x:c>
      <x:c r="E72" s="18" t="n">
        <x:f>ROUND('参数'!$B$18*'参数'!$B$19^(A72-1)*C72*D72,0)</x:f>
        <x:v>146</x:v>
      </x:c>
      <x:c r="F72" s="18" t="n">
        <x:f>ROUND(E72*'参数'!$K$11,0)</x:f>
        <x:v>146</x:v>
      </x:c>
      <x:c r="G72" s="18" t="n">
        <x:f>ROUND(E72*'参数'!$K$12,0)</x:f>
        <x:v>80</x:v>
      </x:c>
      <x:c r="H72" s="18" t="n">
        <x:f>ROUND(E72*'参数'!$L$14,0)</x:f>
        <x:v>1168</x:v>
      </x:c>
      <x:c r="I72" s="18" t="n">
        <x:f>ROUND(E72*'参数'!$M$14,0)</x:f>
        <x:v>66</x:v>
      </x:c>
      <x:c r="J72" s="18" t="n">
        <x:f>ROUND(E72*'参数'!$K$21,0)</x:f>
        <x:v>416</x:v>
      </x:c>
      <x:c r="K72" s="18" t="n">
        <x:f>ROUND(E72*'参数'!$L$21,0)</x:f>
        <x:v>3241</x:v>
      </x:c>
      <x:c r="L72" s="18" t="n">
        <x:f>ROUND(E72*'参数'!$M$21,0)</x:f>
        <x:v>256</x:v>
      </x:c>
      <x:c r="M72" s="21" t="n">
        <x:f>E72/E62-1</x:f>
        <x:v>0.19672131147540983</x:v>
      </x:c>
      <x:c r="N72" s="18" t="n">
        <x:f>ROUND(F72*'参数'!$B$20,0)</x:f>
        <x:v>139</x:v>
      </x:c>
      <x:c r="O72" s="18" t="n">
        <x:f>ROUND(F72*'参数'!$B$21,0)</x:f>
        <x:v>153</x:v>
      </x:c>
    </x:row>
    <x:row r="73" ht="22" customHeight="1">
      <x:c r="A73" s="19" t="n">
        <x:v>30</x:v>
      </x:c>
      <x:c r="B73" s="19" t="str">
        <x:v>星穹</x:v>
      </x:c>
      <x:c r="C73" s="20" t="n">
        <x:f>'参数'!G18</x:f>
        <x:v>1.43</x:v>
      </x:c>
      <x:c r="D73" s="20" t="n">
        <x:f>'参数'!$B$49</x:f>
        <x:v>1.04</x:v>
      </x:c>
      <x:c r="E73" s="19" t="n">
        <x:f>ROUND('参数'!$B$18*'参数'!$B$19^(A73-1)*C73*D73,0)</x:f>
        <x:v>154</x:v>
      </x:c>
      <x:c r="F73" s="19" t="n">
        <x:f>ROUND(E73*'参数'!$K$11,0)</x:f>
        <x:v>154</x:v>
      </x:c>
      <x:c r="G73" s="19" t="n">
        <x:f>ROUND(E73*'参数'!$K$12,0)</x:f>
        <x:v>85</x:v>
      </x:c>
      <x:c r="H73" s="19" t="n">
        <x:f>ROUND(E73*'参数'!$L$14,0)</x:f>
        <x:v>1232</x:v>
      </x:c>
      <x:c r="I73" s="19" t="n">
        <x:f>ROUND(E73*'参数'!$M$14,0)</x:f>
        <x:v>69</x:v>
      </x:c>
      <x:c r="J73" s="19" t="n">
        <x:f>ROUND(E73*'参数'!$K$21,0)</x:f>
        <x:v>439</x:v>
      </x:c>
      <x:c r="K73" s="19" t="n">
        <x:f>ROUND(E73*'参数'!$L$21,0)</x:f>
        <x:v>3419</x:v>
      </x:c>
      <x:c r="L73" s="19" t="n">
        <x:f>ROUND(E73*'参数'!$M$21,0)</x:f>
        <x:v>270</x:v>
      </x:c>
      <x:c r="M73" s="22" t="n">
        <x:f>E73/E63-1</x:f>
        <x:v>0.203125</x:v>
      </x:c>
      <x:c r="N73" s="19" t="n">
        <x:f>ROUND(F73*'参数'!$B$20,0)</x:f>
        <x:v>146</x:v>
      </x:c>
      <x:c r="O73" s="19" t="n">
        <x:f>ROUND(F73*'参数'!$B$21,0)</x:f>
        <x:v>162</x:v>
      </x:c>
    </x:row>
    <x:row r="74" ht="22" customHeight="1">
      <x:c r="A74" s="18" t="n">
        <x:v>30</x:v>
      </x:c>
      <x:c r="B74" s="18" t="str">
        <x:v>神辉</x:v>
      </x:c>
      <x:c r="C74" s="15" t="n">
        <x:f>'参数'!G19</x:f>
        <x:v>1.51</x:v>
      </x:c>
      <x:c r="D74" s="15" t="n">
        <x:f>'参数'!$B$49</x:f>
        <x:v>1.04</x:v>
      </x:c>
      <x:c r="E74" s="18" t="n">
        <x:f>ROUND('参数'!$B$18*'参数'!$B$19^(A74-1)*C74*D74,0)</x:f>
        <x:v>162</x:v>
      </x:c>
      <x:c r="F74" s="18" t="n">
        <x:f>ROUND(E74*'参数'!$K$11,0)</x:f>
        <x:v>162</x:v>
      </x:c>
      <x:c r="G74" s="18" t="n">
        <x:f>ROUND(E74*'参数'!$K$12,0)</x:f>
        <x:v>89</x:v>
      </x:c>
      <x:c r="H74" s="18" t="n">
        <x:f>ROUND(E74*'参数'!$L$14,0)</x:f>
        <x:v>1296</x:v>
      </x:c>
      <x:c r="I74" s="18" t="n">
        <x:f>ROUND(E74*'参数'!$M$14,0)</x:f>
        <x:v>73</x:v>
      </x:c>
      <x:c r="J74" s="18" t="n">
        <x:f>ROUND(E74*'参数'!$K$21,0)</x:f>
        <x:v>462</x:v>
      </x:c>
      <x:c r="K74" s="18" t="n">
        <x:f>ROUND(E74*'参数'!$L$21,0)</x:f>
        <x:v>3596</x:v>
      </x:c>
      <x:c r="L74" s="18" t="n">
        <x:f>ROUND(E74*'参数'!$M$21,0)</x:f>
        <x:v>284</x:v>
      </x:c>
      <x:c r="M74" s="21" t="n">
        <x:f>E74/E64-1</x:f>
        <x:v>0.19999999999999996</x:v>
      </x:c>
      <x:c r="N74" s="18" t="n">
        <x:f>ROUND(F74*'参数'!$B$20,0)</x:f>
        <x:v>154</x:v>
      </x:c>
      <x:c r="O74" s="18" t="n">
        <x:f>ROUND(F74*'参数'!$B$21,0)</x:f>
        <x:v>170</x:v>
      </x:c>
    </x:row>
    <x:row r="75" ht="22" customHeight="1">
      <x:c r="A75" s="19" t="n">
        <x:v>30</x:v>
      </x:c>
      <x:c r="B75" s="19" t="str">
        <x:v>混元</x:v>
      </x:c>
      <x:c r="C75" s="20" t="n">
        <x:f>'参数'!G20</x:f>
        <x:v>1.6</x:v>
      </x:c>
      <x:c r="D75" s="20" t="n">
        <x:f>'参数'!$B$49</x:f>
        <x:v>1.04</x:v>
      </x:c>
      <x:c r="E75" s="19" t="n">
        <x:f>ROUND('参数'!$B$18*'参数'!$B$19^(A75-1)*C75*D75,0)</x:f>
        <x:v>172</x:v>
      </x:c>
      <x:c r="F75" s="19" t="n">
        <x:f>ROUND(E75*'参数'!$K$11,0)</x:f>
        <x:v>172</x:v>
      </x:c>
      <x:c r="G75" s="19" t="n">
        <x:f>ROUND(E75*'参数'!$K$12,0)</x:f>
        <x:v>95</x:v>
      </x:c>
      <x:c r="H75" s="19" t="n">
        <x:f>ROUND(E75*'参数'!$L$14,0)</x:f>
        <x:v>1376</x:v>
      </x:c>
      <x:c r="I75" s="19" t="n">
        <x:f>ROUND(E75*'参数'!$M$14,0)</x:f>
        <x:v>77</x:v>
      </x:c>
      <x:c r="J75" s="19" t="n">
        <x:f>ROUND(E75*'参数'!$K$21,0)</x:f>
        <x:v>490</x:v>
      </x:c>
      <x:c r="K75" s="19" t="n">
        <x:f>ROUND(E75*'参数'!$L$21,0)</x:f>
        <x:v>3818</x:v>
      </x:c>
      <x:c r="L75" s="19" t="n">
        <x:f>ROUND(E75*'参数'!$M$21,0)</x:f>
        <x:v>301</x:v>
      </x:c>
      <x:c r="M75" s="22" t="n">
        <x:f>E75/E65-1</x:f>
        <x:v>0.2027972027972027</x:v>
      </x:c>
      <x:c r="N75" s="19" t="n">
        <x:f>ROUND(F75*'参数'!$B$20,0)</x:f>
        <x:v>163</x:v>
      </x:c>
      <x:c r="O75" s="19" t="n">
        <x:f>ROUND(F75*'参数'!$B$21,0)</x:f>
        <x:v>181</x:v>
      </x:c>
    </x:row>
    <x:row r="76" ht="22" customHeight="1">
      <x:c r="A76" s="18" t="n">
        <x:v>35</x:v>
      </x:c>
      <x:c r="B76" s="18" t="str">
        <x:v>凡品</x:v>
      </x:c>
      <x:c r="C76" s="15" t="n">
        <x:f>'参数'!G11</x:f>
        <x:v>1</x:v>
      </x:c>
      <x:c r="D76" s="15" t="n">
        <x:f>'参数'!$B$49</x:f>
        <x:v>1.04</x:v>
      </x:c>
      <x:c r="E76" s="18" t="n">
        <x:f>ROUND('参数'!$B$18*'参数'!$B$19^(A76-1)*C76*D76,0)</x:f>
        <x:v>129</x:v>
      </x:c>
      <x:c r="F76" s="18" t="n">
        <x:f>ROUND(E76*'参数'!$K$11,0)</x:f>
        <x:v>129</x:v>
      </x:c>
      <x:c r="G76" s="18" t="n">
        <x:f>ROUND(E76*'参数'!$K$12,0)</x:f>
        <x:v>71</x:v>
      </x:c>
      <x:c r="H76" s="18" t="n">
        <x:f>ROUND(E76*'参数'!$L$14,0)</x:f>
        <x:v>1032</x:v>
      </x:c>
      <x:c r="I76" s="18" t="n">
        <x:f>ROUND(E76*'参数'!$M$14,0)</x:f>
        <x:v>58</x:v>
      </x:c>
      <x:c r="J76" s="18" t="n">
        <x:f>ROUND(E76*'参数'!$K$21,0)</x:f>
        <x:v>368</x:v>
      </x:c>
      <x:c r="K76" s="18" t="n">
        <x:f>ROUND(E76*'参数'!$L$21,0)</x:f>
        <x:v>2864</x:v>
      </x:c>
      <x:c r="L76" s="18" t="n">
        <x:f>ROUND(E76*'参数'!$M$21,0)</x:f>
        <x:v>226</x:v>
      </x:c>
      <x:c r="M76" s="21" t="n">
        <x:f>E76/E66-1</x:f>
        <x:v>0.20560747663551404</x:v>
      </x:c>
      <x:c r="N76" s="18" t="n">
        <x:f>ROUND(F76*'参数'!$B$20,0)</x:f>
        <x:v>123</x:v>
      </x:c>
      <x:c r="O76" s="18" t="n">
        <x:f>ROUND(F76*'参数'!$B$21,0)</x:f>
        <x:v>135</x:v>
      </x:c>
    </x:row>
    <x:row r="77" ht="22" customHeight="1">
      <x:c r="A77" s="19" t="n">
        <x:v>35</x:v>
      </x:c>
      <x:c r="B77" s="19" t="str">
        <x:v>良品</x:v>
      </x:c>
      <x:c r="C77" s="20" t="n">
        <x:f>'参数'!G12</x:f>
        <x:v>1.05</x:v>
      </x:c>
      <x:c r="D77" s="20" t="n">
        <x:f>'参数'!$B$49</x:f>
        <x:v>1.04</x:v>
      </x:c>
      <x:c r="E77" s="19" t="n">
        <x:f>ROUND('参数'!$B$18*'参数'!$B$19^(A77-1)*C77*D77,0)</x:f>
        <x:v>135</x:v>
      </x:c>
      <x:c r="F77" s="19" t="n">
        <x:f>ROUND(E77*'参数'!$K$11,0)</x:f>
        <x:v>135</x:v>
      </x:c>
      <x:c r="G77" s="19" t="n">
        <x:f>ROUND(E77*'参数'!$K$12,0)</x:f>
        <x:v>74</x:v>
      </x:c>
      <x:c r="H77" s="19" t="n">
        <x:f>ROUND(E77*'参数'!$L$14,0)</x:f>
        <x:v>1080</x:v>
      </x:c>
      <x:c r="I77" s="19" t="n">
        <x:f>ROUND(E77*'参数'!$M$14,0)</x:f>
        <x:v>61</x:v>
      </x:c>
      <x:c r="J77" s="19" t="n">
        <x:f>ROUND(E77*'参数'!$K$21,0)</x:f>
        <x:v>385</x:v>
      </x:c>
      <x:c r="K77" s="19" t="n">
        <x:f>ROUND(E77*'参数'!$L$21,0)</x:f>
        <x:v>2997</x:v>
      </x:c>
      <x:c r="L77" s="19" t="n">
        <x:f>ROUND(E77*'参数'!$M$21,0)</x:f>
        <x:v>236</x:v>
      </x:c>
      <x:c r="M77" s="22" t="n">
        <x:f>E77/E67-1</x:f>
        <x:v>0.19469026548672574</x:v>
      </x:c>
      <x:c r="N77" s="19" t="n">
        <x:f>ROUND(F77*'参数'!$B$20,0)</x:f>
        <x:v>128</x:v>
      </x:c>
      <x:c r="O77" s="19" t="n">
        <x:f>ROUND(F77*'参数'!$B$21,0)</x:f>
        <x:v>142</x:v>
      </x:c>
    </x:row>
    <x:row r="78" ht="22" customHeight="1">
      <x:c r="A78" s="18" t="n">
        <x:v>35</x:v>
      </x:c>
      <x:c r="B78" s="18" t="str">
        <x:v>珍品</x:v>
      </x:c>
      <x:c r="C78" s="15" t="n">
        <x:f>'参数'!G13</x:f>
        <x:v>1.1</x:v>
      </x:c>
      <x:c r="D78" s="15" t="n">
        <x:f>'参数'!$B$49</x:f>
        <x:v>1.04</x:v>
      </x:c>
      <x:c r="E78" s="18" t="n">
        <x:f>ROUND('参数'!$B$18*'参数'!$B$19^(A78-1)*C78*D78,0)</x:f>
        <x:v>142</x:v>
      </x:c>
      <x:c r="F78" s="18" t="n">
        <x:f>ROUND(E78*'参数'!$K$11,0)</x:f>
        <x:v>142</x:v>
      </x:c>
      <x:c r="G78" s="18" t="n">
        <x:f>ROUND(E78*'参数'!$K$12,0)</x:f>
        <x:v>78</x:v>
      </x:c>
      <x:c r="H78" s="18" t="n">
        <x:f>ROUND(E78*'参数'!$L$14,0)</x:f>
        <x:v>1136</x:v>
      </x:c>
      <x:c r="I78" s="18" t="n">
        <x:f>ROUND(E78*'参数'!$M$14,0)</x:f>
        <x:v>64</x:v>
      </x:c>
      <x:c r="J78" s="18" t="n">
        <x:f>ROUND(E78*'参数'!$K$21,0)</x:f>
        <x:v>405</x:v>
      </x:c>
      <x:c r="K78" s="18" t="n">
        <x:f>ROUND(E78*'参数'!$L$21,0)</x:f>
        <x:v>3152</x:v>
      </x:c>
      <x:c r="L78" s="18" t="n">
        <x:f>ROUND(E78*'参数'!$M$21,0)</x:f>
        <x:v>249</x:v>
      </x:c>
      <x:c r="M78" s="21" t="n">
        <x:f>E78/E68-1</x:f>
        <x:v>0.20338983050847448</x:v>
      </x:c>
      <x:c r="N78" s="18" t="n">
        <x:f>ROUND(F78*'参数'!$B$20,0)</x:f>
        <x:v>135</x:v>
      </x:c>
      <x:c r="O78" s="18" t="n">
        <x:f>ROUND(F78*'参数'!$B$21,0)</x:f>
        <x:v>149</x:v>
      </x:c>
    </x:row>
    <x:row r="79" ht="22" customHeight="1">
      <x:c r="A79" s="19" t="n">
        <x:v>35</x:v>
      </x:c>
      <x:c r="B79" s="19" t="str">
        <x:v>传奇</x:v>
      </x:c>
      <x:c r="C79" s="20" t="n">
        <x:f>'参数'!G14</x:f>
        <x:v>1.16</x:v>
      </x:c>
      <x:c r="D79" s="20" t="n">
        <x:f>'参数'!$B$49</x:f>
        <x:v>1.04</x:v>
      </x:c>
      <x:c r="E79" s="19" t="n">
        <x:f>ROUND('参数'!$B$18*'参数'!$B$19^(A79-1)*C79*D79,0)</x:f>
        <x:v>149</x:v>
      </x:c>
      <x:c r="F79" s="19" t="n">
        <x:f>ROUND(E79*'参数'!$K$11,0)</x:f>
        <x:v>149</x:v>
      </x:c>
      <x:c r="G79" s="19" t="n">
        <x:f>ROUND(E79*'参数'!$K$12,0)</x:f>
        <x:v>82</x:v>
      </x:c>
      <x:c r="H79" s="19" t="n">
        <x:f>ROUND(E79*'参数'!$L$14,0)</x:f>
        <x:v>1192</x:v>
      </x:c>
      <x:c r="I79" s="19" t="n">
        <x:f>ROUND(E79*'参数'!$M$14,0)</x:f>
        <x:v>67</x:v>
      </x:c>
      <x:c r="J79" s="19" t="n">
        <x:f>ROUND(E79*'参数'!$K$21,0)</x:f>
        <x:v>425</x:v>
      </x:c>
      <x:c r="K79" s="19" t="n">
        <x:f>ROUND(E79*'参数'!$L$21,0)</x:f>
        <x:v>3308</x:v>
      </x:c>
      <x:c r="L79" s="19" t="n">
        <x:f>ROUND(E79*'参数'!$M$21,0)</x:f>
        <x:v>261</x:v>
      </x:c>
      <x:c r="M79" s="22" t="n">
        <x:f>E79/E69-1</x:f>
        <x:v>0.19199999999999995</x:v>
      </x:c>
      <x:c r="N79" s="19" t="n">
        <x:f>ROUND(F79*'参数'!$B$20,0)</x:f>
        <x:v>142</x:v>
      </x:c>
      <x:c r="O79" s="19" t="n">
        <x:f>ROUND(F79*'参数'!$B$21,0)</x:f>
        <x:v>156</x:v>
      </x:c>
    </x:row>
    <x:row r="80" ht="22" customHeight="1">
      <x:c r="A80" s="18" t="n">
        <x:v>35</x:v>
      </x:c>
      <x:c r="B80" s="18" t="str">
        <x:v>传世</x:v>
      </x:c>
      <x:c r="C80" s="15" t="n">
        <x:f>'参数'!G15</x:f>
        <x:v>1.22</x:v>
      </x:c>
      <x:c r="D80" s="15" t="n">
        <x:f>'参数'!$B$49</x:f>
        <x:v>1.04</x:v>
      </x:c>
      <x:c r="E80" s="18" t="n">
        <x:f>ROUND('参数'!$B$18*'参数'!$B$19^(A80-1)*C80*D80,0)</x:f>
        <x:v>157</x:v>
      </x:c>
      <x:c r="F80" s="18" t="n">
        <x:f>ROUND(E80*'参数'!$K$11,0)</x:f>
        <x:v>157</x:v>
      </x:c>
      <x:c r="G80" s="18" t="n">
        <x:f>ROUND(E80*'参数'!$K$12,0)</x:f>
        <x:v>86</x:v>
      </x:c>
      <x:c r="H80" s="18" t="n">
        <x:f>ROUND(E80*'参数'!$L$14,0)</x:f>
        <x:v>1256</x:v>
      </x:c>
      <x:c r="I80" s="18" t="n">
        <x:f>ROUND(E80*'参数'!$M$14,0)</x:f>
        <x:v>71</x:v>
      </x:c>
      <x:c r="J80" s="18" t="n">
        <x:f>ROUND(E80*'参数'!$K$21,0)</x:f>
        <x:v>447</x:v>
      </x:c>
      <x:c r="K80" s="18" t="n">
        <x:f>ROUND(E80*'参数'!$L$21,0)</x:f>
        <x:v>3485</x:v>
      </x:c>
      <x:c r="L80" s="18" t="n">
        <x:f>ROUND(E80*'参数'!$M$21,0)</x:f>
        <x:v>275</x:v>
      </x:c>
      <x:c r="M80" s="21" t="n">
        <x:f>E80/E70-1</x:f>
        <x:v>0.1984732824427482</x:v>
      </x:c>
      <x:c r="N80" s="18" t="n">
        <x:f>ROUND(F80*'参数'!$B$20,0)</x:f>
        <x:v>149</x:v>
      </x:c>
      <x:c r="O80" s="18" t="n">
        <x:f>ROUND(F80*'参数'!$B$21,0)</x:f>
        <x:v>165</x:v>
      </x:c>
    </x:row>
    <x:row r="81" ht="22" customHeight="1">
      <x:c r="A81" s="19" t="n">
        <x:v>35</x:v>
      </x:c>
      <x:c r="B81" s="19" t="str">
        <x:v>灵蕴</x:v>
      </x:c>
      <x:c r="C81" s="20" t="n">
        <x:f>'参数'!G16</x:f>
        <x:v>1.29</x:v>
      </x:c>
      <x:c r="D81" s="20" t="n">
        <x:f>'参数'!$B$49</x:f>
        <x:v>1.04</x:v>
      </x:c>
      <x:c r="E81" s="19" t="n">
        <x:f>ROUND('参数'!$B$18*'参数'!$B$19^(A81-1)*C81*D81,0)</x:f>
        <x:v>166</x:v>
      </x:c>
      <x:c r="F81" s="19" t="n">
        <x:f>ROUND(E81*'参数'!$K$11,0)</x:f>
        <x:v>166</x:v>
      </x:c>
      <x:c r="G81" s="19" t="n">
        <x:f>ROUND(E81*'参数'!$K$12,0)</x:f>
        <x:v>91</x:v>
      </x:c>
      <x:c r="H81" s="19" t="n">
        <x:f>ROUND(E81*'参数'!$L$14,0)</x:f>
        <x:v>1328</x:v>
      </x:c>
      <x:c r="I81" s="19" t="n">
        <x:f>ROUND(E81*'参数'!$M$14,0)</x:f>
        <x:v>75</x:v>
      </x:c>
      <x:c r="J81" s="19" t="n">
        <x:f>ROUND(E81*'参数'!$K$21,0)</x:f>
        <x:v>473</x:v>
      </x:c>
      <x:c r="K81" s="19" t="n">
        <x:f>ROUND(E81*'参数'!$L$21,0)</x:f>
        <x:v>3685</x:v>
      </x:c>
      <x:c r="L81" s="19" t="n">
        <x:f>ROUND(E81*'参数'!$M$21,0)</x:f>
        <x:v>291</x:v>
      </x:c>
      <x:c r="M81" s="22" t="n">
        <x:f>E81/E71-1</x:f>
        <x:v>0.19424460431654667</x:v>
      </x:c>
      <x:c r="N81" s="19" t="n">
        <x:f>ROUND(F81*'参数'!$B$20,0)</x:f>
        <x:v>158</x:v>
      </x:c>
      <x:c r="O81" s="19" t="n">
        <x:f>ROUND(F81*'参数'!$B$21,0)</x:f>
        <x:v>174</x:v>
      </x:c>
    </x:row>
    <x:row r="82" ht="22" customHeight="1">
      <x:c r="A82" s="18" t="n">
        <x:v>35</x:v>
      </x:c>
      <x:c r="B82" s="18" t="str">
        <x:v>超然</x:v>
      </x:c>
      <x:c r="C82" s="15" t="n">
        <x:f>'参数'!G17</x:f>
        <x:v>1.36</x:v>
      </x:c>
      <x:c r="D82" s="15" t="n">
        <x:f>'参数'!$B$49</x:f>
        <x:v>1.04</x:v>
      </x:c>
      <x:c r="E82" s="18" t="n">
        <x:f>ROUND('参数'!$B$18*'参数'!$B$19^(A82-1)*C82*D82,0)</x:f>
        <x:v>175</x:v>
      </x:c>
      <x:c r="F82" s="18" t="n">
        <x:f>ROUND(E82*'参数'!$K$11,0)</x:f>
        <x:v>175</x:v>
      </x:c>
      <x:c r="G82" s="18" t="n">
        <x:f>ROUND(E82*'参数'!$K$12,0)</x:f>
        <x:v>96</x:v>
      </x:c>
      <x:c r="H82" s="18" t="n">
        <x:f>ROUND(E82*'参数'!$L$14,0)</x:f>
        <x:v>1400</x:v>
      </x:c>
      <x:c r="I82" s="18" t="n">
        <x:f>ROUND(E82*'参数'!$M$14,0)</x:f>
        <x:v>79</x:v>
      </x:c>
      <x:c r="J82" s="18" t="n">
        <x:f>ROUND(E82*'参数'!$K$21,0)</x:f>
        <x:v>499</x:v>
      </x:c>
      <x:c r="K82" s="18" t="n">
        <x:f>ROUND(E82*'参数'!$L$21,0)</x:f>
        <x:v>3885</x:v>
      </x:c>
      <x:c r="L82" s="18" t="n">
        <x:f>ROUND(E82*'参数'!$M$21,0)</x:f>
        <x:v>306</x:v>
      </x:c>
      <x:c r="M82" s="21" t="n">
        <x:f>E82/E72-1</x:f>
        <x:v>0.19863013698630128</x:v>
      </x:c>
      <x:c r="N82" s="18" t="n">
        <x:f>ROUND(F82*'参数'!$B$20,0)</x:f>
        <x:v>166</x:v>
      </x:c>
      <x:c r="O82" s="18" t="n">
        <x:f>ROUND(F82*'参数'!$B$21,0)</x:f>
        <x:v>184</x:v>
      </x:c>
    </x:row>
    <x:row r="83" ht="22" customHeight="1">
      <x:c r="A83" s="19" t="n">
        <x:v>35</x:v>
      </x:c>
      <x:c r="B83" s="19" t="str">
        <x:v>星穹</x:v>
      </x:c>
      <x:c r="C83" s="20" t="n">
        <x:f>'参数'!G18</x:f>
        <x:v>1.43</x:v>
      </x:c>
      <x:c r="D83" s="20" t="n">
        <x:f>'参数'!$B$49</x:f>
        <x:v>1.04</x:v>
      </x:c>
      <x:c r="E83" s="19" t="n">
        <x:f>ROUND('参数'!$B$18*'参数'!$B$19^(A83-1)*C83*D83,0)</x:f>
        <x:v>184</x:v>
      </x:c>
      <x:c r="F83" s="19" t="n">
        <x:f>ROUND(E83*'参数'!$K$11,0)</x:f>
        <x:v>184</x:v>
      </x:c>
      <x:c r="G83" s="19" t="n">
        <x:f>ROUND(E83*'参数'!$K$12,0)</x:f>
        <x:v>101</x:v>
      </x:c>
      <x:c r="H83" s="19" t="n">
        <x:f>ROUND(E83*'参数'!$L$14,0)</x:f>
        <x:v>1472</x:v>
      </x:c>
      <x:c r="I83" s="19" t="n">
        <x:f>ROUND(E83*'参数'!$M$14,0)</x:f>
        <x:v>83</x:v>
      </x:c>
      <x:c r="J83" s="19" t="n">
        <x:f>ROUND(E83*'参数'!$K$21,0)</x:f>
        <x:v>524</x:v>
      </x:c>
      <x:c r="K83" s="19" t="n">
        <x:f>ROUND(E83*'参数'!$L$21,0)</x:f>
        <x:v>4085</x:v>
      </x:c>
      <x:c r="L83" s="19" t="n">
        <x:f>ROUND(E83*'参数'!$M$21,0)</x:f>
        <x:v>322</x:v>
      </x:c>
      <x:c r="M83" s="22" t="n">
        <x:f>E83/E73-1</x:f>
        <x:v>0.19480519480519476</x:v>
      </x:c>
      <x:c r="N83" s="19" t="n">
        <x:f>ROUND(F83*'参数'!$B$20,0)</x:f>
        <x:v>175</x:v>
      </x:c>
      <x:c r="O83" s="19" t="n">
        <x:f>ROUND(F83*'参数'!$B$21,0)</x:f>
        <x:v>193</x:v>
      </x:c>
    </x:row>
    <x:row r="84" ht="22" customHeight="1">
      <x:c r="A84" s="18" t="n">
        <x:v>35</x:v>
      </x:c>
      <x:c r="B84" s="18" t="str">
        <x:v>神辉</x:v>
      </x:c>
      <x:c r="C84" s="15" t="n">
        <x:f>'参数'!G19</x:f>
        <x:v>1.51</x:v>
      </x:c>
      <x:c r="D84" s="15" t="n">
        <x:f>'参数'!$B$49</x:f>
        <x:v>1.04</x:v>
      </x:c>
      <x:c r="E84" s="18" t="n">
        <x:f>ROUND('参数'!$B$18*'参数'!$B$19^(A84-1)*C84*D84,0)</x:f>
        <x:v>194</x:v>
      </x:c>
      <x:c r="F84" s="18" t="n">
        <x:f>ROUND(E84*'参数'!$K$11,0)</x:f>
        <x:v>194</x:v>
      </x:c>
      <x:c r="G84" s="18" t="n">
        <x:f>ROUND(E84*'参数'!$K$12,0)</x:f>
        <x:v>107</x:v>
      </x:c>
      <x:c r="H84" s="18" t="n">
        <x:f>ROUND(E84*'参数'!$L$14,0)</x:f>
        <x:v>1552</x:v>
      </x:c>
      <x:c r="I84" s="18" t="n">
        <x:f>ROUND(E84*'参数'!$M$14,0)</x:f>
        <x:v>87</x:v>
      </x:c>
      <x:c r="J84" s="18" t="n">
        <x:f>ROUND(E84*'参数'!$K$21,0)</x:f>
        <x:v>553</x:v>
      </x:c>
      <x:c r="K84" s="18" t="n">
        <x:f>ROUND(E84*'参数'!$L$21,0)</x:f>
        <x:v>4307</x:v>
      </x:c>
      <x:c r="L84" s="18" t="n">
        <x:f>ROUND(E84*'参数'!$M$21,0)</x:f>
        <x:v>340</x:v>
      </x:c>
      <x:c r="M84" s="21" t="n">
        <x:f>E84/E74-1</x:f>
        <x:v>0.19753086419753085</x:v>
      </x:c>
      <x:c r="N84" s="18" t="n">
        <x:f>ROUND(F84*'参数'!$B$20,0)</x:f>
        <x:v>184</x:v>
      </x:c>
      <x:c r="O84" s="18" t="n">
        <x:f>ROUND(F84*'参数'!$B$21,0)</x:f>
        <x:v>204</x:v>
      </x:c>
    </x:row>
    <x:row r="85" ht="22" customHeight="1">
      <x:c r="A85" s="19" t="n">
        <x:v>35</x:v>
      </x:c>
      <x:c r="B85" s="19" t="str">
        <x:v>混元</x:v>
      </x:c>
      <x:c r="C85" s="20" t="n">
        <x:f>'参数'!G20</x:f>
        <x:v>1.6</x:v>
      </x:c>
      <x:c r="D85" s="20" t="n">
        <x:f>'参数'!$B$49</x:f>
        <x:v>1.04</x:v>
      </x:c>
      <x:c r="E85" s="19" t="n">
        <x:f>ROUND('参数'!$B$18*'参数'!$B$19^(A85-1)*C85*D85,0)</x:f>
        <x:v>206</x:v>
      </x:c>
      <x:c r="F85" s="19" t="n">
        <x:f>ROUND(E85*'参数'!$K$11,0)</x:f>
        <x:v>206</x:v>
      </x:c>
      <x:c r="G85" s="19" t="n">
        <x:f>ROUND(E85*'参数'!$K$12,0)</x:f>
        <x:v>113</x:v>
      </x:c>
      <x:c r="H85" s="19" t="n">
        <x:f>ROUND(E85*'参数'!$L$14,0)</x:f>
        <x:v>1648</x:v>
      </x:c>
      <x:c r="I85" s="19" t="n">
        <x:f>ROUND(E85*'参数'!$M$14,0)</x:f>
        <x:v>93</x:v>
      </x:c>
      <x:c r="J85" s="19" t="n">
        <x:f>ROUND(E85*'参数'!$K$21,0)</x:f>
        <x:v>587</x:v>
      </x:c>
      <x:c r="K85" s="19" t="n">
        <x:f>ROUND(E85*'参数'!$L$21,0)</x:f>
        <x:v>4573</x:v>
      </x:c>
      <x:c r="L85" s="19" t="n">
        <x:f>ROUND(E85*'参数'!$M$21,0)</x:f>
        <x:v>361</x:v>
      </x:c>
      <x:c r="M85" s="22" t="n">
        <x:f>E85/E75-1</x:f>
        <x:v>0.19767441860465107</x:v>
      </x:c>
      <x:c r="N85" s="19" t="n">
        <x:f>ROUND(F85*'参数'!$B$20,0)</x:f>
        <x:v>196</x:v>
      </x:c>
      <x:c r="O85" s="19" t="n">
        <x:f>ROUND(F85*'参数'!$B$21,0)</x:f>
        <x:v>216</x:v>
      </x:c>
    </x:row>
    <x:row r="86" ht="22" customHeight="1">
      <x:c r="A86" s="18" t="n">
        <x:v>40</x:v>
      </x:c>
      <x:c r="B86" s="18" t="str">
        <x:v>凡品</x:v>
      </x:c>
      <x:c r="C86" s="15" t="n">
        <x:f>'参数'!G11</x:f>
        <x:v>1</x:v>
      </x:c>
      <x:c r="D86" s="15" t="n">
        <x:f>'参数'!$B$49</x:f>
        <x:v>1.04</x:v>
      </x:c>
      <x:c r="E86" s="18" t="n">
        <x:f>ROUND('参数'!$B$18*'参数'!$B$19^(A86-1)*C86*D86,0)</x:f>
        <x:v>154</x:v>
      </x:c>
      <x:c r="F86" s="18" t="n">
        <x:f>ROUND(E86*'参数'!$K$11,0)</x:f>
        <x:v>154</x:v>
      </x:c>
      <x:c r="G86" s="18" t="n">
        <x:f>ROUND(E86*'参数'!$K$12,0)</x:f>
        <x:v>85</x:v>
      </x:c>
      <x:c r="H86" s="18" t="n">
        <x:f>ROUND(E86*'参数'!$L$14,0)</x:f>
        <x:v>1232</x:v>
      </x:c>
      <x:c r="I86" s="18" t="n">
        <x:f>ROUND(E86*'参数'!$M$14,0)</x:f>
        <x:v>69</x:v>
      </x:c>
      <x:c r="J86" s="18" t="n">
        <x:f>ROUND(E86*'参数'!$K$21,0)</x:f>
        <x:v>439</x:v>
      </x:c>
      <x:c r="K86" s="18" t="n">
        <x:f>ROUND(E86*'参数'!$L$21,0)</x:f>
        <x:v>3419</x:v>
      </x:c>
      <x:c r="L86" s="18" t="n">
        <x:f>ROUND(E86*'参数'!$M$21,0)</x:f>
        <x:v>270</x:v>
      </x:c>
      <x:c r="M86" s="21" t="n">
        <x:f>E86/E76-1</x:f>
        <x:v>0.193798449612403</x:v>
      </x:c>
      <x:c r="N86" s="18" t="n">
        <x:f>ROUND(F86*'参数'!$B$20,0)</x:f>
        <x:v>146</x:v>
      </x:c>
      <x:c r="O86" s="18" t="n">
        <x:f>ROUND(F86*'参数'!$B$21,0)</x:f>
        <x:v>162</x:v>
      </x:c>
    </x:row>
    <x:row r="87" ht="22" customHeight="1">
      <x:c r="A87" s="19" t="n">
        <x:v>40</x:v>
      </x:c>
      <x:c r="B87" s="19" t="str">
        <x:v>良品</x:v>
      </x:c>
      <x:c r="C87" s="20" t="n">
        <x:f>'参数'!G12</x:f>
        <x:v>1.05</x:v>
      </x:c>
      <x:c r="D87" s="20" t="n">
        <x:f>'参数'!$B$49</x:f>
        <x:v>1.04</x:v>
      </x:c>
      <x:c r="E87" s="19" t="n">
        <x:f>ROUND('参数'!$B$18*'参数'!$B$19^(A87-1)*C87*D87,0)</x:f>
        <x:v>162</x:v>
      </x:c>
      <x:c r="F87" s="19" t="n">
        <x:f>ROUND(E87*'参数'!$K$11,0)</x:f>
        <x:v>162</x:v>
      </x:c>
      <x:c r="G87" s="19" t="n">
        <x:f>ROUND(E87*'参数'!$K$12,0)</x:f>
        <x:v>89</x:v>
      </x:c>
      <x:c r="H87" s="19" t="n">
        <x:f>ROUND(E87*'参数'!$L$14,0)</x:f>
        <x:v>1296</x:v>
      </x:c>
      <x:c r="I87" s="19" t="n">
        <x:f>ROUND(E87*'参数'!$M$14,0)</x:f>
        <x:v>73</x:v>
      </x:c>
      <x:c r="J87" s="19" t="n">
        <x:f>ROUND(E87*'参数'!$K$21,0)</x:f>
        <x:v>462</x:v>
      </x:c>
      <x:c r="K87" s="19" t="n">
        <x:f>ROUND(E87*'参数'!$L$21,0)</x:f>
        <x:v>3596</x:v>
      </x:c>
      <x:c r="L87" s="19" t="n">
        <x:f>ROUND(E87*'参数'!$M$21,0)</x:f>
        <x:v>284</x:v>
      </x:c>
      <x:c r="M87" s="22" t="n">
        <x:f>E87/E77-1</x:f>
        <x:v>0.19999999999999996</x:v>
      </x:c>
      <x:c r="N87" s="19" t="n">
        <x:f>ROUND(F87*'参数'!$B$20,0)</x:f>
        <x:v>154</x:v>
      </x:c>
      <x:c r="O87" s="19" t="n">
        <x:f>ROUND(F87*'参数'!$B$21,0)</x:f>
        <x:v>170</x:v>
      </x:c>
    </x:row>
    <x:row r="88" ht="22" customHeight="1">
      <x:c r="A88" s="18" t="n">
        <x:v>40</x:v>
      </x:c>
      <x:c r="B88" s="18" t="str">
        <x:v>珍品</x:v>
      </x:c>
      <x:c r="C88" s="15" t="n">
        <x:f>'参数'!G13</x:f>
        <x:v>1.1</x:v>
      </x:c>
      <x:c r="D88" s="15" t="n">
        <x:f>'参数'!$B$49</x:f>
        <x:v>1.04</x:v>
      </x:c>
      <x:c r="E88" s="18" t="n">
        <x:f>ROUND('参数'!$B$18*'参数'!$B$19^(A88-1)*C88*D88,0)</x:f>
        <x:v>170</x:v>
      </x:c>
      <x:c r="F88" s="18" t="n">
        <x:f>ROUND(E88*'参数'!$K$11,0)</x:f>
        <x:v>170</x:v>
      </x:c>
      <x:c r="G88" s="18" t="n">
        <x:f>ROUND(E88*'参数'!$K$12,0)</x:f>
        <x:v>94</x:v>
      </x:c>
      <x:c r="H88" s="18" t="n">
        <x:f>ROUND(E88*'参数'!$L$14,0)</x:f>
        <x:v>1360</x:v>
      </x:c>
      <x:c r="I88" s="18" t="n">
        <x:f>ROUND(E88*'参数'!$M$14,0)</x:f>
        <x:v>77</x:v>
      </x:c>
      <x:c r="J88" s="18" t="n">
        <x:f>ROUND(E88*'参数'!$K$21,0)</x:f>
        <x:v>485</x:v>
      </x:c>
      <x:c r="K88" s="18" t="n">
        <x:f>ROUND(E88*'参数'!$L$21,0)</x:f>
        <x:v>3774</x:v>
      </x:c>
      <x:c r="L88" s="18" t="n">
        <x:f>ROUND(E88*'参数'!$M$21,0)</x:f>
        <x:v>298</x:v>
      </x:c>
      <x:c r="M88" s="21" t="n">
        <x:f>E88/E78-1</x:f>
        <x:v>0.19718309859154926</x:v>
      </x:c>
      <x:c r="N88" s="18" t="n">
        <x:f>ROUND(F88*'参数'!$B$20,0)</x:f>
        <x:v>162</x:v>
      </x:c>
      <x:c r="O88" s="18" t="n">
        <x:f>ROUND(F88*'参数'!$B$21,0)</x:f>
        <x:v>179</x:v>
      </x:c>
    </x:row>
    <x:row r="89" ht="22" customHeight="1">
      <x:c r="A89" s="19" t="n">
        <x:v>40</x:v>
      </x:c>
      <x:c r="B89" s="19" t="str">
        <x:v>传奇</x:v>
      </x:c>
      <x:c r="C89" s="20" t="n">
        <x:f>'参数'!G14</x:f>
        <x:v>1.16</x:v>
      </x:c>
      <x:c r="D89" s="20" t="n">
        <x:f>'参数'!$B$49</x:f>
        <x:v>1.04</x:v>
      </x:c>
      <x:c r="E89" s="19" t="n">
        <x:f>ROUND('参数'!$B$18*'参数'!$B$19^(A89-1)*C89*D89,0)</x:f>
        <x:v>179</x:v>
      </x:c>
      <x:c r="F89" s="19" t="n">
        <x:f>ROUND(E89*'参数'!$K$11,0)</x:f>
        <x:v>179</x:v>
      </x:c>
      <x:c r="G89" s="19" t="n">
        <x:f>ROUND(E89*'参数'!$K$12,0)</x:f>
        <x:v>98</x:v>
      </x:c>
      <x:c r="H89" s="19" t="n">
        <x:f>ROUND(E89*'参数'!$L$14,0)</x:f>
        <x:v>1432</x:v>
      </x:c>
      <x:c r="I89" s="19" t="n">
        <x:f>ROUND(E89*'参数'!$M$14,0)</x:f>
        <x:v>81</x:v>
      </x:c>
      <x:c r="J89" s="19" t="n">
        <x:f>ROUND(E89*'参数'!$K$21,0)</x:f>
        <x:v>510</x:v>
      </x:c>
      <x:c r="K89" s="19" t="n">
        <x:f>ROUND(E89*'参数'!$L$21,0)</x:f>
        <x:v>3974</x:v>
      </x:c>
      <x:c r="L89" s="19" t="n">
        <x:f>ROUND(E89*'参数'!$M$21,0)</x:f>
        <x:v>313</x:v>
      </x:c>
      <x:c r="M89" s="22" t="n">
        <x:f>E89/E79-1</x:f>
        <x:v>0.20134228187919456</x:v>
      </x:c>
      <x:c r="N89" s="19" t="n">
        <x:f>ROUND(F89*'参数'!$B$20,0)</x:f>
        <x:v>170</x:v>
      </x:c>
      <x:c r="O89" s="19" t="n">
        <x:f>ROUND(F89*'参数'!$B$21,0)</x:f>
        <x:v>188</x:v>
      </x:c>
    </x:row>
    <x:row r="90" ht="22" customHeight="1">
      <x:c r="A90" s="18" t="n">
        <x:v>40</x:v>
      </x:c>
      <x:c r="B90" s="18" t="str">
        <x:v>传世</x:v>
      </x:c>
      <x:c r="C90" s="15" t="n">
        <x:f>'参数'!G15</x:f>
        <x:v>1.22</x:v>
      </x:c>
      <x:c r="D90" s="15" t="n">
        <x:f>'参数'!$B$49</x:f>
        <x:v>1.04</x:v>
      </x:c>
      <x:c r="E90" s="18" t="n">
        <x:f>ROUND('参数'!$B$18*'参数'!$B$19^(A90-1)*C90*D90,0)</x:f>
        <x:v>188</x:v>
      </x:c>
      <x:c r="F90" s="18" t="n">
        <x:f>ROUND(E90*'参数'!$K$11,0)</x:f>
        <x:v>188</x:v>
      </x:c>
      <x:c r="G90" s="18" t="n">
        <x:f>ROUND(E90*'参数'!$K$12,0)</x:f>
        <x:v>103</x:v>
      </x:c>
      <x:c r="H90" s="18" t="n">
        <x:f>ROUND(E90*'参数'!$L$14,0)</x:f>
        <x:v>1504</x:v>
      </x:c>
      <x:c r="I90" s="18" t="n">
        <x:f>ROUND(E90*'参数'!$M$14,0)</x:f>
        <x:v>85</x:v>
      </x:c>
      <x:c r="J90" s="18" t="n">
        <x:f>ROUND(E90*'参数'!$K$21,0)</x:f>
        <x:v>536</x:v>
      </x:c>
      <x:c r="K90" s="18" t="n">
        <x:f>ROUND(E90*'参数'!$L$21,0)</x:f>
        <x:v>4174</x:v>
      </x:c>
      <x:c r="L90" s="18" t="n">
        <x:f>ROUND(E90*'参数'!$M$21,0)</x:f>
        <x:v>329</x:v>
      </x:c>
      <x:c r="M90" s="21" t="n">
        <x:f>E90/E80-1</x:f>
        <x:v>0.197452229299363</x:v>
      </x:c>
      <x:c r="N90" s="18" t="n">
        <x:f>ROUND(F90*'参数'!$B$20,0)</x:f>
        <x:v>179</x:v>
      </x:c>
      <x:c r="O90" s="18" t="n">
        <x:f>ROUND(F90*'参数'!$B$21,0)</x:f>
        <x:v>197</x:v>
      </x:c>
    </x:row>
    <x:row r="91" ht="22" customHeight="1">
      <x:c r="A91" s="19" t="n">
        <x:v>40</x:v>
      </x:c>
      <x:c r="B91" s="19" t="str">
        <x:v>灵蕴</x:v>
      </x:c>
      <x:c r="C91" s="20" t="n">
        <x:f>'参数'!G16</x:f>
        <x:v>1.29</x:v>
      </x:c>
      <x:c r="D91" s="20" t="n">
        <x:f>'参数'!$B$49</x:f>
        <x:v>1.04</x:v>
      </x:c>
      <x:c r="E91" s="19" t="n">
        <x:f>ROUND('参数'!$B$18*'参数'!$B$19^(A91-1)*C91*D91,0)</x:f>
        <x:v>199</x:v>
      </x:c>
      <x:c r="F91" s="19" t="n">
        <x:f>ROUND(E91*'参数'!$K$11,0)</x:f>
        <x:v>199</x:v>
      </x:c>
      <x:c r="G91" s="19" t="n">
        <x:f>ROUND(E91*'参数'!$K$12,0)</x:f>
        <x:v>109</x:v>
      </x:c>
      <x:c r="H91" s="19" t="n">
        <x:f>ROUND(E91*'参数'!$L$14,0)</x:f>
        <x:v>1592</x:v>
      </x:c>
      <x:c r="I91" s="19" t="n">
        <x:f>ROUND(E91*'参数'!$M$14,0)</x:f>
        <x:v>90</x:v>
      </x:c>
      <x:c r="J91" s="19" t="n">
        <x:f>ROUND(E91*'参数'!$K$21,0)</x:f>
        <x:v>567</x:v>
      </x:c>
      <x:c r="K91" s="19" t="n">
        <x:f>ROUND(E91*'参数'!$L$21,0)</x:f>
        <x:v>4418</x:v>
      </x:c>
      <x:c r="L91" s="19" t="n">
        <x:f>ROUND(E91*'参数'!$M$21,0)</x:f>
        <x:v>348</x:v>
      </x:c>
      <x:c r="M91" s="22" t="n">
        <x:f>E91/E81-1</x:f>
        <x:v>0.1987951807228916</x:v>
      </x:c>
      <x:c r="N91" s="19" t="n">
        <x:f>ROUND(F91*'参数'!$B$20,0)</x:f>
        <x:v>189</x:v>
      </x:c>
      <x:c r="O91" s="19" t="n">
        <x:f>ROUND(F91*'参数'!$B$21,0)</x:f>
        <x:v>209</x:v>
      </x:c>
    </x:row>
    <x:row r="92" ht="22" customHeight="1">
      <x:c r="A92" s="18" t="n">
        <x:v>40</x:v>
      </x:c>
      <x:c r="B92" s="18" t="str">
        <x:v>超然</x:v>
      </x:c>
      <x:c r="C92" s="15" t="n">
        <x:f>'参数'!G17</x:f>
        <x:v>1.36</x:v>
      </x:c>
      <x:c r="D92" s="15" t="n">
        <x:f>'参数'!$B$49</x:f>
        <x:v>1.04</x:v>
      </x:c>
      <x:c r="E92" s="18" t="n">
        <x:f>ROUND('参数'!$B$18*'参数'!$B$19^(A92-1)*C92*D92,0)</x:f>
        <x:v>210</x:v>
      </x:c>
      <x:c r="F92" s="18" t="n">
        <x:f>ROUND(E92*'参数'!$K$11,0)</x:f>
        <x:v>210</x:v>
      </x:c>
      <x:c r="G92" s="18" t="n">
        <x:f>ROUND(E92*'参数'!$K$12,0)</x:f>
        <x:v>116</x:v>
      </x:c>
      <x:c r="H92" s="18" t="n">
        <x:f>ROUND(E92*'参数'!$L$14,0)</x:f>
        <x:v>1680</x:v>
      </x:c>
      <x:c r="I92" s="18" t="n">
        <x:f>ROUND(E92*'参数'!$M$14,0)</x:f>
        <x:v>95</x:v>
      </x:c>
      <x:c r="J92" s="18" t="n">
        <x:f>ROUND(E92*'参数'!$K$21,0)</x:f>
        <x:v>599</x:v>
      </x:c>
      <x:c r="K92" s="18" t="n">
        <x:f>ROUND(E92*'参数'!$L$21,0)</x:f>
        <x:v>4662</x:v>
      </x:c>
      <x:c r="L92" s="18" t="n">
        <x:f>ROUND(E92*'参数'!$M$21,0)</x:f>
        <x:v>368</x:v>
      </x:c>
      <x:c r="M92" s="21" t="n">
        <x:f>E92/E82-1</x:f>
        <x:v>0.19999999999999996</x:v>
      </x:c>
      <x:c r="N92" s="18" t="n">
        <x:f>ROUND(F92*'参数'!$B$20,0)</x:f>
        <x:v>200</x:v>
      </x:c>
      <x:c r="O92" s="18" t="n">
        <x:f>ROUND(F92*'参数'!$B$21,0)</x:f>
        <x:v>221</x:v>
      </x:c>
    </x:row>
    <x:row r="93" ht="22" customHeight="1">
      <x:c r="A93" s="19" t="n">
        <x:v>40</x:v>
      </x:c>
      <x:c r="B93" s="19" t="str">
        <x:v>星穹</x:v>
      </x:c>
      <x:c r="C93" s="20" t="n">
        <x:f>'参数'!G18</x:f>
        <x:v>1.43</x:v>
      </x:c>
      <x:c r="D93" s="20" t="n">
        <x:f>'参数'!$B$49</x:f>
        <x:v>1.04</x:v>
      </x:c>
      <x:c r="E93" s="19" t="n">
        <x:f>ROUND('参数'!$B$18*'参数'!$B$19^(A93-1)*C93*D93,0)</x:f>
        <x:v>221</x:v>
      </x:c>
      <x:c r="F93" s="19" t="n">
        <x:f>ROUND(E93*'参数'!$K$11,0)</x:f>
        <x:v>221</x:v>
      </x:c>
      <x:c r="G93" s="19" t="n">
        <x:f>ROUND(E93*'参数'!$K$12,0)</x:f>
        <x:v>122</x:v>
      </x:c>
      <x:c r="H93" s="19" t="n">
        <x:f>ROUND(E93*'参数'!$L$14,0)</x:f>
        <x:v>1768</x:v>
      </x:c>
      <x:c r="I93" s="19" t="n">
        <x:f>ROUND(E93*'参数'!$M$14,0)</x:f>
        <x:v>99</x:v>
      </x:c>
      <x:c r="J93" s="19" t="n">
        <x:f>ROUND(E93*'参数'!$K$21,0)</x:f>
        <x:v>630</x:v>
      </x:c>
      <x:c r="K93" s="19" t="n">
        <x:f>ROUND(E93*'参数'!$L$21,0)</x:f>
        <x:v>4906</x:v>
      </x:c>
      <x:c r="L93" s="19" t="n">
        <x:f>ROUND(E93*'参数'!$M$21,0)</x:f>
        <x:v>387</x:v>
      </x:c>
      <x:c r="M93" s="22" t="n">
        <x:f>E93/E83-1</x:f>
        <x:v>0.20108695652173902</x:v>
      </x:c>
      <x:c r="N93" s="19" t="n">
        <x:f>ROUND(F93*'参数'!$B$20,0)</x:f>
        <x:v>210</x:v>
      </x:c>
      <x:c r="O93" s="19" t="n">
        <x:f>ROUND(F93*'参数'!$B$21,0)</x:f>
        <x:v>232</x:v>
      </x:c>
    </x:row>
    <x:row r="94" ht="22" customHeight="1">
      <x:c r="A94" s="18" t="n">
        <x:v>40</x:v>
      </x:c>
      <x:c r="B94" s="18" t="str">
        <x:v>神辉</x:v>
      </x:c>
      <x:c r="C94" s="15" t="n">
        <x:f>'参数'!G19</x:f>
        <x:v>1.51</x:v>
      </x:c>
      <x:c r="D94" s="15" t="n">
        <x:f>'参数'!$B$49</x:f>
        <x:v>1.04</x:v>
      </x:c>
      <x:c r="E94" s="18" t="n">
        <x:f>ROUND('参数'!$B$18*'参数'!$B$19^(A94-1)*C94*D94,0)</x:f>
        <x:v>233</x:v>
      </x:c>
      <x:c r="F94" s="18" t="n">
        <x:f>ROUND(E94*'参数'!$K$11,0)</x:f>
        <x:v>233</x:v>
      </x:c>
      <x:c r="G94" s="18" t="n">
        <x:f>ROUND(E94*'参数'!$K$12,0)</x:f>
        <x:v>128</x:v>
      </x:c>
      <x:c r="H94" s="18" t="n">
        <x:f>ROUND(E94*'参数'!$L$14,0)</x:f>
        <x:v>1864</x:v>
      </x:c>
      <x:c r="I94" s="18" t="n">
        <x:f>ROUND(E94*'参数'!$M$14,0)</x:f>
        <x:v>105</x:v>
      </x:c>
      <x:c r="J94" s="18" t="n">
        <x:f>ROUND(E94*'参数'!$K$21,0)</x:f>
        <x:v>664</x:v>
      </x:c>
      <x:c r="K94" s="18" t="n">
        <x:f>ROUND(E94*'参数'!$L$21,0)</x:f>
        <x:v>5173</x:v>
      </x:c>
      <x:c r="L94" s="18" t="n">
        <x:f>ROUND(E94*'参数'!$M$21,0)</x:f>
        <x:v>408</x:v>
      </x:c>
      <x:c r="M94" s="21" t="n">
        <x:f>E94/E84-1</x:f>
        <x:v>0.2010309278350515</x:v>
      </x:c>
      <x:c r="N94" s="18" t="n">
        <x:f>ROUND(F94*'参数'!$B$20,0)</x:f>
        <x:v>221</x:v>
      </x:c>
      <x:c r="O94" s="18" t="n">
        <x:f>ROUND(F94*'参数'!$B$21,0)</x:f>
        <x:v>245</x:v>
      </x:c>
    </x:row>
    <x:row r="95" ht="22" customHeight="1">
      <x:c r="A95" s="19" t="n">
        <x:v>40</x:v>
      </x:c>
      <x:c r="B95" s="19" t="str">
        <x:v>混元</x:v>
      </x:c>
      <x:c r="C95" s="20" t="n">
        <x:f>'参数'!G20</x:f>
        <x:v>1.6</x:v>
      </x:c>
      <x:c r="D95" s="20" t="n">
        <x:f>'参数'!$B$49</x:f>
        <x:v>1.04</x:v>
      </x:c>
      <x:c r="E95" s="19" t="n">
        <x:f>ROUND('参数'!$B$18*'参数'!$B$19^(A95-1)*C95*D95,0)</x:f>
        <x:v>247</x:v>
      </x:c>
      <x:c r="F95" s="19" t="n">
        <x:f>ROUND(E95*'参数'!$K$11,0)</x:f>
        <x:v>247</x:v>
      </x:c>
      <x:c r="G95" s="19" t="n">
        <x:f>ROUND(E95*'参数'!$K$12,0)</x:f>
        <x:v>136</x:v>
      </x:c>
      <x:c r="H95" s="19" t="n">
        <x:f>ROUND(E95*'参数'!$L$14,0)</x:f>
        <x:v>1976</x:v>
      </x:c>
      <x:c r="I95" s="19" t="n">
        <x:f>ROUND(E95*'参数'!$M$14,0)</x:f>
        <x:v>111</x:v>
      </x:c>
      <x:c r="J95" s="19" t="n">
        <x:f>ROUND(E95*'参数'!$K$21,0)</x:f>
        <x:v>704</x:v>
      </x:c>
      <x:c r="K95" s="19" t="n">
        <x:f>ROUND(E95*'参数'!$L$21,0)</x:f>
        <x:v>5483</x:v>
      </x:c>
      <x:c r="L95" s="19" t="n">
        <x:f>ROUND(E95*'参数'!$M$21,0)</x:f>
        <x:v>432</x:v>
      </x:c>
      <x:c r="M95" s="22" t="n">
        <x:f>E95/E85-1</x:f>
        <x:v>0.19902912621359214</x:v>
      </x:c>
      <x:c r="N95" s="19" t="n">
        <x:f>ROUND(F95*'参数'!$B$20,0)</x:f>
        <x:v>235</x:v>
      </x:c>
      <x:c r="O95" s="19" t="n">
        <x:f>ROUND(F95*'参数'!$B$21,0)</x:f>
        <x:v>259</x:v>
      </x:c>
    </x:row>
    <x:row r="96" ht="22" customHeight="1">
      <x:c r="A96" s="18" t="n">
        <x:v>45</x:v>
      </x:c>
      <x:c r="B96" s="18" t="str">
        <x:v>凡品</x:v>
      </x:c>
      <x:c r="C96" s="15" t="n">
        <x:f>'参数'!G11</x:f>
        <x:v>1</x:v>
      </x:c>
      <x:c r="D96" s="15" t="n">
        <x:f>'参数'!$B$49</x:f>
        <x:v>1.04</x:v>
      </x:c>
      <x:c r="E96" s="18" t="n">
        <x:f>ROUND('参数'!$B$18*'参数'!$B$19^(A96-1)*C96*D96,0)</x:f>
        <x:v>185</x:v>
      </x:c>
      <x:c r="F96" s="18" t="n">
        <x:f>ROUND(E96*'参数'!$K$11,0)</x:f>
        <x:v>185</x:v>
      </x:c>
      <x:c r="G96" s="18" t="n">
        <x:f>ROUND(E96*'参数'!$K$12,0)</x:f>
        <x:v>102</x:v>
      </x:c>
      <x:c r="H96" s="18" t="n">
        <x:f>ROUND(E96*'参数'!$L$14,0)</x:f>
        <x:v>1480</x:v>
      </x:c>
      <x:c r="I96" s="18" t="n">
        <x:f>ROUND(E96*'参数'!$M$14,0)</x:f>
        <x:v>83</x:v>
      </x:c>
      <x:c r="J96" s="18" t="n">
        <x:f>ROUND(E96*'参数'!$K$21,0)</x:f>
        <x:v>527</x:v>
      </x:c>
      <x:c r="K96" s="18" t="n">
        <x:f>ROUND(E96*'参数'!$L$21,0)</x:f>
        <x:v>4107</x:v>
      </x:c>
      <x:c r="L96" s="18" t="n">
        <x:f>ROUND(E96*'参数'!$M$21,0)</x:f>
        <x:v>324</x:v>
      </x:c>
      <x:c r="M96" s="21" t="n">
        <x:f>E96/E86-1</x:f>
        <x:v>0.2012987012987013</x:v>
      </x:c>
      <x:c r="N96" s="18" t="n">
        <x:f>ROUND(F96*'参数'!$B$20,0)</x:f>
        <x:v>176</x:v>
      </x:c>
      <x:c r="O96" s="18" t="n">
        <x:f>ROUND(F96*'参数'!$B$21,0)</x:f>
        <x:v>194</x:v>
      </x:c>
    </x:row>
    <x:row r="97" ht="22" customHeight="1">
      <x:c r="A97" s="19" t="n">
        <x:v>45</x:v>
      </x:c>
      <x:c r="B97" s="19" t="str">
        <x:v>良品</x:v>
      </x:c>
      <x:c r="C97" s="20" t="n">
        <x:f>'参数'!G12</x:f>
        <x:v>1.05</x:v>
      </x:c>
      <x:c r="D97" s="20" t="n">
        <x:f>'参数'!$B$49</x:f>
        <x:v>1.04</x:v>
      </x:c>
      <x:c r="E97" s="19" t="n">
        <x:f>ROUND('参数'!$B$18*'参数'!$B$19^(A97-1)*C97*D97,0)</x:f>
        <x:v>194</x:v>
      </x:c>
      <x:c r="F97" s="19" t="n">
        <x:f>ROUND(E97*'参数'!$K$11,0)</x:f>
        <x:v>194</x:v>
      </x:c>
      <x:c r="G97" s="19" t="n">
        <x:f>ROUND(E97*'参数'!$K$12,0)</x:f>
        <x:v>107</x:v>
      </x:c>
      <x:c r="H97" s="19" t="n">
        <x:f>ROUND(E97*'参数'!$L$14,0)</x:f>
        <x:v>1552</x:v>
      </x:c>
      <x:c r="I97" s="19" t="n">
        <x:f>ROUND(E97*'参数'!$M$14,0)</x:f>
        <x:v>87</x:v>
      </x:c>
      <x:c r="J97" s="19" t="n">
        <x:f>ROUND(E97*'参数'!$K$21,0)</x:f>
        <x:v>553</x:v>
      </x:c>
      <x:c r="K97" s="19" t="n">
        <x:f>ROUND(E97*'参数'!$L$21,0)</x:f>
        <x:v>4307</x:v>
      </x:c>
      <x:c r="L97" s="19" t="n">
        <x:f>ROUND(E97*'参数'!$M$21,0)</x:f>
        <x:v>340</x:v>
      </x:c>
      <x:c r="M97" s="22" t="n">
        <x:f>E97/E87-1</x:f>
        <x:v>0.19753086419753085</x:v>
      </x:c>
      <x:c r="N97" s="19" t="n">
        <x:f>ROUND(F97*'参数'!$B$20,0)</x:f>
        <x:v>184</x:v>
      </x:c>
      <x:c r="O97" s="19" t="n">
        <x:f>ROUND(F97*'参数'!$B$21,0)</x:f>
        <x:v>204</x:v>
      </x:c>
    </x:row>
    <x:row r="98" ht="22" customHeight="1">
      <x:c r="A98" s="18" t="n">
        <x:v>45</x:v>
      </x:c>
      <x:c r="B98" s="18" t="str">
        <x:v>珍品</x:v>
      </x:c>
      <x:c r="C98" s="15" t="n">
        <x:f>'参数'!G13</x:f>
        <x:v>1.1</x:v>
      </x:c>
      <x:c r="D98" s="15" t="n">
        <x:f>'参数'!$B$49</x:f>
        <x:v>1.04</x:v>
      </x:c>
      <x:c r="E98" s="18" t="n">
        <x:f>ROUND('参数'!$B$18*'参数'!$B$19^(A98-1)*C98*D98,0)</x:f>
        <x:v>204</x:v>
      </x:c>
      <x:c r="F98" s="18" t="n">
        <x:f>ROUND(E98*'参数'!$K$11,0)</x:f>
        <x:v>204</x:v>
      </x:c>
      <x:c r="G98" s="18" t="n">
        <x:f>ROUND(E98*'参数'!$K$12,0)</x:f>
        <x:v>112</x:v>
      </x:c>
      <x:c r="H98" s="18" t="n">
        <x:f>ROUND(E98*'参数'!$L$14,0)</x:f>
        <x:v>1632</x:v>
      </x:c>
      <x:c r="I98" s="18" t="n">
        <x:f>ROUND(E98*'参数'!$M$14,0)</x:f>
        <x:v>92</x:v>
      </x:c>
      <x:c r="J98" s="18" t="n">
        <x:f>ROUND(E98*'参数'!$K$21,0)</x:f>
        <x:v>581</x:v>
      </x:c>
      <x:c r="K98" s="18" t="n">
        <x:f>ROUND(E98*'参数'!$L$21,0)</x:f>
        <x:v>4529</x:v>
      </x:c>
      <x:c r="L98" s="18" t="n">
        <x:f>ROUND(E98*'参数'!$M$21,0)</x:f>
        <x:v>357</x:v>
      </x:c>
      <x:c r="M98" s="21" t="n">
        <x:f>E98/E88-1</x:f>
        <x:v>0.19999999999999996</x:v>
      </x:c>
      <x:c r="N98" s="18" t="n">
        <x:f>ROUND(F98*'参数'!$B$20,0)</x:f>
        <x:v>194</x:v>
      </x:c>
      <x:c r="O98" s="18" t="n">
        <x:f>ROUND(F98*'参数'!$B$21,0)</x:f>
        <x:v>214</x:v>
      </x:c>
    </x:row>
    <x:row r="99" ht="22" customHeight="1">
      <x:c r="A99" s="19" t="n">
        <x:v>45</x:v>
      </x:c>
      <x:c r="B99" s="19" t="str">
        <x:v>传奇</x:v>
      </x:c>
      <x:c r="C99" s="20" t="n">
        <x:f>'参数'!G14</x:f>
        <x:v>1.16</x:v>
      </x:c>
      <x:c r="D99" s="20" t="n">
        <x:f>'参数'!$B$49</x:f>
        <x:v>1.04</x:v>
      </x:c>
      <x:c r="E99" s="19" t="n">
        <x:f>ROUND('参数'!$B$18*'参数'!$B$19^(A99-1)*C99*D99,0)</x:f>
        <x:v>215</x:v>
      </x:c>
      <x:c r="F99" s="19" t="n">
        <x:f>ROUND(E99*'参数'!$K$11,0)</x:f>
        <x:v>215</x:v>
      </x:c>
      <x:c r="G99" s="19" t="n">
        <x:f>ROUND(E99*'参数'!$K$12,0)</x:f>
        <x:v>118</x:v>
      </x:c>
      <x:c r="H99" s="19" t="n">
        <x:f>ROUND(E99*'参数'!$L$14,0)</x:f>
        <x:v>1720</x:v>
      </x:c>
      <x:c r="I99" s="19" t="n">
        <x:f>ROUND(E99*'参数'!$M$14,0)</x:f>
        <x:v>97</x:v>
      </x:c>
      <x:c r="J99" s="19" t="n">
        <x:f>ROUND(E99*'参数'!$K$21,0)</x:f>
        <x:v>613</x:v>
      </x:c>
      <x:c r="K99" s="19" t="n">
        <x:f>ROUND(E99*'参数'!$L$21,0)</x:f>
        <x:v>4773</x:v>
      </x:c>
      <x:c r="L99" s="19" t="n">
        <x:f>ROUND(E99*'参数'!$M$21,0)</x:f>
        <x:v>376</x:v>
      </x:c>
      <x:c r="M99" s="22" t="n">
        <x:f>E99/E89-1</x:f>
        <x:v>0.2011173184357542</x:v>
      </x:c>
      <x:c r="N99" s="19" t="n">
        <x:f>ROUND(F99*'参数'!$B$20,0)</x:f>
        <x:v>204</x:v>
      </x:c>
      <x:c r="O99" s="19" t="n">
        <x:f>ROUND(F99*'参数'!$B$21,0)</x:f>
        <x:v>226</x:v>
      </x:c>
    </x:row>
    <x:row r="100" ht="22" customHeight="1">
      <x:c r="A100" s="18" t="n">
        <x:v>45</x:v>
      </x:c>
      <x:c r="B100" s="18" t="str">
        <x:v>传世</x:v>
      </x:c>
      <x:c r="C100" s="15" t="n">
        <x:f>'参数'!G15</x:f>
        <x:v>1.22</x:v>
      </x:c>
      <x:c r="D100" s="15" t="n">
        <x:f>'参数'!$B$49</x:f>
        <x:v>1.04</x:v>
      </x:c>
      <x:c r="E100" s="18" t="n">
        <x:f>ROUND('参数'!$B$18*'参数'!$B$19^(A100-1)*C100*D100,0)</x:f>
        <x:v>226</x:v>
      </x:c>
      <x:c r="F100" s="18" t="n">
        <x:f>ROUND(E100*'参数'!$K$11,0)</x:f>
        <x:v>226</x:v>
      </x:c>
      <x:c r="G100" s="18" t="n">
        <x:f>ROUND(E100*'参数'!$K$12,0)</x:f>
        <x:v>124</x:v>
      </x:c>
      <x:c r="H100" s="18" t="n">
        <x:f>ROUND(E100*'参数'!$L$14,0)</x:f>
        <x:v>1808</x:v>
      </x:c>
      <x:c r="I100" s="18" t="n">
        <x:f>ROUND(E100*'参数'!$M$14,0)</x:f>
        <x:v>102</x:v>
      </x:c>
      <x:c r="J100" s="18" t="n">
        <x:f>ROUND(E100*'参数'!$K$21,0)</x:f>
        <x:v>644</x:v>
      </x:c>
      <x:c r="K100" s="18" t="n">
        <x:f>ROUND(E100*'参数'!$L$21,0)</x:f>
        <x:v>5017</x:v>
      </x:c>
      <x:c r="L100" s="18" t="n">
        <x:f>ROUND(E100*'参数'!$M$21,0)</x:f>
        <x:v>396</x:v>
      </x:c>
      <x:c r="M100" s="21" t="n">
        <x:f>E100/E90-1</x:f>
        <x:v>0.2021276595744681</x:v>
      </x:c>
      <x:c r="N100" s="18" t="n">
        <x:f>ROUND(F100*'参数'!$B$20,0)</x:f>
        <x:v>215</x:v>
      </x:c>
      <x:c r="O100" s="18" t="n">
        <x:f>ROUND(F100*'参数'!$B$21,0)</x:f>
        <x:v>237</x:v>
      </x:c>
    </x:row>
    <x:row r="101" ht="22" customHeight="1">
      <x:c r="A101" s="19" t="n">
        <x:v>45</x:v>
      </x:c>
      <x:c r="B101" s="19" t="str">
        <x:v>灵蕴</x:v>
      </x:c>
      <x:c r="C101" s="20" t="n">
        <x:f>'参数'!G16</x:f>
        <x:v>1.29</x:v>
      </x:c>
      <x:c r="D101" s="20" t="n">
        <x:f>'参数'!$B$49</x:f>
        <x:v>1.04</x:v>
      </x:c>
      <x:c r="E101" s="19" t="n">
        <x:f>ROUND('参数'!$B$18*'参数'!$B$19^(A101-1)*C101*D101,0)</x:f>
        <x:v>239</x:v>
      </x:c>
      <x:c r="F101" s="19" t="n">
        <x:f>ROUND(E101*'参数'!$K$11,0)</x:f>
        <x:v>239</x:v>
      </x:c>
      <x:c r="G101" s="19" t="n">
        <x:f>ROUND(E101*'参数'!$K$12,0)</x:f>
        <x:v>131</x:v>
      </x:c>
      <x:c r="H101" s="19" t="n">
        <x:f>ROUND(E101*'参数'!$L$14,0)</x:f>
        <x:v>1912</x:v>
      </x:c>
      <x:c r="I101" s="19" t="n">
        <x:f>ROUND(E101*'参数'!$M$14,0)</x:f>
        <x:v>108</x:v>
      </x:c>
      <x:c r="J101" s="19" t="n">
        <x:f>ROUND(E101*'参数'!$K$21,0)</x:f>
        <x:v>681</x:v>
      </x:c>
      <x:c r="K101" s="19" t="n">
        <x:f>ROUND(E101*'参数'!$L$21,0)</x:f>
        <x:v>5306</x:v>
      </x:c>
      <x:c r="L101" s="19" t="n">
        <x:f>ROUND(E101*'参数'!$M$21,0)</x:f>
        <x:v>418</x:v>
      </x:c>
      <x:c r="M101" s="22" t="n">
        <x:f>E101/E91-1</x:f>
        <x:v>0.20100502512562812</x:v>
      </x:c>
      <x:c r="N101" s="19" t="n">
        <x:f>ROUND(F101*'参数'!$B$20,0)</x:f>
        <x:v>227</x:v>
      </x:c>
      <x:c r="O101" s="19" t="n">
        <x:f>ROUND(F101*'参数'!$B$21,0)</x:f>
        <x:v>251</x:v>
      </x:c>
    </x:row>
    <x:row r="102" ht="22" customHeight="1">
      <x:c r="A102" s="18" t="n">
        <x:v>45</x:v>
      </x:c>
      <x:c r="B102" s="18" t="str">
        <x:v>超然</x:v>
      </x:c>
      <x:c r="C102" s="15" t="n">
        <x:f>'参数'!G17</x:f>
        <x:v>1.36</x:v>
      </x:c>
      <x:c r="D102" s="15" t="n">
        <x:f>'参数'!$B$49</x:f>
        <x:v>1.04</x:v>
      </x:c>
      <x:c r="E102" s="18" t="n">
        <x:f>ROUND('参数'!$B$18*'参数'!$B$19^(A102-1)*C102*D102,0)</x:f>
        <x:v>252</x:v>
      </x:c>
      <x:c r="F102" s="18" t="n">
        <x:f>ROUND(E102*'参数'!$K$11,0)</x:f>
        <x:v>252</x:v>
      </x:c>
      <x:c r="G102" s="18" t="n">
        <x:f>ROUND(E102*'参数'!$K$12,0)</x:f>
        <x:v>139</x:v>
      </x:c>
      <x:c r="H102" s="18" t="n">
        <x:f>ROUND(E102*'参数'!$L$14,0)</x:f>
        <x:v>2016</x:v>
      </x:c>
      <x:c r="I102" s="18" t="n">
        <x:f>ROUND(E102*'参数'!$M$14,0)</x:f>
        <x:v>113</x:v>
      </x:c>
      <x:c r="J102" s="18" t="n">
        <x:f>ROUND(E102*'参数'!$K$21,0)</x:f>
        <x:v>718</x:v>
      </x:c>
      <x:c r="K102" s="18" t="n">
        <x:f>ROUND(E102*'参数'!$L$21,0)</x:f>
        <x:v>5594</x:v>
      </x:c>
      <x:c r="L102" s="18" t="n">
        <x:f>ROUND(E102*'参数'!$M$21,0)</x:f>
        <x:v>441</x:v>
      </x:c>
      <x:c r="M102" s="21" t="n">
        <x:f>E102/E92-1</x:f>
        <x:v>0.19999999999999996</x:v>
      </x:c>
      <x:c r="N102" s="18" t="n">
        <x:f>ROUND(F102*'参数'!$B$20,0)</x:f>
        <x:v>239</x:v>
      </x:c>
      <x:c r="O102" s="18" t="n">
        <x:f>ROUND(F102*'参数'!$B$21,0)</x:f>
        <x:v>265</x:v>
      </x:c>
    </x:row>
    <x:row r="103" ht="22" customHeight="1">
      <x:c r="A103" s="19" t="n">
        <x:v>45</x:v>
      </x:c>
      <x:c r="B103" s="19" t="str">
        <x:v>星穹</x:v>
      </x:c>
      <x:c r="C103" s="20" t="n">
        <x:f>'参数'!G18</x:f>
        <x:v>1.43</x:v>
      </x:c>
      <x:c r="D103" s="20" t="n">
        <x:f>'参数'!$B$49</x:f>
        <x:v>1.04</x:v>
      </x:c>
      <x:c r="E103" s="19" t="n">
        <x:f>ROUND('参数'!$B$18*'参数'!$B$19^(A103-1)*C103*D103,0)</x:f>
        <x:v>265</x:v>
      </x:c>
      <x:c r="F103" s="19" t="n">
        <x:f>ROUND(E103*'参数'!$K$11,0)</x:f>
        <x:v>265</x:v>
      </x:c>
      <x:c r="G103" s="19" t="n">
        <x:f>ROUND(E103*'参数'!$K$12,0)</x:f>
        <x:v>146</x:v>
      </x:c>
      <x:c r="H103" s="19" t="n">
        <x:f>ROUND(E103*'参数'!$L$14,0)</x:f>
        <x:v>2120</x:v>
      </x:c>
      <x:c r="I103" s="19" t="n">
        <x:f>ROUND(E103*'参数'!$M$14,0)</x:f>
        <x:v>119</x:v>
      </x:c>
      <x:c r="J103" s="19" t="n">
        <x:f>ROUND(E103*'参数'!$K$21,0)</x:f>
        <x:v>755</x:v>
      </x:c>
      <x:c r="K103" s="19" t="n">
        <x:f>ROUND(E103*'参数'!$L$21,0)</x:f>
        <x:v>5883</x:v>
      </x:c>
      <x:c r="L103" s="19" t="n">
        <x:f>ROUND(E103*'参数'!$M$21,0)</x:f>
        <x:v>464</x:v>
      </x:c>
      <x:c r="M103" s="22" t="n">
        <x:f>E103/E93-1</x:f>
        <x:v>0.19909502262443435</x:v>
      </x:c>
      <x:c r="N103" s="19" t="n">
        <x:f>ROUND(F103*'参数'!$B$20,0)</x:f>
        <x:v>252</x:v>
      </x:c>
      <x:c r="O103" s="19" t="n">
        <x:f>ROUND(F103*'参数'!$B$21,0)</x:f>
        <x:v>278</x:v>
      </x:c>
    </x:row>
    <x:row r="104" ht="22" customHeight="1">
      <x:c r="A104" s="18" t="n">
        <x:v>45</x:v>
      </x:c>
      <x:c r="B104" s="18" t="str">
        <x:v>神辉</x:v>
      </x:c>
      <x:c r="C104" s="15" t="n">
        <x:f>'参数'!G19</x:f>
        <x:v>1.51</x:v>
      </x:c>
      <x:c r="D104" s="15" t="n">
        <x:f>'参数'!$B$49</x:f>
        <x:v>1.04</x:v>
      </x:c>
      <x:c r="E104" s="18" t="n">
        <x:f>ROUND('参数'!$B$18*'参数'!$B$19^(A104-1)*C104*D104,0)</x:f>
        <x:v>280</x:v>
      </x:c>
      <x:c r="F104" s="18" t="n">
        <x:f>ROUND(E104*'参数'!$K$11,0)</x:f>
        <x:v>280</x:v>
      </x:c>
      <x:c r="G104" s="18" t="n">
        <x:f>ROUND(E104*'参数'!$K$12,0)</x:f>
        <x:v>154</x:v>
      </x:c>
      <x:c r="H104" s="18" t="n">
        <x:f>ROUND(E104*'参数'!$L$14,0)</x:f>
        <x:v>2240</x:v>
      </x:c>
      <x:c r="I104" s="18" t="n">
        <x:f>ROUND(E104*'参数'!$M$14,0)</x:f>
        <x:v>126</x:v>
      </x:c>
      <x:c r="J104" s="18" t="n">
        <x:f>ROUND(E104*'参数'!$K$21,0)</x:f>
        <x:v>798</x:v>
      </x:c>
      <x:c r="K104" s="18" t="n">
        <x:f>ROUND(E104*'参数'!$L$21,0)</x:f>
        <x:v>6216</x:v>
      </x:c>
      <x:c r="L104" s="18" t="n">
        <x:f>ROUND(E104*'参数'!$M$21,0)</x:f>
        <x:v>490</x:v>
      </x:c>
      <x:c r="M104" s="21" t="n">
        <x:f>E104/E94-1</x:f>
        <x:v>0.20171673819742497</x:v>
      </x:c>
      <x:c r="N104" s="18" t="n">
        <x:f>ROUND(F104*'参数'!$B$20,0)</x:f>
        <x:v>266</x:v>
      </x:c>
      <x:c r="O104" s="18" t="n">
        <x:f>ROUND(F104*'参数'!$B$21,0)</x:f>
        <x:v>294</x:v>
      </x:c>
    </x:row>
    <x:row r="105" ht="22" customHeight="1">
      <x:c r="A105" s="19" t="n">
        <x:v>45</x:v>
      </x:c>
      <x:c r="B105" s="19" t="str">
        <x:v>混元</x:v>
      </x:c>
      <x:c r="C105" s="20" t="n">
        <x:f>'参数'!G20</x:f>
        <x:v>1.6</x:v>
      </x:c>
      <x:c r="D105" s="20" t="n">
        <x:f>'参数'!$B$49</x:f>
        <x:v>1.04</x:v>
      </x:c>
      <x:c r="E105" s="19" t="n">
        <x:f>ROUND('参数'!$B$18*'参数'!$B$19^(A105-1)*C105*D105,0)</x:f>
        <x:v>296</x:v>
      </x:c>
      <x:c r="F105" s="19" t="n">
        <x:f>ROUND(E105*'参数'!$K$11,0)</x:f>
        <x:v>296</x:v>
      </x:c>
      <x:c r="G105" s="19" t="n">
        <x:f>ROUND(E105*'参数'!$K$12,0)</x:f>
        <x:v>163</x:v>
      </x:c>
      <x:c r="H105" s="19" t="n">
        <x:f>ROUND(E105*'参数'!$L$14,0)</x:f>
        <x:v>2368</x:v>
      </x:c>
      <x:c r="I105" s="19" t="n">
        <x:f>ROUND(E105*'参数'!$M$14,0)</x:f>
        <x:v>133</x:v>
      </x:c>
      <x:c r="J105" s="19" t="n">
        <x:f>ROUND(E105*'参数'!$K$21,0)</x:f>
        <x:v>844</x:v>
      </x:c>
      <x:c r="K105" s="19" t="n">
        <x:f>ROUND(E105*'参数'!$L$21,0)</x:f>
        <x:v>6571</x:v>
      </x:c>
      <x:c r="L105" s="19" t="n">
        <x:f>ROUND(E105*'参数'!$M$21,0)</x:f>
        <x:v>518</x:v>
      </x:c>
      <x:c r="M105" s="22" t="n">
        <x:f>E105/E95-1</x:f>
        <x:v>0.19838056680161942</x:v>
      </x:c>
      <x:c r="N105" s="19" t="n">
        <x:f>ROUND(F105*'参数'!$B$20,0)</x:f>
        <x:v>281</x:v>
      </x:c>
      <x:c r="O105" s="19" t="n">
        <x:f>ROUND(F105*'参数'!$B$21,0)</x:f>
        <x:v>311</x:v>
      </x:c>
    </x:row>
    <x:row r="106" ht="22" customHeight="1">
      <x:c r="A106" s="18" t="n">
        <x:v>50</x:v>
      </x:c>
      <x:c r="B106" s="18" t="str">
        <x:v>凡品</x:v>
      </x:c>
      <x:c r="C106" s="15" t="n">
        <x:f>'参数'!G11</x:f>
        <x:v>1</x:v>
      </x:c>
      <x:c r="D106" s="15" t="n">
        <x:f>'参数'!$B$49</x:f>
        <x:v>1.04</x:v>
      </x:c>
      <x:c r="E106" s="18" t="n">
        <x:f>ROUND('参数'!$B$18*'参数'!$B$19^(A106-1)*C106*D106,0)</x:f>
        <x:v>222</x:v>
      </x:c>
      <x:c r="F106" s="18" t="n">
        <x:f>ROUND(E106*'参数'!$K$11,0)</x:f>
        <x:v>222</x:v>
      </x:c>
      <x:c r="G106" s="18" t="n">
        <x:f>ROUND(E106*'参数'!$K$12,0)</x:f>
        <x:v>122</x:v>
      </x:c>
      <x:c r="H106" s="18" t="n">
        <x:f>ROUND(E106*'参数'!$L$14,0)</x:f>
        <x:v>1776</x:v>
      </x:c>
      <x:c r="I106" s="18" t="n">
        <x:f>ROUND(E106*'参数'!$M$14,0)</x:f>
        <x:v>100</x:v>
      </x:c>
      <x:c r="J106" s="18" t="n">
        <x:f>ROUND(E106*'参数'!$K$21,0)</x:f>
        <x:v>633</x:v>
      </x:c>
      <x:c r="K106" s="18" t="n">
        <x:f>ROUND(E106*'参数'!$L$21,0)</x:f>
        <x:v>4928</x:v>
      </x:c>
      <x:c r="L106" s="18" t="n">
        <x:f>ROUND(E106*'参数'!$M$21,0)</x:f>
        <x:v>389</x:v>
      </x:c>
      <x:c r="M106" s="21" t="n">
        <x:f>E106/E96-1</x:f>
        <x:v>0.19999999999999996</x:v>
      </x:c>
      <x:c r="N106" s="18" t="n">
        <x:f>ROUND(F106*'参数'!$B$20,0)</x:f>
        <x:v>211</x:v>
      </x:c>
      <x:c r="O106" s="18" t="n">
        <x:f>ROUND(F106*'参数'!$B$21,0)</x:f>
        <x:v>233</x:v>
      </x:c>
    </x:row>
    <x:row r="107" ht="22" customHeight="1">
      <x:c r="A107" s="19" t="n">
        <x:v>50</x:v>
      </x:c>
      <x:c r="B107" s="19" t="str">
        <x:v>良品</x:v>
      </x:c>
      <x:c r="C107" s="20" t="n">
        <x:f>'参数'!G12</x:f>
        <x:v>1.05</x:v>
      </x:c>
      <x:c r="D107" s="20" t="n">
        <x:f>'参数'!$B$49</x:f>
        <x:v>1.04</x:v>
      </x:c>
      <x:c r="E107" s="19" t="n">
        <x:f>ROUND('参数'!$B$18*'参数'!$B$19^(A107-1)*C107*D107,0)</x:f>
        <x:v>233</x:v>
      </x:c>
      <x:c r="F107" s="19" t="n">
        <x:f>ROUND(E107*'参数'!$K$11,0)</x:f>
        <x:v>233</x:v>
      </x:c>
      <x:c r="G107" s="19" t="n">
        <x:f>ROUND(E107*'参数'!$K$12,0)</x:f>
        <x:v>128</x:v>
      </x:c>
      <x:c r="H107" s="19" t="n">
        <x:f>ROUND(E107*'参数'!$L$14,0)</x:f>
        <x:v>1864</x:v>
      </x:c>
      <x:c r="I107" s="19" t="n">
        <x:f>ROUND(E107*'参数'!$M$14,0)</x:f>
        <x:v>105</x:v>
      </x:c>
      <x:c r="J107" s="19" t="n">
        <x:f>ROUND(E107*'参数'!$K$21,0)</x:f>
        <x:v>664</x:v>
      </x:c>
      <x:c r="K107" s="19" t="n">
        <x:f>ROUND(E107*'参数'!$L$21,0)</x:f>
        <x:v>5173</x:v>
      </x:c>
      <x:c r="L107" s="19" t="n">
        <x:f>ROUND(E107*'参数'!$M$21,0)</x:f>
        <x:v>408</x:v>
      </x:c>
      <x:c r="M107" s="22" t="n">
        <x:f>E107/E97-1</x:f>
        <x:v>0.2010309278350515</x:v>
      </x:c>
      <x:c r="N107" s="19" t="n">
        <x:f>ROUND(F107*'参数'!$B$20,0)</x:f>
        <x:v>221</x:v>
      </x:c>
      <x:c r="O107" s="19" t="n">
        <x:f>ROUND(F107*'参数'!$B$21,0)</x:f>
        <x:v>245</x:v>
      </x:c>
    </x:row>
    <x:row r="108" ht="22" customHeight="1">
      <x:c r="A108" s="18" t="n">
        <x:v>50</x:v>
      </x:c>
      <x:c r="B108" s="18" t="str">
        <x:v>珍品</x:v>
      </x:c>
      <x:c r="C108" s="15" t="n">
        <x:f>'参数'!G13</x:f>
        <x:v>1.1</x:v>
      </x:c>
      <x:c r="D108" s="15" t="n">
        <x:f>'参数'!$B$49</x:f>
        <x:v>1.04</x:v>
      </x:c>
      <x:c r="E108" s="18" t="n">
        <x:f>ROUND('参数'!$B$18*'参数'!$B$19^(A108-1)*C108*D108,0)</x:f>
        <x:v>244</x:v>
      </x:c>
      <x:c r="F108" s="18" t="n">
        <x:f>ROUND(E108*'参数'!$K$11,0)</x:f>
        <x:v>244</x:v>
      </x:c>
      <x:c r="G108" s="18" t="n">
        <x:f>ROUND(E108*'参数'!$K$12,0)</x:f>
        <x:v>134</x:v>
      </x:c>
      <x:c r="H108" s="18" t="n">
        <x:f>ROUND(E108*'参数'!$L$14,0)</x:f>
        <x:v>1952</x:v>
      </x:c>
      <x:c r="I108" s="18" t="n">
        <x:f>ROUND(E108*'参数'!$M$14,0)</x:f>
        <x:v>110</x:v>
      </x:c>
      <x:c r="J108" s="18" t="n">
        <x:f>ROUND(E108*'参数'!$K$21,0)</x:f>
        <x:v>695</x:v>
      </x:c>
      <x:c r="K108" s="18" t="n">
        <x:f>ROUND(E108*'参数'!$L$21,0)</x:f>
        <x:v>5417</x:v>
      </x:c>
      <x:c r="L108" s="18" t="n">
        <x:f>ROUND(E108*'参数'!$M$21,0)</x:f>
        <x:v>427</x:v>
      </x:c>
      <x:c r="M108" s="21" t="n">
        <x:f>E108/E98-1</x:f>
        <x:v>0.196078431372549</x:v>
      </x:c>
      <x:c r="N108" s="18" t="n">
        <x:f>ROUND(F108*'参数'!$B$20,0)</x:f>
        <x:v>232</x:v>
      </x:c>
      <x:c r="O108" s="18" t="n">
        <x:f>ROUND(F108*'参数'!$B$21,0)</x:f>
        <x:v>256</x:v>
      </x:c>
    </x:row>
    <x:row r="109" ht="22" customHeight="1">
      <x:c r="A109" s="19" t="n">
        <x:v>50</x:v>
      </x:c>
      <x:c r="B109" s="19" t="str">
        <x:v>传奇</x:v>
      </x:c>
      <x:c r="C109" s="20" t="n">
        <x:f>'参数'!G14</x:f>
        <x:v>1.16</x:v>
      </x:c>
      <x:c r="D109" s="20" t="n">
        <x:f>'参数'!$B$49</x:f>
        <x:v>1.04</x:v>
      </x:c>
      <x:c r="E109" s="19" t="n">
        <x:f>ROUND('参数'!$B$18*'参数'!$B$19^(A109-1)*C109*D109,0)</x:f>
        <x:v>258</x:v>
      </x:c>
      <x:c r="F109" s="19" t="n">
        <x:f>ROUND(E109*'参数'!$K$11,0)</x:f>
        <x:v>258</x:v>
      </x:c>
      <x:c r="G109" s="19" t="n">
        <x:f>ROUND(E109*'参数'!$K$12,0)</x:f>
        <x:v>142</x:v>
      </x:c>
      <x:c r="H109" s="19" t="n">
        <x:f>ROUND(E109*'参数'!$L$14,0)</x:f>
        <x:v>2064</x:v>
      </x:c>
      <x:c r="I109" s="19" t="n">
        <x:f>ROUND(E109*'参数'!$M$14,0)</x:f>
        <x:v>116</x:v>
      </x:c>
      <x:c r="J109" s="19" t="n">
        <x:f>ROUND(E109*'参数'!$K$21,0)</x:f>
        <x:v>735</x:v>
      </x:c>
      <x:c r="K109" s="19" t="n">
        <x:f>ROUND(E109*'参数'!$L$21,0)</x:f>
        <x:v>5728</x:v>
      </x:c>
      <x:c r="L109" s="19" t="n">
        <x:f>ROUND(E109*'参数'!$M$21,0)</x:f>
        <x:v>452</x:v>
      </x:c>
      <x:c r="M109" s="22" t="n">
        <x:f>E109/E99-1</x:f>
        <x:v>0.19999999999999996</x:v>
      </x:c>
      <x:c r="N109" s="19" t="n">
        <x:f>ROUND(F109*'参数'!$B$20,0)</x:f>
        <x:v>245</x:v>
      </x:c>
      <x:c r="O109" s="19" t="n">
        <x:f>ROUND(F109*'参数'!$B$21,0)</x:f>
        <x:v>271</x:v>
      </x:c>
    </x:row>
    <x:row r="110" ht="22" customHeight="1">
      <x:c r="A110" s="18" t="n">
        <x:v>50</x:v>
      </x:c>
      <x:c r="B110" s="18" t="str">
        <x:v>传世</x:v>
      </x:c>
      <x:c r="C110" s="15" t="n">
        <x:f>'参数'!G15</x:f>
        <x:v>1.22</x:v>
      </x:c>
      <x:c r="D110" s="15" t="n">
        <x:f>'参数'!$B$49</x:f>
        <x:v>1.04</x:v>
      </x:c>
      <x:c r="E110" s="18" t="n">
        <x:f>ROUND('参数'!$B$18*'参数'!$B$19^(A110-1)*C110*D110,0)</x:f>
        <x:v>271</x:v>
      </x:c>
      <x:c r="F110" s="18" t="n">
        <x:f>ROUND(E110*'参数'!$K$11,0)</x:f>
        <x:v>271</x:v>
      </x:c>
      <x:c r="G110" s="18" t="n">
        <x:f>ROUND(E110*'参数'!$K$12,0)</x:f>
        <x:v>149</x:v>
      </x:c>
      <x:c r="H110" s="18" t="n">
        <x:f>ROUND(E110*'参数'!$L$14,0)</x:f>
        <x:v>2168</x:v>
      </x:c>
      <x:c r="I110" s="18" t="n">
        <x:f>ROUND(E110*'参数'!$M$14,0)</x:f>
        <x:v>122</x:v>
      </x:c>
      <x:c r="J110" s="18" t="n">
        <x:f>ROUND(E110*'参数'!$K$21,0)</x:f>
        <x:v>772</x:v>
      </x:c>
      <x:c r="K110" s="18" t="n">
        <x:f>ROUND(E110*'参数'!$L$21,0)</x:f>
        <x:v>6016</x:v>
      </x:c>
      <x:c r="L110" s="18" t="n">
        <x:f>ROUND(E110*'参数'!$M$21,0)</x:f>
        <x:v>474</x:v>
      </x:c>
      <x:c r="M110" s="21" t="n">
        <x:f>E110/E100-1</x:f>
        <x:v>0.1991150442477876</x:v>
      </x:c>
      <x:c r="N110" s="18" t="n">
        <x:f>ROUND(F110*'参数'!$B$20,0)</x:f>
        <x:v>257</x:v>
      </x:c>
      <x:c r="O110" s="18" t="n">
        <x:f>ROUND(F110*'参数'!$B$21,0)</x:f>
        <x:v>285</x:v>
      </x:c>
    </x:row>
    <x:row r="111" ht="22" customHeight="1">
      <x:c r="A111" s="19" t="n">
        <x:v>50</x:v>
      </x:c>
      <x:c r="B111" s="19" t="str">
        <x:v>灵蕴</x:v>
      </x:c>
      <x:c r="C111" s="20" t="n">
        <x:f>'参数'!G16</x:f>
        <x:v>1.29</x:v>
      </x:c>
      <x:c r="D111" s="20" t="n">
        <x:f>'参数'!$B$49</x:f>
        <x:v>1.04</x:v>
      </x:c>
      <x:c r="E111" s="19" t="n">
        <x:f>ROUND('参数'!$B$18*'参数'!$B$19^(A111-1)*C111*D111,0)</x:f>
        <x:v>286</x:v>
      </x:c>
      <x:c r="F111" s="19" t="n">
        <x:f>ROUND(E111*'参数'!$K$11,0)</x:f>
        <x:v>286</x:v>
      </x:c>
      <x:c r="G111" s="19" t="n">
        <x:f>ROUND(E111*'参数'!$K$12,0)</x:f>
        <x:v>157</x:v>
      </x:c>
      <x:c r="H111" s="19" t="n">
        <x:f>ROUND(E111*'参数'!$L$14,0)</x:f>
        <x:v>2288</x:v>
      </x:c>
      <x:c r="I111" s="19" t="n">
        <x:f>ROUND(E111*'参数'!$M$14,0)</x:f>
        <x:v>129</x:v>
      </x:c>
      <x:c r="J111" s="19" t="n">
        <x:f>ROUND(E111*'参数'!$K$21,0)</x:f>
        <x:v>815</x:v>
      </x:c>
      <x:c r="K111" s="19" t="n">
        <x:f>ROUND(E111*'参数'!$L$21,0)</x:f>
        <x:v>6349</x:v>
      </x:c>
      <x:c r="L111" s="19" t="n">
        <x:f>ROUND(E111*'参数'!$M$21,0)</x:f>
        <x:v>501</x:v>
      </x:c>
      <x:c r="M111" s="22" t="n">
        <x:f>E111/E101-1</x:f>
        <x:v>0.19665271966527187</x:v>
      </x:c>
      <x:c r="N111" s="19" t="n">
        <x:f>ROUND(F111*'参数'!$B$20,0)</x:f>
        <x:v>272</x:v>
      </x:c>
      <x:c r="O111" s="19" t="n">
        <x:f>ROUND(F111*'参数'!$B$21,0)</x:f>
        <x:v>300</x:v>
      </x:c>
    </x:row>
    <x:row r="112" ht="22" customHeight="1">
      <x:c r="A112" s="18" t="n">
        <x:v>50</x:v>
      </x:c>
      <x:c r="B112" s="18" t="str">
        <x:v>超然</x:v>
      </x:c>
      <x:c r="C112" s="15" t="n">
        <x:f>'参数'!G17</x:f>
        <x:v>1.36</x:v>
      </x:c>
      <x:c r="D112" s="15" t="n">
        <x:f>'参数'!$B$49</x:f>
        <x:v>1.04</x:v>
      </x:c>
      <x:c r="E112" s="18" t="n">
        <x:f>ROUND('参数'!$B$18*'参数'!$B$19^(A112-1)*C112*D112,0)</x:f>
        <x:v>302</x:v>
      </x:c>
      <x:c r="F112" s="18" t="n">
        <x:f>ROUND(E112*'参数'!$K$11,0)</x:f>
        <x:v>302</x:v>
      </x:c>
      <x:c r="G112" s="18" t="n">
        <x:f>ROUND(E112*'参数'!$K$12,0)</x:f>
        <x:v>166</x:v>
      </x:c>
      <x:c r="H112" s="18" t="n">
        <x:f>ROUND(E112*'参数'!$L$14,0)</x:f>
        <x:v>2416</x:v>
      </x:c>
      <x:c r="I112" s="18" t="n">
        <x:f>ROUND(E112*'参数'!$M$14,0)</x:f>
        <x:v>136</x:v>
      </x:c>
      <x:c r="J112" s="18" t="n">
        <x:f>ROUND(E112*'参数'!$K$21,0)</x:f>
        <x:v>861</x:v>
      </x:c>
      <x:c r="K112" s="18" t="n">
        <x:f>ROUND(E112*'参数'!$L$21,0)</x:f>
        <x:v>6704</x:v>
      </x:c>
      <x:c r="L112" s="18" t="n">
        <x:f>ROUND(E112*'参数'!$M$21,0)</x:f>
        <x:v>529</x:v>
      </x:c>
      <x:c r="M112" s="21" t="n">
        <x:f>E112/E102-1</x:f>
        <x:v>0.19841269841269837</x:v>
      </x:c>
      <x:c r="N112" s="18" t="n">
        <x:f>ROUND(F112*'参数'!$B$20,0)</x:f>
        <x:v>287</x:v>
      </x:c>
      <x:c r="O112" s="18" t="n">
        <x:f>ROUND(F112*'参数'!$B$21,0)</x:f>
        <x:v>317</x:v>
      </x:c>
    </x:row>
    <x:row r="113" ht="22" customHeight="1">
      <x:c r="A113" s="19" t="n">
        <x:v>50</x:v>
      </x:c>
      <x:c r="B113" s="19" t="str">
        <x:v>星穹</x:v>
      </x:c>
      <x:c r="C113" s="20" t="n">
        <x:f>'参数'!G18</x:f>
        <x:v>1.43</x:v>
      </x:c>
      <x:c r="D113" s="20" t="n">
        <x:f>'参数'!$B$49</x:f>
        <x:v>1.04</x:v>
      </x:c>
      <x:c r="E113" s="19" t="n">
        <x:f>ROUND('参数'!$B$18*'参数'!$B$19^(A113-1)*C113*D113,0)</x:f>
        <x:v>318</x:v>
      </x:c>
      <x:c r="F113" s="19" t="n">
        <x:f>ROUND(E113*'参数'!$K$11,0)</x:f>
        <x:v>318</x:v>
      </x:c>
      <x:c r="G113" s="19" t="n">
        <x:f>ROUND(E113*'参数'!$K$12,0)</x:f>
        <x:v>175</x:v>
      </x:c>
      <x:c r="H113" s="19" t="n">
        <x:f>ROUND(E113*'参数'!$L$14,0)</x:f>
        <x:v>2544</x:v>
      </x:c>
      <x:c r="I113" s="19" t="n">
        <x:f>ROUND(E113*'参数'!$M$14,0)</x:f>
        <x:v>143</x:v>
      </x:c>
      <x:c r="J113" s="19" t="n">
        <x:f>ROUND(E113*'参数'!$K$21,0)</x:f>
        <x:v>906</x:v>
      </x:c>
      <x:c r="K113" s="19" t="n">
        <x:f>ROUND(E113*'参数'!$L$21,0)</x:f>
        <x:v>7060</x:v>
      </x:c>
      <x:c r="L113" s="19" t="n">
        <x:f>ROUND(E113*'参数'!$M$21,0)</x:f>
        <x:v>557</x:v>
      </x:c>
      <x:c r="M113" s="22" t="n">
        <x:f>E113/E103-1</x:f>
        <x:v>0.19999999999999996</x:v>
      </x:c>
      <x:c r="N113" s="19" t="n">
        <x:f>ROUND(F113*'参数'!$B$20,0)</x:f>
        <x:v>302</x:v>
      </x:c>
      <x:c r="O113" s="19" t="n">
        <x:f>ROUND(F113*'参数'!$B$21,0)</x:f>
        <x:v>334</x:v>
      </x:c>
    </x:row>
    <x:row r="114" ht="22" customHeight="1">
      <x:c r="A114" s="18" t="n">
        <x:v>50</x:v>
      </x:c>
      <x:c r="B114" s="18" t="str">
        <x:v>神辉</x:v>
      </x:c>
      <x:c r="C114" s="15" t="n">
        <x:f>'参数'!G19</x:f>
        <x:v>1.51</x:v>
      </x:c>
      <x:c r="D114" s="15" t="n">
        <x:f>'参数'!$B$49</x:f>
        <x:v>1.04</x:v>
      </x:c>
      <x:c r="E114" s="18" t="n">
        <x:f>ROUND('参数'!$B$18*'参数'!$B$19^(A114-1)*C114*D114,0)</x:f>
        <x:v>335</x:v>
      </x:c>
      <x:c r="F114" s="18" t="n">
        <x:f>ROUND(E114*'参数'!$K$11,0)</x:f>
        <x:v>335</x:v>
      </x:c>
      <x:c r="G114" s="18" t="n">
        <x:f>ROUND(E114*'参数'!$K$12,0)</x:f>
        <x:v>184</x:v>
      </x:c>
      <x:c r="H114" s="18" t="n">
        <x:f>ROUND(E114*'参数'!$L$14,0)</x:f>
        <x:v>2680</x:v>
      </x:c>
      <x:c r="I114" s="18" t="n">
        <x:f>ROUND(E114*'参数'!$M$14,0)</x:f>
        <x:v>151</x:v>
      </x:c>
      <x:c r="J114" s="18" t="n">
        <x:f>ROUND(E114*'参数'!$K$21,0)</x:f>
        <x:v>955</x:v>
      </x:c>
      <x:c r="K114" s="18" t="n">
        <x:f>ROUND(E114*'参数'!$L$21,0)</x:f>
        <x:v>7437</x:v>
      </x:c>
      <x:c r="L114" s="18" t="n">
        <x:f>ROUND(E114*'参数'!$M$21,0)</x:f>
        <x:v>586</x:v>
      </x:c>
      <x:c r="M114" s="21" t="n">
        <x:f>E114/E104-1</x:f>
        <x:v>0.1964285714285714</x:v>
      </x:c>
      <x:c r="N114" s="18" t="n">
        <x:f>ROUND(F114*'参数'!$B$20,0)</x:f>
        <x:v>318</x:v>
      </x:c>
      <x:c r="O114" s="18" t="n">
        <x:f>ROUND(F114*'参数'!$B$21,0)</x:f>
        <x:v>352</x:v>
      </x:c>
    </x:row>
    <x:row r="115" ht="22" customHeight="1">
      <x:c r="A115" s="19" t="n">
        <x:v>50</x:v>
      </x:c>
      <x:c r="B115" s="19" t="str">
        <x:v>混元</x:v>
      </x:c>
      <x:c r="C115" s="20" t="n">
        <x:f>'参数'!G20</x:f>
        <x:v>1.6</x:v>
      </x:c>
      <x:c r="D115" s="20" t="n">
        <x:f>'参数'!$B$49</x:f>
        <x:v>1.04</x:v>
      </x:c>
      <x:c r="E115" s="19" t="n">
        <x:f>ROUND('参数'!$B$18*'参数'!$B$19^(A115-1)*C115*D115,0)</x:f>
        <x:v>355</x:v>
      </x:c>
      <x:c r="F115" s="19" t="n">
        <x:f>ROUND(E115*'参数'!$K$11,0)</x:f>
        <x:v>355</x:v>
      </x:c>
      <x:c r="G115" s="19" t="n">
        <x:f>ROUND(E115*'参数'!$K$12,0)</x:f>
        <x:v>195</x:v>
      </x:c>
      <x:c r="H115" s="19" t="n">
        <x:f>ROUND(E115*'参数'!$L$14,0)</x:f>
        <x:v>2840</x:v>
      </x:c>
      <x:c r="I115" s="19" t="n">
        <x:f>ROUND(E115*'参数'!$M$14,0)</x:f>
        <x:v>160</x:v>
      </x:c>
      <x:c r="J115" s="19" t="n">
        <x:f>ROUND(E115*'参数'!$K$21,0)</x:f>
        <x:v>1012</x:v>
      </x:c>
      <x:c r="K115" s="19" t="n">
        <x:f>ROUND(E115*'参数'!$L$21,0)</x:f>
        <x:v>7881</x:v>
      </x:c>
      <x:c r="L115" s="19" t="n">
        <x:f>ROUND(E115*'参数'!$M$21,0)</x:f>
        <x:v>621</x:v>
      </x:c>
      <x:c r="M115" s="22" t="n">
        <x:f>E115/E105-1</x:f>
        <x:v>0.19932432432432434</x:v>
      </x:c>
      <x:c r="N115" s="19" t="n">
        <x:f>ROUND(F115*'参数'!$B$20,0)</x:f>
        <x:v>337</x:v>
      </x:c>
      <x:c r="O115" s="19" t="n">
        <x:f>ROUND(F115*'参数'!$B$21,0)</x:f>
        <x:v>373</x:v>
      </x:c>
    </x:row>
    <x:row r="116" ht="22" customHeight="1">
      <x:c r="A116" s="18" t="n">
        <x:v>55</x:v>
      </x:c>
      <x:c r="B116" s="18" t="str">
        <x:v>凡品</x:v>
      </x:c>
      <x:c r="C116" s="15" t="n">
        <x:f>'参数'!G11</x:f>
        <x:v>1</x:v>
      </x:c>
      <x:c r="D116" s="15" t="n">
        <x:f>'参数'!$B$49</x:f>
        <x:v>1.04</x:v>
      </x:c>
      <x:c r="E116" s="18" t="n">
        <x:f>ROUND('参数'!$B$18*'参数'!$B$19^(A116-1)*C116*D116,0)</x:f>
        <x:v>266</x:v>
      </x:c>
      <x:c r="F116" s="18" t="n">
        <x:f>ROUND(E116*'参数'!$K$11,0)</x:f>
        <x:v>266</x:v>
      </x:c>
      <x:c r="G116" s="18" t="n">
        <x:f>ROUND(E116*'参数'!$K$12,0)</x:f>
        <x:v>146</x:v>
      </x:c>
      <x:c r="H116" s="18" t="n">
        <x:f>ROUND(E116*'参数'!$L$14,0)</x:f>
        <x:v>2128</x:v>
      </x:c>
      <x:c r="I116" s="18" t="n">
        <x:f>ROUND(E116*'参数'!$M$14,0)</x:f>
        <x:v>120</x:v>
      </x:c>
      <x:c r="J116" s="18" t="n">
        <x:f>ROUND(E116*'参数'!$K$21,0)</x:f>
        <x:v>758</x:v>
      </x:c>
      <x:c r="K116" s="18" t="n">
        <x:f>ROUND(E116*'参数'!$L$21,0)</x:f>
        <x:v>5905</x:v>
      </x:c>
      <x:c r="L116" s="18" t="n">
        <x:f>ROUND(E116*'参数'!$M$21,0)</x:f>
        <x:v>466</x:v>
      </x:c>
      <x:c r="M116" s="21" t="n">
        <x:f>E116/E106-1</x:f>
        <x:v>0.19819819819819817</x:v>
      </x:c>
      <x:c r="N116" s="18" t="n">
        <x:f>ROUND(F116*'参数'!$B$20,0)</x:f>
        <x:v>253</x:v>
      </x:c>
      <x:c r="O116" s="18" t="n">
        <x:f>ROUND(F116*'参数'!$B$21,0)</x:f>
        <x:v>279</x:v>
      </x:c>
    </x:row>
    <x:row r="117" ht="22" customHeight="1">
      <x:c r="A117" s="19" t="n">
        <x:v>55</x:v>
      </x:c>
      <x:c r="B117" s="19" t="str">
        <x:v>良品</x:v>
      </x:c>
      <x:c r="C117" s="20" t="n">
        <x:f>'参数'!G12</x:f>
        <x:v>1.05</x:v>
      </x:c>
      <x:c r="D117" s="20" t="n">
        <x:f>'参数'!$B$49</x:f>
        <x:v>1.04</x:v>
      </x:c>
      <x:c r="E117" s="19" t="n">
        <x:f>ROUND('参数'!$B$18*'参数'!$B$19^(A117-1)*C117*D117,0)</x:f>
        <x:v>280</x:v>
      </x:c>
      <x:c r="F117" s="19" t="n">
        <x:f>ROUND(E117*'参数'!$K$11,0)</x:f>
        <x:v>280</x:v>
      </x:c>
      <x:c r="G117" s="19" t="n">
        <x:f>ROUND(E117*'参数'!$K$12,0)</x:f>
        <x:v>154</x:v>
      </x:c>
      <x:c r="H117" s="19" t="n">
        <x:f>ROUND(E117*'参数'!$L$14,0)</x:f>
        <x:v>2240</x:v>
      </x:c>
      <x:c r="I117" s="19" t="n">
        <x:f>ROUND(E117*'参数'!$M$14,0)</x:f>
        <x:v>126</x:v>
      </x:c>
      <x:c r="J117" s="19" t="n">
        <x:f>ROUND(E117*'参数'!$K$21,0)</x:f>
        <x:v>798</x:v>
      </x:c>
      <x:c r="K117" s="19" t="n">
        <x:f>ROUND(E117*'参数'!$L$21,0)</x:f>
        <x:v>6216</x:v>
      </x:c>
      <x:c r="L117" s="19" t="n">
        <x:f>ROUND(E117*'参数'!$M$21,0)</x:f>
        <x:v>490</x:v>
      </x:c>
      <x:c r="M117" s="22" t="n">
        <x:f>E117/E107-1</x:f>
        <x:v>0.20171673819742497</x:v>
      </x:c>
      <x:c r="N117" s="19" t="n">
        <x:f>ROUND(F117*'参数'!$B$20,0)</x:f>
        <x:v>266</x:v>
      </x:c>
      <x:c r="O117" s="19" t="n">
        <x:f>ROUND(F117*'参数'!$B$21,0)</x:f>
        <x:v>294</x:v>
      </x:c>
    </x:row>
    <x:row r="118" ht="22" customHeight="1">
      <x:c r="A118" s="18" t="n">
        <x:v>55</x:v>
      </x:c>
      <x:c r="B118" s="18" t="str">
        <x:v>珍品</x:v>
      </x:c>
      <x:c r="C118" s="15" t="n">
        <x:f>'参数'!G13</x:f>
        <x:v>1.1</x:v>
      </x:c>
      <x:c r="D118" s="15" t="n">
        <x:f>'参数'!$B$49</x:f>
        <x:v>1.04</x:v>
      </x:c>
      <x:c r="E118" s="18" t="n">
        <x:f>ROUND('参数'!$B$18*'参数'!$B$19^(A118-1)*C118*D118,0)</x:f>
        <x:v>293</x:v>
      </x:c>
      <x:c r="F118" s="18" t="n">
        <x:f>ROUND(E118*'参数'!$K$11,0)</x:f>
        <x:v>293</x:v>
      </x:c>
      <x:c r="G118" s="18" t="n">
        <x:f>ROUND(E118*'参数'!$K$12,0)</x:f>
        <x:v>161</x:v>
      </x:c>
      <x:c r="H118" s="18" t="n">
        <x:f>ROUND(E118*'参数'!$L$14,0)</x:f>
        <x:v>2344</x:v>
      </x:c>
      <x:c r="I118" s="18" t="n">
        <x:f>ROUND(E118*'参数'!$M$14,0)</x:f>
        <x:v>132</x:v>
      </x:c>
      <x:c r="J118" s="18" t="n">
        <x:f>ROUND(E118*'参数'!$K$21,0)</x:f>
        <x:v>835</x:v>
      </x:c>
      <x:c r="K118" s="18" t="n">
        <x:f>ROUND(E118*'参数'!$L$21,0)</x:f>
        <x:v>6505</x:v>
      </x:c>
      <x:c r="L118" s="18" t="n">
        <x:f>ROUND(E118*'参数'!$M$21,0)</x:f>
        <x:v>513</x:v>
      </x:c>
      <x:c r="M118" s="21" t="n">
        <x:f>E118/E108-1</x:f>
        <x:v>0.2008196721311475</x:v>
      </x:c>
      <x:c r="N118" s="18" t="n">
        <x:f>ROUND(F118*'参数'!$B$20,0)</x:f>
        <x:v>278</x:v>
      </x:c>
      <x:c r="O118" s="18" t="n">
        <x:f>ROUND(F118*'参数'!$B$21,0)</x:f>
        <x:v>308</x:v>
      </x:c>
    </x:row>
    <x:row r="119" ht="22" customHeight="1">
      <x:c r="A119" s="19" t="n">
        <x:v>55</x:v>
      </x:c>
      <x:c r="B119" s="19" t="str">
        <x:v>传奇</x:v>
      </x:c>
      <x:c r="C119" s="20" t="n">
        <x:f>'参数'!G14</x:f>
        <x:v>1.16</x:v>
      </x:c>
      <x:c r="D119" s="20" t="n">
        <x:f>'参数'!$B$49</x:f>
        <x:v>1.04</x:v>
      </x:c>
      <x:c r="E119" s="19" t="n">
        <x:f>ROUND('参数'!$B$18*'参数'!$B$19^(A119-1)*C119*D119,0)</x:f>
        <x:v>309</x:v>
      </x:c>
      <x:c r="F119" s="19" t="n">
        <x:f>ROUND(E119*'参数'!$K$11,0)</x:f>
        <x:v>309</x:v>
      </x:c>
      <x:c r="G119" s="19" t="n">
        <x:f>ROUND(E119*'参数'!$K$12,0)</x:f>
        <x:v>170</x:v>
      </x:c>
      <x:c r="H119" s="19" t="n">
        <x:f>ROUND(E119*'参数'!$L$14,0)</x:f>
        <x:v>2472</x:v>
      </x:c>
      <x:c r="I119" s="19" t="n">
        <x:f>ROUND(E119*'参数'!$M$14,0)</x:f>
        <x:v>139</x:v>
      </x:c>
      <x:c r="J119" s="19" t="n">
        <x:f>ROUND(E119*'参数'!$K$21,0)</x:f>
        <x:v>881</x:v>
      </x:c>
      <x:c r="K119" s="19" t="n">
        <x:f>ROUND(E119*'参数'!$L$21,0)</x:f>
        <x:v>6860</x:v>
      </x:c>
      <x:c r="L119" s="19" t="n">
        <x:f>ROUND(E119*'参数'!$M$21,0)</x:f>
        <x:v>541</x:v>
      </x:c>
      <x:c r="M119" s="22" t="n">
        <x:f>E119/E109-1</x:f>
        <x:v>0.19767441860465107</x:v>
      </x:c>
      <x:c r="N119" s="19" t="n">
        <x:f>ROUND(F119*'参数'!$B$20,0)</x:f>
        <x:v>294</x:v>
      </x:c>
      <x:c r="O119" s="19" t="n">
        <x:f>ROUND(F119*'参数'!$B$21,0)</x:f>
        <x:v>324</x:v>
      </x:c>
    </x:row>
    <x:row r="120" ht="22" customHeight="1">
      <x:c r="A120" s="18" t="n">
        <x:v>55</x:v>
      </x:c>
      <x:c r="B120" s="18" t="str">
        <x:v>传世</x:v>
      </x:c>
      <x:c r="C120" s="15" t="n">
        <x:f>'参数'!G15</x:f>
        <x:v>1.22</x:v>
      </x:c>
      <x:c r="D120" s="15" t="n">
        <x:f>'参数'!$B$49</x:f>
        <x:v>1.04</x:v>
      </x:c>
      <x:c r="E120" s="18" t="n">
        <x:f>ROUND('参数'!$B$18*'参数'!$B$19^(A120-1)*C120*D120,0)</x:f>
        <x:v>325</x:v>
      </x:c>
      <x:c r="F120" s="18" t="n">
        <x:f>ROUND(E120*'参数'!$K$11,0)</x:f>
        <x:v>325</x:v>
      </x:c>
      <x:c r="G120" s="18" t="n">
        <x:f>ROUND(E120*'参数'!$K$12,0)</x:f>
        <x:v>179</x:v>
      </x:c>
      <x:c r="H120" s="18" t="n">
        <x:f>ROUND(E120*'参数'!$L$14,0)</x:f>
        <x:v>2600</x:v>
      </x:c>
      <x:c r="I120" s="18" t="n">
        <x:f>ROUND(E120*'参数'!$M$14,0)</x:f>
        <x:v>146</x:v>
      </x:c>
      <x:c r="J120" s="18" t="n">
        <x:f>ROUND(E120*'参数'!$K$21,0)</x:f>
        <x:v>926</x:v>
      </x:c>
      <x:c r="K120" s="18" t="n">
        <x:f>ROUND(E120*'参数'!$L$21,0)</x:f>
        <x:v>7215</x:v>
      </x:c>
      <x:c r="L120" s="18" t="n">
        <x:f>ROUND(E120*'参数'!$M$21,0)</x:f>
        <x:v>569</x:v>
      </x:c>
      <x:c r="M120" s="21" t="n">
        <x:f>E120/E110-1</x:f>
        <x:v>0.19926199261992616</x:v>
      </x:c>
      <x:c r="N120" s="18" t="n">
        <x:f>ROUND(F120*'参数'!$B$20,0)</x:f>
        <x:v>309</x:v>
      </x:c>
      <x:c r="O120" s="18" t="n">
        <x:f>ROUND(F120*'参数'!$B$21,0)</x:f>
        <x:v>341</x:v>
      </x:c>
    </x:row>
    <x:row r="121" ht="22" customHeight="1">
      <x:c r="A121" s="19" t="n">
        <x:v>55</x:v>
      </x:c>
      <x:c r="B121" s="19" t="str">
        <x:v>灵蕴</x:v>
      </x:c>
      <x:c r="C121" s="20" t="n">
        <x:f>'参数'!G16</x:f>
        <x:v>1.29</x:v>
      </x:c>
      <x:c r="D121" s="20" t="n">
        <x:f>'参数'!$B$49</x:f>
        <x:v>1.04</x:v>
      </x:c>
      <x:c r="E121" s="19" t="n">
        <x:f>ROUND('参数'!$B$18*'参数'!$B$19^(A121-1)*C121*D121,0)</x:f>
        <x:v>344</x:v>
      </x:c>
      <x:c r="F121" s="19" t="n">
        <x:f>ROUND(E121*'参数'!$K$11,0)</x:f>
        <x:v>344</x:v>
      </x:c>
      <x:c r="G121" s="19" t="n">
        <x:f>ROUND(E121*'参数'!$K$12,0)</x:f>
        <x:v>189</x:v>
      </x:c>
      <x:c r="H121" s="19" t="n">
        <x:f>ROUND(E121*'参数'!$L$14,0)</x:f>
        <x:v>2752</x:v>
      </x:c>
      <x:c r="I121" s="19" t="n">
        <x:f>ROUND(E121*'参数'!$M$14,0)</x:f>
        <x:v>155</x:v>
      </x:c>
      <x:c r="J121" s="19" t="n">
        <x:f>ROUND(E121*'参数'!$K$21,0)</x:f>
        <x:v>980</x:v>
      </x:c>
      <x:c r="K121" s="19" t="n">
        <x:f>ROUND(E121*'参数'!$L$21,0)</x:f>
        <x:v>7637</x:v>
      </x:c>
      <x:c r="L121" s="19" t="n">
        <x:f>ROUND(E121*'参数'!$M$21,0)</x:f>
        <x:v>602</x:v>
      </x:c>
      <x:c r="M121" s="22" t="n">
        <x:f>E121/E111-1</x:f>
        <x:v>0.2027972027972027</x:v>
      </x:c>
      <x:c r="N121" s="19" t="n">
        <x:f>ROUND(F121*'参数'!$B$20,0)</x:f>
        <x:v>327</x:v>
      </x:c>
      <x:c r="O121" s="19" t="n">
        <x:f>ROUND(F121*'参数'!$B$21,0)</x:f>
        <x:v>361</x:v>
      </x:c>
    </x:row>
    <x:row r="122" ht="22" customHeight="1">
      <x:c r="A122" s="18" t="n">
        <x:v>55</x:v>
      </x:c>
      <x:c r="B122" s="18" t="str">
        <x:v>超然</x:v>
      </x:c>
      <x:c r="C122" s="15" t="n">
        <x:f>'参数'!G17</x:f>
        <x:v>1.36</x:v>
      </x:c>
      <x:c r="D122" s="15" t="n">
        <x:f>'参数'!$B$49</x:f>
        <x:v>1.04</x:v>
      </x:c>
      <x:c r="E122" s="18" t="n">
        <x:f>ROUND('参数'!$B$18*'参数'!$B$19^(A122-1)*C122*D122,0)</x:f>
        <x:v>362</x:v>
      </x:c>
      <x:c r="F122" s="18" t="n">
        <x:f>ROUND(E122*'参数'!$K$11,0)</x:f>
        <x:v>362</x:v>
      </x:c>
      <x:c r="G122" s="18" t="n">
        <x:f>ROUND(E122*'参数'!$K$12,0)</x:f>
        <x:v>199</x:v>
      </x:c>
      <x:c r="H122" s="18" t="n">
        <x:f>ROUND(E122*'参数'!$L$14,0)</x:f>
        <x:v>2896</x:v>
      </x:c>
      <x:c r="I122" s="18" t="n">
        <x:f>ROUND(E122*'参数'!$M$14,0)</x:f>
        <x:v>163</x:v>
      </x:c>
      <x:c r="J122" s="18" t="n">
        <x:f>ROUND(E122*'参数'!$K$21,0)</x:f>
        <x:v>1032</x:v>
      </x:c>
      <x:c r="K122" s="18" t="n">
        <x:f>ROUND(E122*'参数'!$L$21,0)</x:f>
        <x:v>8036</x:v>
      </x:c>
      <x:c r="L122" s="18" t="n">
        <x:f>ROUND(E122*'参数'!$M$21,0)</x:f>
        <x:v>634</x:v>
      </x:c>
      <x:c r="M122" s="21" t="n">
        <x:f>E122/E112-1</x:f>
        <x:v>0.19867549668874163</x:v>
      </x:c>
      <x:c r="N122" s="18" t="n">
        <x:f>ROUND(F122*'参数'!$B$20,0)</x:f>
        <x:v>344</x:v>
      </x:c>
      <x:c r="O122" s="18" t="n">
        <x:f>ROUND(F122*'参数'!$B$21,0)</x:f>
        <x:v>380</x:v>
      </x:c>
    </x:row>
    <x:row r="123" ht="22" customHeight="1">
      <x:c r="A123" s="19" t="n">
        <x:v>55</x:v>
      </x:c>
      <x:c r="B123" s="19" t="str">
        <x:v>星穹</x:v>
      </x:c>
      <x:c r="C123" s="20" t="n">
        <x:f>'参数'!G18</x:f>
        <x:v>1.43</x:v>
      </x:c>
      <x:c r="D123" s="20" t="n">
        <x:f>'参数'!$B$49</x:f>
        <x:v>1.04</x:v>
      </x:c>
      <x:c r="E123" s="19" t="n">
        <x:f>ROUND('参数'!$B$18*'参数'!$B$19^(A123-1)*C123*D123,0)</x:f>
        <x:v>381</x:v>
      </x:c>
      <x:c r="F123" s="19" t="n">
        <x:f>ROUND(E123*'参数'!$K$11,0)</x:f>
        <x:v>381</x:v>
      </x:c>
      <x:c r="G123" s="19" t="n">
        <x:f>ROUND(E123*'参数'!$K$12,0)</x:f>
        <x:v>210</x:v>
      </x:c>
      <x:c r="H123" s="19" t="n">
        <x:f>ROUND(E123*'参数'!$L$14,0)</x:f>
        <x:v>3048</x:v>
      </x:c>
      <x:c r="I123" s="19" t="n">
        <x:f>ROUND(E123*'参数'!$M$14,0)</x:f>
        <x:v>171</x:v>
      </x:c>
      <x:c r="J123" s="19" t="n">
        <x:f>ROUND(E123*'参数'!$K$21,0)</x:f>
        <x:v>1086</x:v>
      </x:c>
      <x:c r="K123" s="19" t="n">
        <x:f>ROUND(E123*'参数'!$L$21,0)</x:f>
        <x:v>8458</x:v>
      </x:c>
      <x:c r="L123" s="19" t="n">
        <x:f>ROUND(E123*'参数'!$M$21,0)</x:f>
        <x:v>667</x:v>
      </x:c>
      <x:c r="M123" s="22" t="n">
        <x:f>E123/E113-1</x:f>
        <x:v>0.19811320754716988</x:v>
      </x:c>
      <x:c r="N123" s="19" t="n">
        <x:f>ROUND(F123*'参数'!$B$20,0)</x:f>
        <x:v>362</x:v>
      </x:c>
      <x:c r="O123" s="19" t="n">
        <x:f>ROUND(F123*'参数'!$B$21,0)</x:f>
        <x:v>400</x:v>
      </x:c>
    </x:row>
    <x:row r="124" ht="22" customHeight="1">
      <x:c r="A124" s="18" t="n">
        <x:v>55</x:v>
      </x:c>
      <x:c r="B124" s="18" t="str">
        <x:v>神辉</x:v>
      </x:c>
      <x:c r="C124" s="15" t="n">
        <x:f>'参数'!G19</x:f>
        <x:v>1.51</x:v>
      </x:c>
      <x:c r="D124" s="15" t="n">
        <x:f>'参数'!$B$49</x:f>
        <x:v>1.04</x:v>
      </x:c>
      <x:c r="E124" s="18" t="n">
        <x:f>ROUND('参数'!$B$18*'参数'!$B$19^(A124-1)*C124*D124,0)</x:f>
        <x:v>402</x:v>
      </x:c>
      <x:c r="F124" s="18" t="n">
        <x:f>ROUND(E124*'参数'!$K$11,0)</x:f>
        <x:v>402</x:v>
      </x:c>
      <x:c r="G124" s="18" t="n">
        <x:f>ROUND(E124*'参数'!$K$12,0)</x:f>
        <x:v>221</x:v>
      </x:c>
      <x:c r="H124" s="18" t="n">
        <x:f>ROUND(E124*'参数'!$L$14,0)</x:f>
        <x:v>3216</x:v>
      </x:c>
      <x:c r="I124" s="18" t="n">
        <x:f>ROUND(E124*'参数'!$M$14,0)</x:f>
        <x:v>181</x:v>
      </x:c>
      <x:c r="J124" s="18" t="n">
        <x:f>ROUND(E124*'参数'!$K$21,0)</x:f>
        <x:v>1146</x:v>
      </x:c>
      <x:c r="K124" s="18" t="n">
        <x:f>ROUND(E124*'参数'!$L$21,0)</x:f>
        <x:v>8924</x:v>
      </x:c>
      <x:c r="L124" s="18" t="n">
        <x:f>ROUND(E124*'参数'!$M$21,0)</x:f>
        <x:v>704</x:v>
      </x:c>
      <x:c r="M124" s="21" t="n">
        <x:f>E124/E114-1</x:f>
        <x:v>0.19999999999999996</x:v>
      </x:c>
      <x:c r="N124" s="18" t="n">
        <x:f>ROUND(F124*'参数'!$B$20,0)</x:f>
        <x:v>382</x:v>
      </x:c>
      <x:c r="O124" s="18" t="n">
        <x:f>ROUND(F124*'参数'!$B$21,0)</x:f>
        <x:v>422</x:v>
      </x:c>
    </x:row>
    <x:row r="125" ht="22" customHeight="1">
      <x:c r="A125" s="19" t="n">
        <x:v>55</x:v>
      </x:c>
      <x:c r="B125" s="19" t="str">
        <x:v>混元</x:v>
      </x:c>
      <x:c r="C125" s="20" t="n">
        <x:f>'参数'!G20</x:f>
        <x:v>1.6</x:v>
      </x:c>
      <x:c r="D125" s="20" t="n">
        <x:f>'参数'!$B$49</x:f>
        <x:v>1.04</x:v>
      </x:c>
      <x:c r="E125" s="19" t="n">
        <x:f>ROUND('参数'!$B$18*'参数'!$B$19^(A125-1)*C125*D125,0)</x:f>
        <x:v>426</x:v>
      </x:c>
      <x:c r="F125" s="19" t="n">
        <x:f>ROUND(E125*'参数'!$K$11,0)</x:f>
        <x:v>426</x:v>
      </x:c>
      <x:c r="G125" s="19" t="n">
        <x:f>ROUND(E125*'参数'!$K$12,0)</x:f>
        <x:v>234</x:v>
      </x:c>
      <x:c r="H125" s="19" t="n">
        <x:f>ROUND(E125*'参数'!$L$14,0)</x:f>
        <x:v>3408</x:v>
      </x:c>
      <x:c r="I125" s="19" t="n">
        <x:f>ROUND(E125*'参数'!$M$14,0)</x:f>
        <x:v>192</x:v>
      </x:c>
      <x:c r="J125" s="19" t="n">
        <x:f>ROUND(E125*'参数'!$K$21,0)</x:f>
        <x:v>1214</x:v>
      </x:c>
      <x:c r="K125" s="19" t="n">
        <x:f>ROUND(E125*'参数'!$L$21,0)</x:f>
        <x:v>9457</x:v>
      </x:c>
      <x:c r="L125" s="19" t="n">
        <x:f>ROUND(E125*'参数'!$M$21,0)</x:f>
        <x:v>746</x:v>
      </x:c>
      <x:c r="M125" s="22" t="n">
        <x:f>E125/E115-1</x:f>
        <x:v>0.19999999999999996</x:v>
      </x:c>
      <x:c r="N125" s="19" t="n">
        <x:f>ROUND(F125*'参数'!$B$20,0)</x:f>
        <x:v>405</x:v>
      </x:c>
      <x:c r="O125" s="19" t="n">
        <x:f>ROUND(F125*'参数'!$B$21,0)</x:f>
        <x:v>447</x:v>
      </x:c>
    </x:row>
    <x:row r="126" ht="22" customHeight="1">
      <x:c r="A126" s="18" t="n">
        <x:v>60</x:v>
      </x:c>
      <x:c r="B126" s="18" t="str">
        <x:v>凡品</x:v>
      </x:c>
      <x:c r="C126" s="15" t="n">
        <x:f>'参数'!G11</x:f>
        <x:v>1</x:v>
      </x:c>
      <x:c r="D126" s="15" t="n">
        <x:f>'参数'!$B$49</x:f>
        <x:v>1.04</x:v>
      </x:c>
      <x:c r="E126" s="18" t="n">
        <x:f>ROUND('参数'!$B$18*'参数'!$B$19^(A126-1)*C126*D126,0)</x:f>
        <x:v>319</x:v>
      </x:c>
      <x:c r="F126" s="18" t="n">
        <x:f>ROUND(E126*'参数'!$K$11,0)</x:f>
        <x:v>319</x:v>
      </x:c>
      <x:c r="G126" s="18" t="n">
        <x:f>ROUND(E126*'参数'!$K$12,0)</x:f>
        <x:v>175</x:v>
      </x:c>
      <x:c r="H126" s="18" t="n">
        <x:f>ROUND(E126*'参数'!$L$14,0)</x:f>
        <x:v>2552</x:v>
      </x:c>
      <x:c r="I126" s="18" t="n">
        <x:f>ROUND(E126*'参数'!$M$14,0)</x:f>
        <x:v>144</x:v>
      </x:c>
      <x:c r="J126" s="18" t="n">
        <x:f>ROUND(E126*'参数'!$K$21,0)</x:f>
        <x:v>909</x:v>
      </x:c>
      <x:c r="K126" s="18" t="n">
        <x:f>ROUND(E126*'参数'!$L$21,0)</x:f>
        <x:v>7082</x:v>
      </x:c>
      <x:c r="L126" s="18" t="n">
        <x:f>ROUND(E126*'参数'!$M$21,0)</x:f>
        <x:v>558</x:v>
      </x:c>
      <x:c r="M126" s="21" t="n">
        <x:f>E126/E116-1</x:f>
        <x:v>0.1992481203007519</x:v>
      </x:c>
      <x:c r="N126" s="18" t="n">
        <x:f>ROUND(F126*'参数'!$B$20,0)</x:f>
        <x:v>303</x:v>
      </x:c>
      <x:c r="O126" s="18" t="n">
        <x:f>ROUND(F126*'参数'!$B$21,0)</x:f>
        <x:v>335</x:v>
      </x:c>
    </x:row>
    <x:row r="127" ht="22" customHeight="1">
      <x:c r="A127" s="19" t="n">
        <x:v>60</x:v>
      </x:c>
      <x:c r="B127" s="19" t="str">
        <x:v>良品</x:v>
      </x:c>
      <x:c r="C127" s="20" t="n">
        <x:f>'参数'!G12</x:f>
        <x:v>1.05</x:v>
      </x:c>
      <x:c r="D127" s="20" t="n">
        <x:f>'参数'!$B$49</x:f>
        <x:v>1.04</x:v>
      </x:c>
      <x:c r="E127" s="19" t="n">
        <x:f>ROUND('参数'!$B$18*'参数'!$B$19^(A127-1)*C127*D127,0)</x:f>
        <x:v>335</x:v>
      </x:c>
      <x:c r="F127" s="19" t="n">
        <x:f>ROUND(E127*'参数'!$K$11,0)</x:f>
        <x:v>335</x:v>
      </x:c>
      <x:c r="G127" s="19" t="n">
        <x:f>ROUND(E127*'参数'!$K$12,0)</x:f>
        <x:v>184</x:v>
      </x:c>
      <x:c r="H127" s="19" t="n">
        <x:f>ROUND(E127*'参数'!$L$14,0)</x:f>
        <x:v>2680</x:v>
      </x:c>
      <x:c r="I127" s="19" t="n">
        <x:f>ROUND(E127*'参数'!$M$14,0)</x:f>
        <x:v>151</x:v>
      </x:c>
      <x:c r="J127" s="19" t="n">
        <x:f>ROUND(E127*'参数'!$K$21,0)</x:f>
        <x:v>955</x:v>
      </x:c>
      <x:c r="K127" s="19" t="n">
        <x:f>ROUND(E127*'参数'!$L$21,0)</x:f>
        <x:v>7437</x:v>
      </x:c>
      <x:c r="L127" s="19" t="n">
        <x:f>ROUND(E127*'参数'!$M$21,0)</x:f>
        <x:v>586</x:v>
      </x:c>
      <x:c r="M127" s="22" t="n">
        <x:f>E127/E117-1</x:f>
        <x:v>0.1964285714285714</x:v>
      </x:c>
      <x:c r="N127" s="19" t="n">
        <x:f>ROUND(F127*'参数'!$B$20,0)</x:f>
        <x:v>318</x:v>
      </x:c>
      <x:c r="O127" s="19" t="n">
        <x:f>ROUND(F127*'参数'!$B$21,0)</x:f>
        <x:v>352</x:v>
      </x:c>
    </x:row>
    <x:row r="128" ht="22" customHeight="1">
      <x:c r="A128" s="18" t="n">
        <x:v>60</x:v>
      </x:c>
      <x:c r="B128" s="18" t="str">
        <x:v>珍品</x:v>
      </x:c>
      <x:c r="C128" s="15" t="n">
        <x:f>'参数'!G13</x:f>
        <x:v>1.1</x:v>
      </x:c>
      <x:c r="D128" s="15" t="n">
        <x:f>'参数'!$B$49</x:f>
        <x:v>1.04</x:v>
      </x:c>
      <x:c r="E128" s="18" t="n">
        <x:f>ROUND('参数'!$B$18*'参数'!$B$19^(A128-1)*C128*D128,0)</x:f>
        <x:v>351</x:v>
      </x:c>
      <x:c r="F128" s="18" t="n">
        <x:f>ROUND(E128*'参数'!$K$11,0)</x:f>
        <x:v>351</x:v>
      </x:c>
      <x:c r="G128" s="18" t="n">
        <x:f>ROUND(E128*'参数'!$K$12,0)</x:f>
        <x:v>193</x:v>
      </x:c>
      <x:c r="H128" s="18" t="n">
        <x:f>ROUND(E128*'参数'!$L$14,0)</x:f>
        <x:v>2808</x:v>
      </x:c>
      <x:c r="I128" s="18" t="n">
        <x:f>ROUND(E128*'参数'!$M$14,0)</x:f>
        <x:v>158</x:v>
      </x:c>
      <x:c r="J128" s="18" t="n">
        <x:f>ROUND(E128*'参数'!$K$21,0)</x:f>
        <x:v>1000</x:v>
      </x:c>
      <x:c r="K128" s="18" t="n">
        <x:f>ROUND(E128*'参数'!$L$21,0)</x:f>
        <x:v>7792</x:v>
      </x:c>
      <x:c r="L128" s="18" t="n">
        <x:f>ROUND(E128*'参数'!$M$21,0)</x:f>
        <x:v>614</x:v>
      </x:c>
      <x:c r="M128" s="21" t="n">
        <x:f>E128/E118-1</x:f>
        <x:v>0.1979522184300342</x:v>
      </x:c>
      <x:c r="N128" s="18" t="n">
        <x:f>ROUND(F128*'参数'!$B$20,0)</x:f>
        <x:v>333</x:v>
      </x:c>
      <x:c r="O128" s="18" t="n">
        <x:f>ROUND(F128*'参数'!$B$21,0)</x:f>
        <x:v>369</x:v>
      </x:c>
    </x:row>
    <x:row r="129" ht="22" customHeight="1">
      <x:c r="A129" s="19" t="n">
        <x:v>60</x:v>
      </x:c>
      <x:c r="B129" s="19" t="str">
        <x:v>传奇</x:v>
      </x:c>
      <x:c r="C129" s="20" t="n">
        <x:f>'参数'!G14</x:f>
        <x:v>1.16</x:v>
      </x:c>
      <x:c r="D129" s="20" t="n">
        <x:f>'参数'!$B$49</x:f>
        <x:v>1.04</x:v>
      </x:c>
      <x:c r="E129" s="19" t="n">
        <x:f>ROUND('参数'!$B$18*'参数'!$B$19^(A129-1)*C129*D129,0)</x:f>
        <x:v>370</x:v>
      </x:c>
      <x:c r="F129" s="19" t="n">
        <x:f>ROUND(E129*'参数'!$K$11,0)</x:f>
        <x:v>370</x:v>
      </x:c>
      <x:c r="G129" s="19" t="n">
        <x:f>ROUND(E129*'参数'!$K$12,0)</x:f>
        <x:v>204</x:v>
      </x:c>
      <x:c r="H129" s="19" t="n">
        <x:f>ROUND(E129*'参数'!$L$14,0)</x:f>
        <x:v>2960</x:v>
      </x:c>
      <x:c r="I129" s="19" t="n">
        <x:f>ROUND(E129*'参数'!$M$14,0)</x:f>
        <x:v>167</x:v>
      </x:c>
      <x:c r="J129" s="19" t="n">
        <x:f>ROUND(E129*'参数'!$K$21,0)</x:f>
        <x:v>1055</x:v>
      </x:c>
      <x:c r="K129" s="19" t="n">
        <x:f>ROUND(E129*'参数'!$L$21,0)</x:f>
        <x:v>8214</x:v>
      </x:c>
      <x:c r="L129" s="19" t="n">
        <x:f>ROUND(E129*'参数'!$M$21,0)</x:f>
        <x:v>648</x:v>
      </x:c>
      <x:c r="M129" s="22" t="n">
        <x:f>E129/E119-1</x:f>
        <x:v>0.19741100323624594</x:v>
      </x:c>
      <x:c r="N129" s="19" t="n">
        <x:f>ROUND(F129*'参数'!$B$20,0)</x:f>
        <x:v>352</x:v>
      </x:c>
      <x:c r="O129" s="19" t="n">
        <x:f>ROUND(F129*'参数'!$B$21,0)</x:f>
        <x:v>389</x:v>
      </x:c>
    </x:row>
    <x:row r="130" ht="22" customHeight="1">
      <x:c r="A130" s="18" t="n">
        <x:v>60</x:v>
      </x:c>
      <x:c r="B130" s="18" t="str">
        <x:v>传世</x:v>
      </x:c>
      <x:c r="C130" s="15" t="n">
        <x:f>'参数'!G15</x:f>
        <x:v>1.22</x:v>
      </x:c>
      <x:c r="D130" s="15" t="n">
        <x:f>'参数'!$B$49</x:f>
        <x:v>1.04</x:v>
      </x:c>
      <x:c r="E130" s="18" t="n">
        <x:f>ROUND('参数'!$B$18*'参数'!$B$19^(A130-1)*C130*D130,0)</x:f>
        <x:v>390</x:v>
      </x:c>
      <x:c r="F130" s="18" t="n">
        <x:f>ROUND(E130*'参数'!$K$11,0)</x:f>
        <x:v>390</x:v>
      </x:c>
      <x:c r="G130" s="18" t="n">
        <x:f>ROUND(E130*'参数'!$K$12,0)</x:f>
        <x:v>215</x:v>
      </x:c>
      <x:c r="H130" s="18" t="n">
        <x:f>ROUND(E130*'参数'!$L$14,0)</x:f>
        <x:v>3120</x:v>
      </x:c>
      <x:c r="I130" s="18" t="n">
        <x:f>ROUND(E130*'参数'!$M$14,0)</x:f>
        <x:v>176</x:v>
      </x:c>
      <x:c r="J130" s="18" t="n">
        <x:f>ROUND(E130*'参数'!$K$21,0)</x:f>
        <x:v>1112</x:v>
      </x:c>
      <x:c r="K130" s="18" t="n">
        <x:f>ROUND(E130*'参数'!$L$21,0)</x:f>
        <x:v>8658</x:v>
      </x:c>
      <x:c r="L130" s="18" t="n">
        <x:f>ROUND(E130*'参数'!$M$21,0)</x:f>
        <x:v>683</x:v>
      </x:c>
      <x:c r="M130" s="21" t="n">
        <x:f>E130/E120-1</x:f>
        <x:v>0.19999999999999996</x:v>
      </x:c>
      <x:c r="N130" s="18" t="n">
        <x:f>ROUND(F130*'参数'!$B$20,0)</x:f>
        <x:v>371</x:v>
      </x:c>
      <x:c r="O130" s="18" t="n">
        <x:f>ROUND(F130*'参数'!$B$21,0)</x:f>
        <x:v>410</x:v>
      </x:c>
    </x:row>
    <x:row r="131" ht="22" customHeight="1">
      <x:c r="A131" s="19" t="n">
        <x:v>60</x:v>
      </x:c>
      <x:c r="B131" s="19" t="str">
        <x:v>灵蕴</x:v>
      </x:c>
      <x:c r="C131" s="20" t="n">
        <x:f>'参数'!G16</x:f>
        <x:v>1.29</x:v>
      </x:c>
      <x:c r="D131" s="20" t="n">
        <x:f>'参数'!$B$49</x:f>
        <x:v>1.04</x:v>
      </x:c>
      <x:c r="E131" s="19" t="n">
        <x:f>ROUND('参数'!$B$18*'参数'!$B$19^(A131-1)*C131*D131,0)</x:f>
        <x:v>412</x:v>
      </x:c>
      <x:c r="F131" s="19" t="n">
        <x:f>ROUND(E131*'参数'!$K$11,0)</x:f>
        <x:v>412</x:v>
      </x:c>
      <x:c r="G131" s="19" t="n">
        <x:f>ROUND(E131*'参数'!$K$12,0)</x:f>
        <x:v>227</x:v>
      </x:c>
      <x:c r="H131" s="19" t="n">
        <x:f>ROUND(E131*'参数'!$L$14,0)</x:f>
        <x:v>3296</x:v>
      </x:c>
      <x:c r="I131" s="19" t="n">
        <x:f>ROUND(E131*'参数'!$M$14,0)</x:f>
        <x:v>185</x:v>
      </x:c>
      <x:c r="J131" s="19" t="n">
        <x:f>ROUND(E131*'参数'!$K$21,0)</x:f>
        <x:v>1174</x:v>
      </x:c>
      <x:c r="K131" s="19" t="n">
        <x:f>ROUND(E131*'参数'!$L$21,0)</x:f>
        <x:v>9146</x:v>
      </x:c>
      <x:c r="L131" s="19" t="n">
        <x:f>ROUND(E131*'参数'!$M$21,0)</x:f>
        <x:v>721</x:v>
      </x:c>
      <x:c r="M131" s="22" t="n">
        <x:f>E131/E121-1</x:f>
        <x:v>0.19767441860465107</x:v>
      </x:c>
      <x:c r="N131" s="19" t="n">
        <x:f>ROUND(F131*'参数'!$B$20,0)</x:f>
        <x:v>391</x:v>
      </x:c>
      <x:c r="O131" s="19" t="n">
        <x:f>ROUND(F131*'参数'!$B$21,0)</x:f>
        <x:v>433</x:v>
      </x:c>
    </x:row>
    <x:row r="132" ht="22" customHeight="1">
      <x:c r="A132" s="18" t="n">
        <x:v>60</x:v>
      </x:c>
      <x:c r="B132" s="18" t="str">
        <x:v>超然</x:v>
      </x:c>
      <x:c r="C132" s="15" t="n">
        <x:f>'参数'!G17</x:f>
        <x:v>1.36</x:v>
      </x:c>
      <x:c r="D132" s="15" t="n">
        <x:f>'参数'!$B$49</x:f>
        <x:v>1.04</x:v>
      </x:c>
      <x:c r="E132" s="18" t="n">
        <x:f>ROUND('参数'!$B$18*'参数'!$B$19^(A132-1)*C132*D132,0)</x:f>
        <x:v>434</x:v>
      </x:c>
      <x:c r="F132" s="18" t="n">
        <x:f>ROUND(E132*'参数'!$K$11,0)</x:f>
        <x:v>434</x:v>
      </x:c>
      <x:c r="G132" s="18" t="n">
        <x:f>ROUND(E132*'参数'!$K$12,0)</x:f>
        <x:v>239</x:v>
      </x:c>
      <x:c r="H132" s="18" t="n">
        <x:f>ROUND(E132*'参数'!$L$14,0)</x:f>
        <x:v>3472</x:v>
      </x:c>
      <x:c r="I132" s="18" t="n">
        <x:f>ROUND(E132*'参数'!$M$14,0)</x:f>
        <x:v>195</x:v>
      </x:c>
      <x:c r="J132" s="18" t="n">
        <x:f>ROUND(E132*'参数'!$K$21,0)</x:f>
        <x:v>1237</x:v>
      </x:c>
      <x:c r="K132" s="18" t="n">
        <x:f>ROUND(E132*'参数'!$L$21,0)</x:f>
        <x:v>9635</x:v>
      </x:c>
      <x:c r="L132" s="18" t="n">
        <x:f>ROUND(E132*'参数'!$M$21,0)</x:f>
        <x:v>760</x:v>
      </x:c>
      <x:c r="M132" s="21" t="n">
        <x:f>E132/E122-1</x:f>
        <x:v>0.19889502762430933</x:v>
      </x:c>
      <x:c r="N132" s="18" t="n">
        <x:f>ROUND(F132*'参数'!$B$20,0)</x:f>
        <x:v>412</x:v>
      </x:c>
      <x:c r="O132" s="18" t="n">
        <x:f>ROUND(F132*'参数'!$B$21,0)</x:f>
        <x:v>456</x:v>
      </x:c>
    </x:row>
    <x:row r="133" ht="22" customHeight="1">
      <x:c r="A133" s="19" t="n">
        <x:v>60</x:v>
      </x:c>
      <x:c r="B133" s="19" t="str">
        <x:v>星穹</x:v>
      </x:c>
      <x:c r="C133" s="20" t="n">
        <x:f>'参数'!G18</x:f>
        <x:v>1.43</x:v>
      </x:c>
      <x:c r="D133" s="20" t="n">
        <x:f>'参数'!$B$49</x:f>
        <x:v>1.04</x:v>
      </x:c>
      <x:c r="E133" s="19" t="n">
        <x:f>ROUND('参数'!$B$18*'参数'!$B$19^(A133-1)*C133*D133,0)</x:f>
        <x:v>457</x:v>
      </x:c>
      <x:c r="F133" s="19" t="n">
        <x:f>ROUND(E133*'参数'!$K$11,0)</x:f>
        <x:v>457</x:v>
      </x:c>
      <x:c r="G133" s="19" t="n">
        <x:f>ROUND(E133*'参数'!$K$12,0)</x:f>
        <x:v>251</x:v>
      </x:c>
      <x:c r="H133" s="19" t="n">
        <x:f>ROUND(E133*'参数'!$L$14,0)</x:f>
        <x:v>3656</x:v>
      </x:c>
      <x:c r="I133" s="19" t="n">
        <x:f>ROUND(E133*'参数'!$M$14,0)</x:f>
        <x:v>206</x:v>
      </x:c>
      <x:c r="J133" s="19" t="n">
        <x:f>ROUND(E133*'参数'!$K$21,0)</x:f>
        <x:v>1302</x:v>
      </x:c>
      <x:c r="K133" s="19" t="n">
        <x:f>ROUND(E133*'参数'!$L$21,0)</x:f>
        <x:v>10145</x:v>
      </x:c>
      <x:c r="L133" s="19" t="n">
        <x:f>ROUND(E133*'参数'!$M$21,0)</x:f>
        <x:v>800</x:v>
      </x:c>
      <x:c r="M133" s="22" t="n">
        <x:f>E133/E123-1</x:f>
        <x:v>0.19947506561679784</x:v>
      </x:c>
      <x:c r="N133" s="19" t="n">
        <x:f>ROUND(F133*'参数'!$B$20,0)</x:f>
        <x:v>434</x:v>
      </x:c>
      <x:c r="O133" s="19" t="n">
        <x:f>ROUND(F133*'参数'!$B$21,0)</x:f>
        <x:v>480</x:v>
      </x:c>
    </x:row>
    <x:row r="134" ht="22" customHeight="1">
      <x:c r="A134" s="18" t="n">
        <x:v>60</x:v>
      </x:c>
      <x:c r="B134" s="18" t="str">
        <x:v>神辉</x:v>
      </x:c>
      <x:c r="C134" s="15" t="n">
        <x:f>'参数'!G19</x:f>
        <x:v>1.51</x:v>
      </x:c>
      <x:c r="D134" s="15" t="n">
        <x:f>'参数'!$B$49</x:f>
        <x:v>1.04</x:v>
      </x:c>
      <x:c r="E134" s="18" t="n">
        <x:f>ROUND('参数'!$B$18*'参数'!$B$19^(A134-1)*C134*D134,0)</x:f>
        <x:v>482</x:v>
      </x:c>
      <x:c r="F134" s="18" t="n">
        <x:f>ROUND(E134*'参数'!$K$11,0)</x:f>
        <x:v>482</x:v>
      </x:c>
      <x:c r="G134" s="18" t="n">
        <x:f>ROUND(E134*'参数'!$K$12,0)</x:f>
        <x:v>265</x:v>
      </x:c>
      <x:c r="H134" s="18" t="n">
        <x:f>ROUND(E134*'参数'!$L$14,0)</x:f>
        <x:v>3856</x:v>
      </x:c>
      <x:c r="I134" s="18" t="n">
        <x:f>ROUND(E134*'参数'!$M$14,0)</x:f>
        <x:v>217</x:v>
      </x:c>
      <x:c r="J134" s="18" t="n">
        <x:f>ROUND(E134*'参数'!$K$21,0)</x:f>
        <x:v>1374</x:v>
      </x:c>
      <x:c r="K134" s="18" t="n">
        <x:f>ROUND(E134*'参数'!$L$21,0)</x:f>
        <x:v>10700</x:v>
      </x:c>
      <x:c r="L134" s="18" t="n">
        <x:f>ROUND(E134*'参数'!$M$21,0)</x:f>
        <x:v>844</x:v>
      </x:c>
      <x:c r="M134" s="21" t="n">
        <x:f>E134/E124-1</x:f>
        <x:v>0.1990049751243781</x:v>
      </x:c>
      <x:c r="N134" s="18" t="n">
        <x:f>ROUND(F134*'参数'!$B$20,0)</x:f>
        <x:v>458</x:v>
      </x:c>
      <x:c r="O134" s="18" t="n">
        <x:f>ROUND(F134*'参数'!$B$21,0)</x:f>
        <x:v>506</x:v>
      </x:c>
    </x:row>
    <x:row r="135" ht="22" customHeight="1">
      <x:c r="A135" s="19" t="n">
        <x:v>60</x:v>
      </x:c>
      <x:c r="B135" s="19" t="str">
        <x:v>混元</x:v>
      </x:c>
      <x:c r="C135" s="20" t="n">
        <x:f>'参数'!G20</x:f>
        <x:v>1.6</x:v>
      </x:c>
      <x:c r="D135" s="20" t="n">
        <x:f>'参数'!$B$49</x:f>
        <x:v>1.04</x:v>
      </x:c>
      <x:c r="E135" s="19" t="n">
        <x:f>ROUND('参数'!$B$18*'参数'!$B$19^(A135-1)*C135*D135,0)</x:f>
        <x:v>511</x:v>
      </x:c>
      <x:c r="F135" s="19" t="n">
        <x:f>ROUND(E135*'参数'!$K$11,0)</x:f>
        <x:v>511</x:v>
      </x:c>
      <x:c r="G135" s="19" t="n">
        <x:f>ROUND(E135*'参数'!$K$12,0)</x:f>
        <x:v>281</x:v>
      </x:c>
      <x:c r="H135" s="19" t="n">
        <x:f>ROUND(E135*'参数'!$L$14,0)</x:f>
        <x:v>4088</x:v>
      </x:c>
      <x:c r="I135" s="19" t="n">
        <x:f>ROUND(E135*'参数'!$M$14,0)</x:f>
        <x:v>230</x:v>
      </x:c>
      <x:c r="J135" s="19" t="n">
        <x:f>ROUND(E135*'参数'!$K$21,0)</x:f>
        <x:v>1456</x:v>
      </x:c>
      <x:c r="K135" s="19" t="n">
        <x:f>ROUND(E135*'参数'!$L$21,0)</x:f>
        <x:v>11344</x:v>
      </x:c>
      <x:c r="L135" s="19" t="n">
        <x:f>ROUND(E135*'参数'!$M$21,0)</x:f>
        <x:v>894</x:v>
      </x:c>
      <x:c r="M135" s="22" t="n">
        <x:f>E135/E125-1</x:f>
        <x:v>0.199530516431925</x:v>
      </x:c>
      <x:c r="N135" s="19" t="n">
        <x:f>ROUND(F135*'参数'!$B$20,0)</x:f>
        <x:v>485</x:v>
      </x:c>
      <x:c r="O135" s="19" t="n">
        <x:f>ROUND(F135*'参数'!$B$21,0)</x:f>
        <x:v>537</x:v>
      </x:c>
    </x:row>
    <x:row r="136" ht="22" customHeight="1">
      <x:c r="A136" s="18" t="n">
        <x:v>65</x:v>
      </x:c>
      <x:c r="B136" s="18" t="str">
        <x:v>凡品</x:v>
      </x:c>
      <x:c r="C136" s="15" t="n">
        <x:f>'参数'!G11</x:f>
        <x:v>1</x:v>
      </x:c>
      <x:c r="D136" s="15" t="n">
        <x:f>'参数'!$B$49</x:f>
        <x:v>1.04</x:v>
      </x:c>
      <x:c r="E136" s="18" t="n">
        <x:f>ROUND('参数'!$B$18*'参数'!$B$19^(A136-1)*C136*D136,0)</x:f>
        <x:v>383</x:v>
      </x:c>
      <x:c r="F136" s="18" t="n">
        <x:f>ROUND(E136*'参数'!$K$11,0)</x:f>
        <x:v>383</x:v>
      </x:c>
      <x:c r="G136" s="18" t="n">
        <x:f>ROUND(E136*'参数'!$K$12,0)</x:f>
        <x:v>211</x:v>
      </x:c>
      <x:c r="H136" s="18" t="n">
        <x:f>ROUND(E136*'参数'!$L$14,0)</x:f>
        <x:v>3064</x:v>
      </x:c>
      <x:c r="I136" s="18" t="n">
        <x:f>ROUND(E136*'参数'!$M$14,0)</x:f>
        <x:v>172</x:v>
      </x:c>
      <x:c r="J136" s="18" t="n">
        <x:f>ROUND(E136*'参数'!$K$21,0)</x:f>
        <x:v>1092</x:v>
      </x:c>
      <x:c r="K136" s="18" t="n">
        <x:f>ROUND(E136*'参数'!$L$21,0)</x:f>
        <x:v>8503</x:v>
      </x:c>
      <x:c r="L136" s="18" t="n">
        <x:f>ROUND(E136*'参数'!$M$21,0)</x:f>
        <x:v>670</x:v>
      </x:c>
      <x:c r="M136" s="21" t="n">
        <x:f>E136/E126-1</x:f>
        <x:v>0.20062695924764884</x:v>
      </x:c>
      <x:c r="N136" s="18" t="n">
        <x:f>ROUND(F136*'参数'!$B$20,0)</x:f>
        <x:v>364</x:v>
      </x:c>
      <x:c r="O136" s="18" t="n">
        <x:f>ROUND(F136*'参数'!$B$21,0)</x:f>
        <x:v>402</x:v>
      </x:c>
    </x:row>
    <x:row r="137" ht="22" customHeight="1">
      <x:c r="A137" s="19" t="n">
        <x:v>65</x:v>
      </x:c>
      <x:c r="B137" s="19" t="str">
        <x:v>良品</x:v>
      </x:c>
      <x:c r="C137" s="20" t="n">
        <x:f>'参数'!G12</x:f>
        <x:v>1.05</x:v>
      </x:c>
      <x:c r="D137" s="20" t="n">
        <x:f>'参数'!$B$49</x:f>
        <x:v>1.04</x:v>
      </x:c>
      <x:c r="E137" s="19" t="n">
        <x:f>ROUND('参数'!$B$18*'参数'!$B$19^(A137-1)*C137*D137,0)</x:f>
        <x:v>402</x:v>
      </x:c>
      <x:c r="F137" s="19" t="n">
        <x:f>ROUND(E137*'参数'!$K$11,0)</x:f>
        <x:v>402</x:v>
      </x:c>
      <x:c r="G137" s="19" t="n">
        <x:f>ROUND(E137*'参数'!$K$12,0)</x:f>
        <x:v>221</x:v>
      </x:c>
      <x:c r="H137" s="19" t="n">
        <x:f>ROUND(E137*'参数'!$L$14,0)</x:f>
        <x:v>3216</x:v>
      </x:c>
      <x:c r="I137" s="19" t="n">
        <x:f>ROUND(E137*'参数'!$M$14,0)</x:f>
        <x:v>181</x:v>
      </x:c>
      <x:c r="J137" s="19" t="n">
        <x:f>ROUND(E137*'参数'!$K$21,0)</x:f>
        <x:v>1146</x:v>
      </x:c>
      <x:c r="K137" s="19" t="n">
        <x:f>ROUND(E137*'参数'!$L$21,0)</x:f>
        <x:v>8924</x:v>
      </x:c>
      <x:c r="L137" s="19" t="n">
        <x:f>ROUND(E137*'参数'!$M$21,0)</x:f>
        <x:v>704</x:v>
      </x:c>
      <x:c r="M137" s="22" t="n">
        <x:f>E137/E127-1</x:f>
        <x:v>0.19999999999999996</x:v>
      </x:c>
      <x:c r="N137" s="19" t="n">
        <x:f>ROUND(F137*'参数'!$B$20,0)</x:f>
        <x:v>382</x:v>
      </x:c>
      <x:c r="O137" s="19" t="n">
        <x:f>ROUND(F137*'参数'!$B$21,0)</x:f>
        <x:v>422</x:v>
      </x:c>
    </x:row>
    <x:row r="138" ht="22" customHeight="1">
      <x:c r="A138" s="18" t="n">
        <x:v>65</x:v>
      </x:c>
      <x:c r="B138" s="18" t="str">
        <x:v>珍品</x:v>
      </x:c>
      <x:c r="C138" s="15" t="n">
        <x:f>'参数'!G13</x:f>
        <x:v>1.1</x:v>
      </x:c>
      <x:c r="D138" s="15" t="n">
        <x:f>'参数'!$B$49</x:f>
        <x:v>1.04</x:v>
      </x:c>
      <x:c r="E138" s="18" t="n">
        <x:f>ROUND('参数'!$B$18*'参数'!$B$19^(A138-1)*C138*D138,0)</x:f>
        <x:v>421</x:v>
      </x:c>
      <x:c r="F138" s="18" t="n">
        <x:f>ROUND(E138*'参数'!$K$11,0)</x:f>
        <x:v>421</x:v>
      </x:c>
      <x:c r="G138" s="18" t="n">
        <x:f>ROUND(E138*'参数'!$K$12,0)</x:f>
        <x:v>232</x:v>
      </x:c>
      <x:c r="H138" s="18" t="n">
        <x:f>ROUND(E138*'参数'!$L$14,0)</x:f>
        <x:v>3368</x:v>
      </x:c>
      <x:c r="I138" s="18" t="n">
        <x:f>ROUND(E138*'参数'!$M$14,0)</x:f>
        <x:v>189</x:v>
      </x:c>
      <x:c r="J138" s="18" t="n">
        <x:f>ROUND(E138*'参数'!$K$21,0)</x:f>
        <x:v>1200</x:v>
      </x:c>
      <x:c r="K138" s="18" t="n">
        <x:f>ROUND(E138*'参数'!$L$21,0)</x:f>
        <x:v>9346</x:v>
      </x:c>
      <x:c r="L138" s="18" t="n">
        <x:f>ROUND(E138*'参数'!$M$21,0)</x:f>
        <x:v>737</x:v>
      </x:c>
      <x:c r="M138" s="21" t="n">
        <x:f>E138/E128-1</x:f>
        <x:v>0.19943019943019946</x:v>
      </x:c>
      <x:c r="N138" s="18" t="n">
        <x:f>ROUND(F138*'参数'!$B$20,0)</x:f>
        <x:v>400</x:v>
      </x:c>
      <x:c r="O138" s="18" t="n">
        <x:f>ROUND(F138*'参数'!$B$21,0)</x:f>
        <x:v>442</x:v>
      </x:c>
    </x:row>
    <x:row r="139" ht="22" customHeight="1">
      <x:c r="A139" s="19" t="n">
        <x:v>65</x:v>
      </x:c>
      <x:c r="B139" s="19" t="str">
        <x:v>传奇</x:v>
      </x:c>
      <x:c r="C139" s="20" t="n">
        <x:f>'参数'!G14</x:f>
        <x:v>1.16</x:v>
      </x:c>
      <x:c r="D139" s="20" t="n">
        <x:f>'参数'!$B$49</x:f>
        <x:v>1.04</x:v>
      </x:c>
      <x:c r="E139" s="19" t="n">
        <x:f>ROUND('参数'!$B$18*'参数'!$B$19^(A139-1)*C139*D139,0)</x:f>
        <x:v>444</x:v>
      </x:c>
      <x:c r="F139" s="19" t="n">
        <x:f>ROUND(E139*'参数'!$K$11,0)</x:f>
        <x:v>444</x:v>
      </x:c>
      <x:c r="G139" s="19" t="n">
        <x:f>ROUND(E139*'参数'!$K$12,0)</x:f>
        <x:v>244</x:v>
      </x:c>
      <x:c r="H139" s="19" t="n">
        <x:f>ROUND(E139*'参数'!$L$14,0)</x:f>
        <x:v>3552</x:v>
      </x:c>
      <x:c r="I139" s="19" t="n">
        <x:f>ROUND(E139*'参数'!$M$14,0)</x:f>
        <x:v>200</x:v>
      </x:c>
      <x:c r="J139" s="19" t="n">
        <x:f>ROUND(E139*'参数'!$K$21,0)</x:f>
        <x:v>1265</x:v>
      </x:c>
      <x:c r="K139" s="19" t="n">
        <x:f>ROUND(E139*'参数'!$L$21,0)</x:f>
        <x:v>9857</x:v>
      </x:c>
      <x:c r="L139" s="19" t="n">
        <x:f>ROUND(E139*'参数'!$M$21,0)</x:f>
        <x:v>777</x:v>
      </x:c>
      <x:c r="M139" s="22" t="n">
        <x:f>E139/E129-1</x:f>
        <x:v>0.19999999999999996</x:v>
      </x:c>
      <x:c r="N139" s="19" t="n">
        <x:f>ROUND(F139*'参数'!$B$20,0)</x:f>
        <x:v>422</x:v>
      </x:c>
      <x:c r="O139" s="19" t="n">
        <x:f>ROUND(F139*'参数'!$B$21,0)</x:f>
        <x:v>466</x:v>
      </x:c>
    </x:row>
    <x:row r="140" ht="22" customHeight="1">
      <x:c r="A140" s="18" t="n">
        <x:v>65</x:v>
      </x:c>
      <x:c r="B140" s="18" t="str">
        <x:v>传世</x:v>
      </x:c>
      <x:c r="C140" s="15" t="n">
        <x:f>'参数'!G15</x:f>
        <x:v>1.22</x:v>
      </x:c>
      <x:c r="D140" s="15" t="n">
        <x:f>'参数'!$B$49</x:f>
        <x:v>1.04</x:v>
      </x:c>
      <x:c r="E140" s="18" t="n">
        <x:f>ROUND('参数'!$B$18*'参数'!$B$19^(A140-1)*C140*D140,0)</x:f>
        <x:v>467</x:v>
      </x:c>
      <x:c r="F140" s="18" t="n">
        <x:f>ROUND(E140*'参数'!$K$11,0)</x:f>
        <x:v>467</x:v>
      </x:c>
      <x:c r="G140" s="18" t="n">
        <x:f>ROUND(E140*'参数'!$K$12,0)</x:f>
        <x:v>257</x:v>
      </x:c>
      <x:c r="H140" s="18" t="n">
        <x:f>ROUND(E140*'参数'!$L$14,0)</x:f>
        <x:v>3736</x:v>
      </x:c>
      <x:c r="I140" s="18" t="n">
        <x:f>ROUND(E140*'参数'!$M$14,0)</x:f>
        <x:v>210</x:v>
      </x:c>
      <x:c r="J140" s="18" t="n">
        <x:f>ROUND(E140*'参数'!$K$21,0)</x:f>
        <x:v>1331</x:v>
      </x:c>
      <x:c r="K140" s="18" t="n">
        <x:f>ROUND(E140*'参数'!$L$21,0)</x:f>
        <x:v>10367</x:v>
      </x:c>
      <x:c r="L140" s="18" t="n">
        <x:f>ROUND(E140*'参数'!$M$21,0)</x:f>
        <x:v>817</x:v>
      </x:c>
      <x:c r="M140" s="21" t="n">
        <x:f>E140/E130-1</x:f>
        <x:v>0.1974358974358974</x:v>
      </x:c>
      <x:c r="N140" s="18" t="n">
        <x:f>ROUND(F140*'参数'!$B$20,0)</x:f>
        <x:v>444</x:v>
      </x:c>
      <x:c r="O140" s="18" t="n">
        <x:f>ROUND(F140*'参数'!$B$21,0)</x:f>
        <x:v>490</x:v>
      </x:c>
    </x:row>
    <x:row r="141" ht="22" customHeight="1">
      <x:c r="A141" s="19" t="n">
        <x:v>65</x:v>
      </x:c>
      <x:c r="B141" s="19" t="str">
        <x:v>灵蕴</x:v>
      </x:c>
      <x:c r="C141" s="20" t="n">
        <x:f>'参数'!G16</x:f>
        <x:v>1.29</x:v>
      </x:c>
      <x:c r="D141" s="20" t="n">
        <x:f>'参数'!$B$49</x:f>
        <x:v>1.04</x:v>
      </x:c>
      <x:c r="E141" s="19" t="n">
        <x:f>ROUND('参数'!$B$18*'参数'!$B$19^(A141-1)*C141*D141,0)</x:f>
        <x:v>494</x:v>
      </x:c>
      <x:c r="F141" s="19" t="n">
        <x:f>ROUND(E141*'参数'!$K$11,0)</x:f>
        <x:v>494</x:v>
      </x:c>
      <x:c r="G141" s="19" t="n">
        <x:f>ROUND(E141*'参数'!$K$12,0)</x:f>
        <x:v>272</x:v>
      </x:c>
      <x:c r="H141" s="19" t="n">
        <x:f>ROUND(E141*'参数'!$L$14,0)</x:f>
        <x:v>3952</x:v>
      </x:c>
      <x:c r="I141" s="19" t="n">
        <x:f>ROUND(E141*'参数'!$M$14,0)</x:f>
        <x:v>222</x:v>
      </x:c>
      <x:c r="J141" s="19" t="n">
        <x:f>ROUND(E141*'参数'!$K$21,0)</x:f>
        <x:v>1408</x:v>
      </x:c>
      <x:c r="K141" s="19" t="n">
        <x:f>ROUND(E141*'参数'!$L$21,0)</x:f>
        <x:v>10967</x:v>
      </x:c>
      <x:c r="L141" s="19" t="n">
        <x:f>ROUND(E141*'参数'!$M$21,0)</x:f>
        <x:v>865</x:v>
      </x:c>
      <x:c r="M141" s="22" t="n">
        <x:f>E141/E131-1</x:f>
        <x:v>0.19902912621359214</x:v>
      </x:c>
      <x:c r="N141" s="19" t="n">
        <x:f>ROUND(F141*'参数'!$B$20,0)</x:f>
        <x:v>469</x:v>
      </x:c>
      <x:c r="O141" s="19" t="n">
        <x:f>ROUND(F141*'参数'!$B$21,0)</x:f>
        <x:v>519</x:v>
      </x:c>
    </x:row>
    <x:row r="142" ht="22" customHeight="1">
      <x:c r="A142" s="18" t="n">
        <x:v>65</x:v>
      </x:c>
      <x:c r="B142" s="18" t="str">
        <x:v>超然</x:v>
      </x:c>
      <x:c r="C142" s="15" t="n">
        <x:f>'参数'!G17</x:f>
        <x:v>1.36</x:v>
      </x:c>
      <x:c r="D142" s="15" t="n">
        <x:f>'参数'!$B$49</x:f>
        <x:v>1.04</x:v>
      </x:c>
      <x:c r="E142" s="18" t="n">
        <x:f>ROUND('参数'!$B$18*'参数'!$B$19^(A142-1)*C142*D142,0)</x:f>
        <x:v>521</x:v>
      </x:c>
      <x:c r="F142" s="18" t="n">
        <x:f>ROUND(E142*'参数'!$K$11,0)</x:f>
        <x:v>521</x:v>
      </x:c>
      <x:c r="G142" s="18" t="n">
        <x:f>ROUND(E142*'参数'!$K$12,0)</x:f>
        <x:v>287</x:v>
      </x:c>
      <x:c r="H142" s="18" t="n">
        <x:f>ROUND(E142*'参数'!$L$14,0)</x:f>
        <x:v>4168</x:v>
      </x:c>
      <x:c r="I142" s="18" t="n">
        <x:f>ROUND(E142*'参数'!$M$14,0)</x:f>
        <x:v>234</x:v>
      </x:c>
      <x:c r="J142" s="18" t="n">
        <x:f>ROUND(E142*'参数'!$K$21,0)</x:f>
        <x:v>1485</x:v>
      </x:c>
      <x:c r="K142" s="18" t="n">
        <x:f>ROUND(E142*'参数'!$L$21,0)</x:f>
        <x:v>11566</x:v>
      </x:c>
      <x:c r="L142" s="18" t="n">
        <x:f>ROUND(E142*'参数'!$M$21,0)</x:f>
        <x:v>912</x:v>
      </x:c>
      <x:c r="M142" s="21" t="n">
        <x:f>E142/E132-1</x:f>
        <x:v>0.20046082949308763</x:v>
      </x:c>
      <x:c r="N142" s="18" t="n">
        <x:f>ROUND(F142*'参数'!$B$20,0)</x:f>
        <x:v>495</x:v>
      </x:c>
      <x:c r="O142" s="18" t="n">
        <x:f>ROUND(F142*'参数'!$B$21,0)</x:f>
        <x:v>547</x:v>
      </x:c>
    </x:row>
    <x:row r="143" ht="22" customHeight="1">
      <x:c r="A143" s="19" t="n">
        <x:v>65</x:v>
      </x:c>
      <x:c r="B143" s="19" t="str">
        <x:v>星穹</x:v>
      </x:c>
      <x:c r="C143" s="20" t="n">
        <x:f>'参数'!G18</x:f>
        <x:v>1.43</x:v>
      </x:c>
      <x:c r="D143" s="20" t="n">
        <x:f>'参数'!$B$49</x:f>
        <x:v>1.04</x:v>
      </x:c>
      <x:c r="E143" s="19" t="n">
        <x:f>ROUND('参数'!$B$18*'参数'!$B$19^(A143-1)*C143*D143,0)</x:f>
        <x:v>548</x:v>
      </x:c>
      <x:c r="F143" s="19" t="n">
        <x:f>ROUND(E143*'参数'!$K$11,0)</x:f>
        <x:v>548</x:v>
      </x:c>
      <x:c r="G143" s="19" t="n">
        <x:f>ROUND(E143*'参数'!$K$12,0)</x:f>
        <x:v>301</x:v>
      </x:c>
      <x:c r="H143" s="19" t="n">
        <x:f>ROUND(E143*'参数'!$L$14,0)</x:f>
        <x:v>4384</x:v>
      </x:c>
      <x:c r="I143" s="19" t="n">
        <x:f>ROUND(E143*'参数'!$M$14,0)</x:f>
        <x:v>247</x:v>
      </x:c>
      <x:c r="J143" s="19" t="n">
        <x:f>ROUND(E143*'参数'!$K$21,0)</x:f>
        <x:v>1562</x:v>
      </x:c>
      <x:c r="K143" s="19" t="n">
        <x:f>ROUND(E143*'参数'!$L$21,0)</x:f>
        <x:v>12166</x:v>
      </x:c>
      <x:c r="L143" s="19" t="n">
        <x:f>ROUND(E143*'参数'!$M$21,0)</x:f>
        <x:v>959</x:v>
      </x:c>
      <x:c r="M143" s="22" t="n">
        <x:f>E143/E133-1</x:f>
        <x:v>0.19912472647702417</x:v>
      </x:c>
      <x:c r="N143" s="19" t="n">
        <x:f>ROUND(F143*'参数'!$B$20,0)</x:f>
        <x:v>521</x:v>
      </x:c>
      <x:c r="O143" s="19" t="n">
        <x:f>ROUND(F143*'参数'!$B$21,0)</x:f>
        <x:v>575</x:v>
      </x:c>
    </x:row>
    <x:row r="144" ht="22" customHeight="1">
      <x:c r="A144" s="18" t="n">
        <x:v>65</x:v>
      </x:c>
      <x:c r="B144" s="18" t="str">
        <x:v>神辉</x:v>
      </x:c>
      <x:c r="C144" s="15" t="n">
        <x:f>'参数'!G19</x:f>
        <x:v>1.51</x:v>
      </x:c>
      <x:c r="D144" s="15" t="n">
        <x:f>'参数'!$B$49</x:f>
        <x:v>1.04</x:v>
      </x:c>
      <x:c r="E144" s="18" t="n">
        <x:f>ROUND('参数'!$B$18*'参数'!$B$19^(A144-1)*C144*D144,0)</x:f>
        <x:v>578</x:v>
      </x:c>
      <x:c r="F144" s="18" t="n">
        <x:f>ROUND(E144*'参数'!$K$11,0)</x:f>
        <x:v>578</x:v>
      </x:c>
      <x:c r="G144" s="18" t="n">
        <x:f>ROUND(E144*'参数'!$K$12,0)</x:f>
        <x:v>318</x:v>
      </x:c>
      <x:c r="H144" s="18" t="n">
        <x:f>ROUND(E144*'参数'!$L$14,0)</x:f>
        <x:v>4624</x:v>
      </x:c>
      <x:c r="I144" s="18" t="n">
        <x:f>ROUND(E144*'参数'!$M$14,0)</x:f>
        <x:v>260</x:v>
      </x:c>
      <x:c r="J144" s="18" t="n">
        <x:f>ROUND(E144*'参数'!$K$21,0)</x:f>
        <x:v>1647</x:v>
      </x:c>
      <x:c r="K144" s="18" t="n">
        <x:f>ROUND(E144*'参数'!$L$21,0)</x:f>
        <x:v>12832</x:v>
      </x:c>
      <x:c r="L144" s="18" t="n">
        <x:f>ROUND(E144*'参数'!$M$21,0)</x:f>
        <x:v>1012</x:v>
      </x:c>
      <x:c r="M144" s="21" t="n">
        <x:f>E144/E134-1</x:f>
        <x:v>0.19917012448132776</x:v>
      </x:c>
      <x:c r="N144" s="18" t="n">
        <x:f>ROUND(F144*'参数'!$B$20,0)</x:f>
        <x:v>549</x:v>
      </x:c>
      <x:c r="O144" s="18" t="n">
        <x:f>ROUND(F144*'参数'!$B$21,0)</x:f>
        <x:v>607</x:v>
      </x:c>
    </x:row>
    <x:row r="145" ht="22" customHeight="1">
      <x:c r="A145" s="19" t="n">
        <x:v>65</x:v>
      </x:c>
      <x:c r="B145" s="19" t="str">
        <x:v>混元</x:v>
      </x:c>
      <x:c r="C145" s="20" t="n">
        <x:f>'参数'!G20</x:f>
        <x:v>1.6</x:v>
      </x:c>
      <x:c r="D145" s="20" t="n">
        <x:f>'参数'!$B$49</x:f>
        <x:v>1.04</x:v>
      </x:c>
      <x:c r="E145" s="19" t="n">
        <x:f>ROUND('参数'!$B$18*'参数'!$B$19^(A145-1)*C145*D145,0)</x:f>
        <x:v>613</x:v>
      </x:c>
      <x:c r="F145" s="19" t="n">
        <x:f>ROUND(E145*'参数'!$K$11,0)</x:f>
        <x:v>613</x:v>
      </x:c>
      <x:c r="G145" s="19" t="n">
        <x:f>ROUND(E145*'参数'!$K$12,0)</x:f>
        <x:v>337</x:v>
      </x:c>
      <x:c r="H145" s="19" t="n">
        <x:f>ROUND(E145*'参数'!$L$14,0)</x:f>
        <x:v>4904</x:v>
      </x:c>
      <x:c r="I145" s="19" t="n">
        <x:f>ROUND(E145*'参数'!$M$14,0)</x:f>
        <x:v>276</x:v>
      </x:c>
      <x:c r="J145" s="19" t="n">
        <x:f>ROUND(E145*'参数'!$K$21,0)</x:f>
        <x:v>1747</x:v>
      </x:c>
      <x:c r="K145" s="19" t="n">
        <x:f>ROUND(E145*'参数'!$L$21,0)</x:f>
        <x:v>13609</x:v>
      </x:c>
      <x:c r="L145" s="19" t="n">
        <x:f>ROUND(E145*'参数'!$M$21,0)</x:f>
        <x:v>1073</x:v>
      </x:c>
      <x:c r="M145" s="22" t="n">
        <x:f>E145/E135-1</x:f>
        <x:v>0.19960861056751478</x:v>
      </x:c>
      <x:c r="N145" s="19" t="n">
        <x:f>ROUND(F145*'参数'!$B$20,0)</x:f>
        <x:v>582</x:v>
      </x:c>
      <x:c r="O145" s="19" t="n">
        <x:f>ROUND(F145*'参数'!$B$21,0)</x:f>
        <x:v>644</x:v>
      </x:c>
    </x:row>
    <x:row r="146" ht="22" customHeight="1">
      <x:c r="A146" s="18" t="n">
        <x:v>70</x:v>
      </x:c>
      <x:c r="B146" s="18" t="str">
        <x:v>凡品</x:v>
      </x:c>
      <x:c r="C146" s="15" t="n">
        <x:f>'参数'!G11</x:f>
        <x:v>1</x:v>
      </x:c>
      <x:c r="D146" s="15" t="n">
        <x:f>'参数'!$B$49</x:f>
        <x:v>1.04</x:v>
      </x:c>
      <x:c r="E146" s="18" t="n">
        <x:f>ROUND('参数'!$B$18*'参数'!$B$19^(A146-1)*C146*D146,0)</x:f>
        <x:v>459</x:v>
      </x:c>
      <x:c r="F146" s="18" t="n">
        <x:f>ROUND(E146*'参数'!$K$11,0)</x:f>
        <x:v>459</x:v>
      </x:c>
      <x:c r="G146" s="18" t="n">
        <x:f>ROUND(E146*'参数'!$K$12,0)</x:f>
        <x:v>252</x:v>
      </x:c>
      <x:c r="H146" s="18" t="n">
        <x:f>ROUND(E146*'参数'!$L$14,0)</x:f>
        <x:v>3672</x:v>
      </x:c>
      <x:c r="I146" s="18" t="n">
        <x:f>ROUND(E146*'参数'!$M$14,0)</x:f>
        <x:v>207</x:v>
      </x:c>
      <x:c r="J146" s="18" t="n">
        <x:f>ROUND(E146*'参数'!$K$21,0)</x:f>
        <x:v>1308</x:v>
      </x:c>
      <x:c r="K146" s="18" t="n">
        <x:f>ROUND(E146*'参数'!$L$21,0)</x:f>
        <x:v>10190</x:v>
      </x:c>
      <x:c r="L146" s="18" t="n">
        <x:f>ROUND(E146*'参数'!$M$21,0)</x:f>
        <x:v>803</x:v>
      </x:c>
      <x:c r="M146" s="21" t="n">
        <x:f>E146/E136-1</x:f>
        <x:v>0.19843342036553535</x:v>
      </x:c>
      <x:c r="N146" s="18" t="n">
        <x:f>ROUND(F146*'参数'!$B$20,0)</x:f>
        <x:v>436</x:v>
      </x:c>
      <x:c r="O146" s="18" t="n">
        <x:f>ROUND(F146*'参数'!$B$21,0)</x:f>
        <x:v>482</x:v>
      </x:c>
    </x:row>
    <x:row r="147" ht="22" customHeight="1">
      <x:c r="A147" s="19" t="n">
        <x:v>70</x:v>
      </x:c>
      <x:c r="B147" s="19" t="str">
        <x:v>良品</x:v>
      </x:c>
      <x:c r="C147" s="20" t="n">
        <x:f>'参数'!G12</x:f>
        <x:v>1.05</x:v>
      </x:c>
      <x:c r="D147" s="20" t="n">
        <x:f>'参数'!$B$49</x:f>
        <x:v>1.04</x:v>
      </x:c>
      <x:c r="E147" s="19" t="n">
        <x:f>ROUND('参数'!$B$18*'参数'!$B$19^(A147-1)*C147*D147,0)</x:f>
        <x:v>482</x:v>
      </x:c>
      <x:c r="F147" s="19" t="n">
        <x:f>ROUND(E147*'参数'!$K$11,0)</x:f>
        <x:v>482</x:v>
      </x:c>
      <x:c r="G147" s="19" t="n">
        <x:f>ROUND(E147*'参数'!$K$12,0)</x:f>
        <x:v>265</x:v>
      </x:c>
      <x:c r="H147" s="19" t="n">
        <x:f>ROUND(E147*'参数'!$L$14,0)</x:f>
        <x:v>3856</x:v>
      </x:c>
      <x:c r="I147" s="19" t="n">
        <x:f>ROUND(E147*'参数'!$M$14,0)</x:f>
        <x:v>217</x:v>
      </x:c>
      <x:c r="J147" s="19" t="n">
        <x:f>ROUND(E147*'参数'!$K$21,0)</x:f>
        <x:v>1374</x:v>
      </x:c>
      <x:c r="K147" s="19" t="n">
        <x:f>ROUND(E147*'参数'!$L$21,0)</x:f>
        <x:v>10700</x:v>
      </x:c>
      <x:c r="L147" s="19" t="n">
        <x:f>ROUND(E147*'参数'!$M$21,0)</x:f>
        <x:v>844</x:v>
      </x:c>
      <x:c r="M147" s="22" t="n">
        <x:f>E147/E137-1</x:f>
        <x:v>0.1990049751243781</x:v>
      </x:c>
      <x:c r="N147" s="19" t="n">
        <x:f>ROUND(F147*'参数'!$B$20,0)</x:f>
        <x:v>458</x:v>
      </x:c>
      <x:c r="O147" s="19" t="n">
        <x:f>ROUND(F147*'参数'!$B$21,0)</x:f>
        <x:v>506</x:v>
      </x:c>
    </x:row>
    <x:row r="148" ht="22" customHeight="1">
      <x:c r="A148" s="18" t="n">
        <x:v>70</x:v>
      </x:c>
      <x:c r="B148" s="18" t="str">
        <x:v>珍品</x:v>
      </x:c>
      <x:c r="C148" s="15" t="n">
        <x:f>'参数'!G13</x:f>
        <x:v>1.1</x:v>
      </x:c>
      <x:c r="D148" s="15" t="n">
        <x:f>'参数'!$B$49</x:f>
        <x:v>1.04</x:v>
      </x:c>
      <x:c r="E148" s="18" t="n">
        <x:f>ROUND('参数'!$B$18*'参数'!$B$19^(A148-1)*C148*D148,0)</x:f>
        <x:v>505</x:v>
      </x:c>
      <x:c r="F148" s="18" t="n">
        <x:f>ROUND(E148*'参数'!$K$11,0)</x:f>
        <x:v>505</x:v>
      </x:c>
      <x:c r="G148" s="18" t="n">
        <x:f>ROUND(E148*'参数'!$K$12,0)</x:f>
        <x:v>278</x:v>
      </x:c>
      <x:c r="H148" s="18" t="n">
        <x:f>ROUND(E148*'参数'!$L$14,0)</x:f>
        <x:v>4040</x:v>
      </x:c>
      <x:c r="I148" s="18" t="n">
        <x:f>ROUND(E148*'参数'!$M$14,0)</x:f>
        <x:v>227</x:v>
      </x:c>
      <x:c r="J148" s="18" t="n">
        <x:f>ROUND(E148*'参数'!$K$21,0)</x:f>
        <x:v>1439</x:v>
      </x:c>
      <x:c r="K148" s="18" t="n">
        <x:f>ROUND(E148*'参数'!$L$21,0)</x:f>
        <x:v>11211</x:v>
      </x:c>
      <x:c r="L148" s="18" t="n">
        <x:f>ROUND(E148*'参数'!$M$21,0)</x:f>
        <x:v>884</x:v>
      </x:c>
      <x:c r="M148" s="21" t="n">
        <x:f>E148/E138-1</x:f>
        <x:v>0.1995249406175772</x:v>
      </x:c>
      <x:c r="N148" s="18" t="n">
        <x:f>ROUND(F148*'参数'!$B$20,0)</x:f>
        <x:v>480</x:v>
      </x:c>
      <x:c r="O148" s="18" t="n">
        <x:f>ROUND(F148*'参数'!$B$21,0)</x:f>
        <x:v>530</x:v>
      </x:c>
    </x:row>
    <x:row r="149" ht="22" customHeight="1">
      <x:c r="A149" s="19" t="n">
        <x:v>70</x:v>
      </x:c>
      <x:c r="B149" s="19" t="str">
        <x:v>传奇</x:v>
      </x:c>
      <x:c r="C149" s="20" t="n">
        <x:f>'参数'!G14</x:f>
        <x:v>1.16</x:v>
      </x:c>
      <x:c r="D149" s="20" t="n">
        <x:f>'参数'!$B$49</x:f>
        <x:v>1.04</x:v>
      </x:c>
      <x:c r="E149" s="19" t="n">
        <x:f>ROUND('参数'!$B$18*'参数'!$B$19^(A149-1)*C149*D149,0)</x:f>
        <x:v>533</x:v>
      </x:c>
      <x:c r="F149" s="19" t="n">
        <x:f>ROUND(E149*'参数'!$K$11,0)</x:f>
        <x:v>533</x:v>
      </x:c>
      <x:c r="G149" s="19" t="n">
        <x:f>ROUND(E149*'参数'!$K$12,0)</x:f>
        <x:v>293</x:v>
      </x:c>
      <x:c r="H149" s="19" t="n">
        <x:f>ROUND(E149*'参数'!$L$14,0)</x:f>
        <x:v>4264</x:v>
      </x:c>
      <x:c r="I149" s="19" t="n">
        <x:f>ROUND(E149*'参数'!$M$14,0)</x:f>
        <x:v>240</x:v>
      </x:c>
      <x:c r="J149" s="19" t="n">
        <x:f>ROUND(E149*'参数'!$K$21,0)</x:f>
        <x:v>1519</x:v>
      </x:c>
      <x:c r="K149" s="19" t="n">
        <x:f>ROUND(E149*'参数'!$L$21,0)</x:f>
        <x:v>11833</x:v>
      </x:c>
      <x:c r="L149" s="19" t="n">
        <x:f>ROUND(E149*'参数'!$M$21,0)</x:f>
        <x:v>933</x:v>
      </x:c>
      <x:c r="M149" s="22" t="n">
        <x:f>E149/E139-1</x:f>
        <x:v>0.2004504504504505</x:v>
      </x:c>
      <x:c r="N149" s="19" t="n">
        <x:f>ROUND(F149*'参数'!$B$20,0)</x:f>
        <x:v>506</x:v>
      </x:c>
      <x:c r="O149" s="19" t="n">
        <x:f>ROUND(F149*'参数'!$B$21,0)</x:f>
        <x:v>560</x:v>
      </x:c>
    </x:row>
    <x:row r="150" ht="22" customHeight="1">
      <x:c r="A150" s="18" t="n">
        <x:v>70</x:v>
      </x:c>
      <x:c r="B150" s="18" t="str">
        <x:v>传世</x:v>
      </x:c>
      <x:c r="C150" s="15" t="n">
        <x:f>'参数'!G15</x:f>
        <x:v>1.22</x:v>
      </x:c>
      <x:c r="D150" s="15" t="n">
        <x:f>'参数'!$B$49</x:f>
        <x:v>1.04</x:v>
      </x:c>
      <x:c r="E150" s="18" t="n">
        <x:f>ROUND('参数'!$B$18*'参数'!$B$19^(A150-1)*C150*D150,0)</x:f>
        <x:v>560</x:v>
      </x:c>
      <x:c r="F150" s="18" t="n">
        <x:f>ROUND(E150*'参数'!$K$11,0)</x:f>
        <x:v>560</x:v>
      </x:c>
      <x:c r="G150" s="18" t="n">
        <x:f>ROUND(E150*'参数'!$K$12,0)</x:f>
        <x:v>308</x:v>
      </x:c>
      <x:c r="H150" s="18" t="n">
        <x:f>ROUND(E150*'参数'!$L$14,0)</x:f>
        <x:v>4480</x:v>
      </x:c>
      <x:c r="I150" s="18" t="n">
        <x:f>ROUND(E150*'参数'!$M$14,0)</x:f>
        <x:v>252</x:v>
      </x:c>
      <x:c r="J150" s="18" t="n">
        <x:f>ROUND(E150*'参数'!$K$21,0)</x:f>
        <x:v>1596</x:v>
      </x:c>
      <x:c r="K150" s="18" t="n">
        <x:f>ROUND(E150*'参数'!$L$21,0)</x:f>
        <x:v>12432</x:v>
      </x:c>
      <x:c r="L150" s="18" t="n">
        <x:f>ROUND(E150*'参数'!$M$21,0)</x:f>
        <x:v>980</x:v>
      </x:c>
      <x:c r="M150" s="21" t="n">
        <x:f>E150/E140-1</x:f>
        <x:v>0.1991434689507494</x:v>
      </x:c>
      <x:c r="N150" s="18" t="n">
        <x:f>ROUND(F150*'参数'!$B$20,0)</x:f>
        <x:v>532</x:v>
      </x:c>
      <x:c r="O150" s="18" t="n">
        <x:f>ROUND(F150*'参数'!$B$21,0)</x:f>
        <x:v>588</x:v>
      </x:c>
    </x:row>
    <x:row r="151" ht="22" customHeight="1">
      <x:c r="A151" s="19" t="n">
        <x:v>70</x:v>
      </x:c>
      <x:c r="B151" s="19" t="str">
        <x:v>灵蕴</x:v>
      </x:c>
      <x:c r="C151" s="20" t="n">
        <x:f>'参数'!G16</x:f>
        <x:v>1.29</x:v>
      </x:c>
      <x:c r="D151" s="20" t="n">
        <x:f>'参数'!$B$49</x:f>
        <x:v>1.04</x:v>
      </x:c>
      <x:c r="E151" s="19" t="n">
        <x:f>ROUND('参数'!$B$18*'参数'!$B$19^(A151-1)*C151*D151,0)</x:f>
        <x:v>592</x:v>
      </x:c>
      <x:c r="F151" s="19" t="n">
        <x:f>ROUND(E151*'参数'!$K$11,0)</x:f>
        <x:v>592</x:v>
      </x:c>
      <x:c r="G151" s="19" t="n">
        <x:f>ROUND(E151*'参数'!$K$12,0)</x:f>
        <x:v>326</x:v>
      </x:c>
      <x:c r="H151" s="19" t="n">
        <x:f>ROUND(E151*'参数'!$L$14,0)</x:f>
        <x:v>4736</x:v>
      </x:c>
      <x:c r="I151" s="19" t="n">
        <x:f>ROUND(E151*'参数'!$M$14,0)</x:f>
        <x:v>266</x:v>
      </x:c>
      <x:c r="J151" s="19" t="n">
        <x:f>ROUND(E151*'参数'!$K$21,0)</x:f>
        <x:v>1687</x:v>
      </x:c>
      <x:c r="K151" s="19" t="n">
        <x:f>ROUND(E151*'参数'!$L$21,0)</x:f>
        <x:v>13142</x:v>
      </x:c>
      <x:c r="L151" s="19" t="n">
        <x:f>ROUND(E151*'参数'!$M$21,0)</x:f>
        <x:v>1036</x:v>
      </x:c>
      <x:c r="M151" s="22" t="n">
        <x:f>E151/E141-1</x:f>
        <x:v>0.19838056680161942</x:v>
      </x:c>
      <x:c r="N151" s="19" t="n">
        <x:f>ROUND(F151*'参数'!$B$20,0)</x:f>
        <x:v>562</x:v>
      </x:c>
      <x:c r="O151" s="19" t="n">
        <x:f>ROUND(F151*'参数'!$B$21,0)</x:f>
        <x:v>622</x:v>
      </x:c>
    </x:row>
    <x:row r="152" ht="22" customHeight="1">
      <x:c r="A152" s="18" t="n">
        <x:v>70</x:v>
      </x:c>
      <x:c r="B152" s="18" t="str">
        <x:v>超然</x:v>
      </x:c>
      <x:c r="C152" s="15" t="n">
        <x:f>'参数'!G17</x:f>
        <x:v>1.36</x:v>
      </x:c>
      <x:c r="D152" s="15" t="n">
        <x:f>'参数'!$B$49</x:f>
        <x:v>1.04</x:v>
      </x:c>
      <x:c r="E152" s="18" t="n">
        <x:f>ROUND('参数'!$B$18*'参数'!$B$19^(A152-1)*C152*D152,0)</x:f>
        <x:v>625</x:v>
      </x:c>
      <x:c r="F152" s="18" t="n">
        <x:f>ROUND(E152*'参数'!$K$11,0)</x:f>
        <x:v>625</x:v>
      </x:c>
      <x:c r="G152" s="18" t="n">
        <x:f>ROUND(E152*'参数'!$K$12,0)</x:f>
        <x:v>344</x:v>
      </x:c>
      <x:c r="H152" s="18" t="n">
        <x:f>ROUND(E152*'参数'!$L$14,0)</x:f>
        <x:v>5000</x:v>
      </x:c>
      <x:c r="I152" s="18" t="n">
        <x:f>ROUND(E152*'参数'!$M$14,0)</x:f>
        <x:v>281</x:v>
      </x:c>
      <x:c r="J152" s="18" t="n">
        <x:f>ROUND(E152*'参数'!$K$21,0)</x:f>
        <x:v>1781</x:v>
      </x:c>
      <x:c r="K152" s="18" t="n">
        <x:f>ROUND(E152*'参数'!$L$21,0)</x:f>
        <x:v>13875</x:v>
      </x:c>
      <x:c r="L152" s="18" t="n">
        <x:f>ROUND(E152*'参数'!$M$21,0)</x:f>
        <x:v>1094</x:v>
      </x:c>
      <x:c r="M152" s="21" t="n">
        <x:f>E152/E142-1</x:f>
        <x:v>0.19961612284069097</x:v>
      </x:c>
      <x:c r="N152" s="18" t="n">
        <x:f>ROUND(F152*'参数'!$B$20,0)</x:f>
        <x:v>594</x:v>
      </x:c>
      <x:c r="O152" s="18" t="n">
        <x:f>ROUND(F152*'参数'!$B$21,0)</x:f>
        <x:v>656</x:v>
      </x:c>
    </x:row>
    <x:row r="153" ht="22" customHeight="1">
      <x:c r="A153" s="19" t="n">
        <x:v>70</x:v>
      </x:c>
      <x:c r="B153" s="19" t="str">
        <x:v>星穹</x:v>
      </x:c>
      <x:c r="C153" s="20" t="n">
        <x:f>'参数'!G18</x:f>
        <x:v>1.43</x:v>
      </x:c>
      <x:c r="D153" s="20" t="n">
        <x:f>'参数'!$B$49</x:f>
        <x:v>1.04</x:v>
      </x:c>
      <x:c r="E153" s="19" t="n">
        <x:f>ROUND('参数'!$B$18*'参数'!$B$19^(A153-1)*C153*D153,0)</x:f>
        <x:v>657</x:v>
      </x:c>
      <x:c r="F153" s="19" t="n">
        <x:f>ROUND(E153*'参数'!$K$11,0)</x:f>
        <x:v>657</x:v>
      </x:c>
      <x:c r="G153" s="19" t="n">
        <x:f>ROUND(E153*'参数'!$K$12,0)</x:f>
        <x:v>361</x:v>
      </x:c>
      <x:c r="H153" s="19" t="n">
        <x:f>ROUND(E153*'参数'!$L$14,0)</x:f>
        <x:v>5256</x:v>
      </x:c>
      <x:c r="I153" s="19" t="n">
        <x:f>ROUND(E153*'参数'!$M$14,0)</x:f>
        <x:v>296</x:v>
      </x:c>
      <x:c r="J153" s="19" t="n">
        <x:f>ROUND(E153*'参数'!$K$21,0)</x:f>
        <x:v>1872</x:v>
      </x:c>
      <x:c r="K153" s="19" t="n">
        <x:f>ROUND(E153*'参数'!$L$21,0)</x:f>
        <x:v>14585</x:v>
      </x:c>
      <x:c r="L153" s="19" t="n">
        <x:f>ROUND(E153*'参数'!$M$21,0)</x:f>
        <x:v>1150</x:v>
      </x:c>
      <x:c r="M153" s="22" t="n">
        <x:f>E153/E143-1</x:f>
        <x:v>0.19890510948905105</x:v>
      </x:c>
      <x:c r="N153" s="19" t="n">
        <x:f>ROUND(F153*'参数'!$B$20,0)</x:f>
        <x:v>624</x:v>
      </x:c>
      <x:c r="O153" s="19" t="n">
        <x:f>ROUND(F153*'参数'!$B$21,0)</x:f>
        <x:v>690</x:v>
      </x:c>
    </x:row>
    <x:row r="154" ht="22" customHeight="1">
      <x:c r="A154" s="18" t="n">
        <x:v>70</x:v>
      </x:c>
      <x:c r="B154" s="18" t="str">
        <x:v>神辉</x:v>
      </x:c>
      <x:c r="C154" s="15" t="n">
        <x:f>'参数'!G19</x:f>
        <x:v>1.51</x:v>
      </x:c>
      <x:c r="D154" s="15" t="n">
        <x:f>'参数'!$B$49</x:f>
        <x:v>1.04</x:v>
      </x:c>
      <x:c r="E154" s="18" t="n">
        <x:f>ROUND('参数'!$B$18*'参数'!$B$19^(A154-1)*C154*D154,0)</x:f>
        <x:v>694</x:v>
      </x:c>
      <x:c r="F154" s="18" t="n">
        <x:f>ROUND(E154*'参数'!$K$11,0)</x:f>
        <x:v>694</x:v>
      </x:c>
      <x:c r="G154" s="18" t="n">
        <x:f>ROUND(E154*'参数'!$K$12,0)</x:f>
        <x:v>382</x:v>
      </x:c>
      <x:c r="H154" s="18" t="n">
        <x:f>ROUND(E154*'参数'!$L$14,0)</x:f>
        <x:v>5552</x:v>
      </x:c>
      <x:c r="I154" s="18" t="n">
        <x:f>ROUND(E154*'参数'!$M$14,0)</x:f>
        <x:v>312</x:v>
      </x:c>
      <x:c r="J154" s="18" t="n">
        <x:f>ROUND(E154*'参数'!$K$21,0)</x:f>
        <x:v>1978</x:v>
      </x:c>
      <x:c r="K154" s="18" t="n">
        <x:f>ROUND(E154*'参数'!$L$21,0)</x:f>
        <x:v>15407</x:v>
      </x:c>
      <x:c r="L154" s="18" t="n">
        <x:f>ROUND(E154*'参数'!$M$21,0)</x:f>
        <x:v>1215</x:v>
      </x:c>
      <x:c r="M154" s="21" t="n">
        <x:f>E154/E144-1</x:f>
        <x:v>0.20069204152249132</x:v>
      </x:c>
      <x:c r="N154" s="18" t="n">
        <x:f>ROUND(F154*'参数'!$B$20,0)</x:f>
        <x:v>659</x:v>
      </x:c>
      <x:c r="O154" s="18" t="n">
        <x:f>ROUND(F154*'参数'!$B$21,0)</x:f>
        <x:v>729</x:v>
      </x:c>
    </x:row>
    <x:row r="155" ht="22" customHeight="1">
      <x:c r="A155" s="19" t="n">
        <x:v>70</x:v>
      </x:c>
      <x:c r="B155" s="19" t="str">
        <x:v>混元</x:v>
      </x:c>
      <x:c r="C155" s="20" t="n">
        <x:f>'参数'!G20</x:f>
        <x:v>1.6</x:v>
      </x:c>
      <x:c r="D155" s="20" t="n">
        <x:f>'参数'!$B$49</x:f>
        <x:v>1.04</x:v>
      </x:c>
      <x:c r="E155" s="19" t="n">
        <x:f>ROUND('参数'!$B$18*'参数'!$B$19^(A155-1)*C155*D155,0)</x:f>
        <x:v>735</x:v>
      </x:c>
      <x:c r="F155" s="19" t="n">
        <x:f>ROUND(E155*'参数'!$K$11,0)</x:f>
        <x:v>735</x:v>
      </x:c>
      <x:c r="G155" s="19" t="n">
        <x:f>ROUND(E155*'参数'!$K$12,0)</x:f>
        <x:v>404</x:v>
      </x:c>
      <x:c r="H155" s="19" t="n">
        <x:f>ROUND(E155*'参数'!$L$14,0)</x:f>
        <x:v>5880</x:v>
      </x:c>
      <x:c r="I155" s="19" t="n">
        <x:f>ROUND(E155*'参数'!$M$14,0)</x:f>
        <x:v>331</x:v>
      </x:c>
      <x:c r="J155" s="19" t="n">
        <x:f>ROUND(E155*'参数'!$K$21,0)</x:f>
        <x:v>2095</x:v>
      </x:c>
      <x:c r="K155" s="19" t="n">
        <x:f>ROUND(E155*'参数'!$L$21,0)</x:f>
        <x:v>16317</x:v>
      </x:c>
      <x:c r="L155" s="19" t="n">
        <x:f>ROUND(E155*'参数'!$M$21,0)</x:f>
        <x:v>1286</x:v>
      </x:c>
      <x:c r="M155" s="22" t="n">
        <x:f>E155/E145-1</x:f>
        <x:v>0.19902120717781413</x:v>
      </x:c>
      <x:c r="N155" s="19" t="n">
        <x:f>ROUND(F155*'参数'!$B$20,0)</x:f>
        <x:v>698</x:v>
      </x:c>
      <x:c r="O155" s="19" t="n">
        <x:f>ROUND(F155*'参数'!$B$21,0)</x:f>
        <x:v>772</x:v>
      </x:c>
    </x:row>
    <x:row r="156" ht="22" customHeight="1">
      <x:c r="A156" s="18" t="n">
        <x:v>75</x:v>
      </x:c>
      <x:c r="B156" s="18" t="str">
        <x:v>凡品</x:v>
      </x:c>
      <x:c r="C156" s="15" t="n">
        <x:f>'参数'!G11</x:f>
        <x:v>1</x:v>
      </x:c>
      <x:c r="D156" s="15" t="n">
        <x:f>'参数'!$B$49</x:f>
        <x:v>1.04</x:v>
      </x:c>
      <x:c r="E156" s="18" t="n">
        <x:f>ROUND('参数'!$B$18*'参数'!$B$19^(A156-1)*C156*D156,0)</x:f>
        <x:v>551</x:v>
      </x:c>
      <x:c r="F156" s="18" t="n">
        <x:f>ROUND(E156*'参数'!$K$11,0)</x:f>
        <x:v>551</x:v>
      </x:c>
      <x:c r="G156" s="18" t="n">
        <x:f>ROUND(E156*'参数'!$K$12,0)</x:f>
        <x:v>303</x:v>
      </x:c>
      <x:c r="H156" s="18" t="n">
        <x:f>ROUND(E156*'参数'!$L$14,0)</x:f>
        <x:v>4408</x:v>
      </x:c>
      <x:c r="I156" s="18" t="n">
        <x:f>ROUND(E156*'参数'!$M$14,0)</x:f>
        <x:v>248</x:v>
      </x:c>
      <x:c r="J156" s="18" t="n">
        <x:f>ROUND(E156*'参数'!$K$21,0)</x:f>
        <x:v>1570</x:v>
      </x:c>
      <x:c r="K156" s="18" t="n">
        <x:f>ROUND(E156*'参数'!$L$21,0)</x:f>
        <x:v>12232</x:v>
      </x:c>
      <x:c r="L156" s="18" t="n">
        <x:f>ROUND(E156*'参数'!$M$21,0)</x:f>
        <x:v>964</x:v>
      </x:c>
      <x:c r="M156" s="21" t="n">
        <x:f>E156/E146-1</x:f>
        <x:v>0.20043572984749458</x:v>
      </x:c>
      <x:c r="N156" s="18" t="n">
        <x:f>ROUND(F156*'参数'!$B$20,0)</x:f>
        <x:v>523</x:v>
      </x:c>
      <x:c r="O156" s="18" t="n">
        <x:f>ROUND(F156*'参数'!$B$21,0)</x:f>
        <x:v>579</x:v>
      </x:c>
    </x:row>
    <x:row r="157" ht="22" customHeight="1">
      <x:c r="A157" s="19" t="n">
        <x:v>75</x:v>
      </x:c>
      <x:c r="B157" s="19" t="str">
        <x:v>良品</x:v>
      </x:c>
      <x:c r="C157" s="20" t="n">
        <x:f>'参数'!G12</x:f>
        <x:v>1.05</x:v>
      </x:c>
      <x:c r="D157" s="20" t="n">
        <x:f>'参数'!$B$49</x:f>
        <x:v>1.04</x:v>
      </x:c>
      <x:c r="E157" s="19" t="n">
        <x:f>ROUND('参数'!$B$18*'参数'!$B$19^(A157-1)*C157*D157,0)</x:f>
        <x:v>578</x:v>
      </x:c>
      <x:c r="F157" s="19" t="n">
        <x:f>ROUND(E157*'参数'!$K$11,0)</x:f>
        <x:v>578</x:v>
      </x:c>
      <x:c r="G157" s="19" t="n">
        <x:f>ROUND(E157*'参数'!$K$12,0)</x:f>
        <x:v>318</x:v>
      </x:c>
      <x:c r="H157" s="19" t="n">
        <x:f>ROUND(E157*'参数'!$L$14,0)</x:f>
        <x:v>4624</x:v>
      </x:c>
      <x:c r="I157" s="19" t="n">
        <x:f>ROUND(E157*'参数'!$M$14,0)</x:f>
        <x:v>260</x:v>
      </x:c>
      <x:c r="J157" s="19" t="n">
        <x:f>ROUND(E157*'参数'!$K$21,0)</x:f>
        <x:v>1647</x:v>
      </x:c>
      <x:c r="K157" s="19" t="n">
        <x:f>ROUND(E157*'参数'!$L$21,0)</x:f>
        <x:v>12832</x:v>
      </x:c>
      <x:c r="L157" s="19" t="n">
        <x:f>ROUND(E157*'参数'!$M$21,0)</x:f>
        <x:v>1012</x:v>
      </x:c>
      <x:c r="M157" s="22" t="n">
        <x:f>E157/E147-1</x:f>
        <x:v>0.19917012448132776</x:v>
      </x:c>
      <x:c r="N157" s="19" t="n">
        <x:f>ROUND(F157*'参数'!$B$20,0)</x:f>
        <x:v>549</x:v>
      </x:c>
      <x:c r="O157" s="19" t="n">
        <x:f>ROUND(F157*'参数'!$B$21,0)</x:f>
        <x:v>607</x:v>
      </x:c>
    </x:row>
    <x:row r="158" ht="22" customHeight="1">
      <x:c r="A158" s="18" t="n">
        <x:v>75</x:v>
      </x:c>
      <x:c r="B158" s="18" t="str">
        <x:v>珍品</x:v>
      </x:c>
      <x:c r="C158" s="15" t="n">
        <x:f>'参数'!G13</x:f>
        <x:v>1.1</x:v>
      </x:c>
      <x:c r="D158" s="15" t="n">
        <x:f>'参数'!$B$49</x:f>
        <x:v>1.04</x:v>
      </x:c>
      <x:c r="E158" s="18" t="n">
        <x:f>ROUND('参数'!$B$18*'参数'!$B$19^(A158-1)*C158*D158,0)</x:f>
        <x:v>606</x:v>
      </x:c>
      <x:c r="F158" s="18" t="n">
        <x:f>ROUND(E158*'参数'!$K$11,0)</x:f>
        <x:v>606</x:v>
      </x:c>
      <x:c r="G158" s="18" t="n">
        <x:f>ROUND(E158*'参数'!$K$12,0)</x:f>
        <x:v>333</x:v>
      </x:c>
      <x:c r="H158" s="18" t="n">
        <x:f>ROUND(E158*'参数'!$L$14,0)</x:f>
        <x:v>4848</x:v>
      </x:c>
      <x:c r="I158" s="18" t="n">
        <x:f>ROUND(E158*'参数'!$M$14,0)</x:f>
        <x:v>273</x:v>
      </x:c>
      <x:c r="J158" s="18" t="n">
        <x:f>ROUND(E158*'参数'!$K$21,0)</x:f>
        <x:v>1727</x:v>
      </x:c>
      <x:c r="K158" s="18" t="n">
        <x:f>ROUND(E158*'参数'!$L$21,0)</x:f>
        <x:v>13453</x:v>
      </x:c>
      <x:c r="L158" s="18" t="n">
        <x:f>ROUND(E158*'参数'!$M$21,0)</x:f>
        <x:v>1061</x:v>
      </x:c>
      <x:c r="M158" s="21" t="n">
        <x:f>E158/E148-1</x:f>
        <x:v>0.19999999999999996</x:v>
      </x:c>
      <x:c r="N158" s="18" t="n">
        <x:f>ROUND(F158*'参数'!$B$20,0)</x:f>
        <x:v>576</x:v>
      </x:c>
      <x:c r="O158" s="18" t="n">
        <x:f>ROUND(F158*'参数'!$B$21,0)</x:f>
        <x:v>636</x:v>
      </x:c>
    </x:row>
    <x:row r="159" ht="22" customHeight="1">
      <x:c r="A159" s="19" t="n">
        <x:v>75</x:v>
      </x:c>
      <x:c r="B159" s="19" t="str">
        <x:v>传奇</x:v>
      </x:c>
      <x:c r="C159" s="20" t="n">
        <x:f>'参数'!G14</x:f>
        <x:v>1.16</x:v>
      </x:c>
      <x:c r="D159" s="20" t="n">
        <x:f>'参数'!$B$49</x:f>
        <x:v>1.04</x:v>
      </x:c>
      <x:c r="E159" s="19" t="n">
        <x:f>ROUND('参数'!$B$18*'参数'!$B$19^(A159-1)*C159*D159,0)</x:f>
        <x:v>639</x:v>
      </x:c>
      <x:c r="F159" s="19" t="n">
        <x:f>ROUND(E159*'参数'!$K$11,0)</x:f>
        <x:v>639</x:v>
      </x:c>
      <x:c r="G159" s="19" t="n">
        <x:f>ROUND(E159*'参数'!$K$12,0)</x:f>
        <x:v>351</x:v>
      </x:c>
      <x:c r="H159" s="19" t="n">
        <x:f>ROUND(E159*'参数'!$L$14,0)</x:f>
        <x:v>5112</x:v>
      </x:c>
      <x:c r="I159" s="19" t="n">
        <x:f>ROUND(E159*'参数'!$M$14,0)</x:f>
        <x:v>288</x:v>
      </x:c>
      <x:c r="J159" s="19" t="n">
        <x:f>ROUND(E159*'参数'!$K$21,0)</x:f>
        <x:v>1821</x:v>
      </x:c>
      <x:c r="K159" s="19" t="n">
        <x:f>ROUND(E159*'参数'!$L$21,0)</x:f>
        <x:v>14186</x:v>
      </x:c>
      <x:c r="L159" s="19" t="n">
        <x:f>ROUND(E159*'参数'!$M$21,0)</x:f>
        <x:v>1118</x:v>
      </x:c>
      <x:c r="M159" s="22" t="n">
        <x:f>E159/E149-1</x:f>
        <x:v>0.1988742964352721</x:v>
      </x:c>
      <x:c r="N159" s="19" t="n">
        <x:f>ROUND(F159*'参数'!$B$20,0)</x:f>
        <x:v>607</x:v>
      </x:c>
      <x:c r="O159" s="19" t="n">
        <x:f>ROUND(F159*'参数'!$B$21,0)</x:f>
        <x:v>671</x:v>
      </x:c>
    </x:row>
    <x:row r="160" ht="22" customHeight="1">
      <x:c r="A160" s="18" t="n">
        <x:v>75</x:v>
      </x:c>
      <x:c r="B160" s="18" t="str">
        <x:v>传世</x:v>
      </x:c>
      <x:c r="C160" s="15" t="n">
        <x:f>'参数'!G15</x:f>
        <x:v>1.22</x:v>
      </x:c>
      <x:c r="D160" s="15" t="n">
        <x:f>'参数'!$B$49</x:f>
        <x:v>1.04</x:v>
      </x:c>
      <x:c r="E160" s="18" t="n">
        <x:f>ROUND('参数'!$B$18*'参数'!$B$19^(A160-1)*C160*D160,0)</x:f>
        <x:v>672</x:v>
      </x:c>
      <x:c r="F160" s="18" t="n">
        <x:f>ROUND(E160*'参数'!$K$11,0)</x:f>
        <x:v>672</x:v>
      </x:c>
      <x:c r="G160" s="18" t="n">
        <x:f>ROUND(E160*'参数'!$K$12,0)</x:f>
        <x:v>370</x:v>
      </x:c>
      <x:c r="H160" s="18" t="n">
        <x:f>ROUND(E160*'参数'!$L$14,0)</x:f>
        <x:v>5376</x:v>
      </x:c>
      <x:c r="I160" s="18" t="n">
        <x:f>ROUND(E160*'参数'!$M$14,0)</x:f>
        <x:v>302</x:v>
      </x:c>
      <x:c r="J160" s="18" t="n">
        <x:f>ROUND(E160*'参数'!$K$21,0)</x:f>
        <x:v>1915</x:v>
      </x:c>
      <x:c r="K160" s="18" t="n">
        <x:f>ROUND(E160*'参数'!$L$21,0)</x:f>
        <x:v>14918</x:v>
      </x:c>
      <x:c r="L160" s="18" t="n">
        <x:f>ROUND(E160*'参数'!$M$21,0)</x:f>
        <x:v>1176</x:v>
      </x:c>
      <x:c r="M160" s="21" t="n">
        <x:f>E160/E150-1</x:f>
        <x:v>0.19999999999999996</x:v>
      </x:c>
      <x:c r="N160" s="18" t="n">
        <x:f>ROUND(F160*'参数'!$B$20,0)</x:f>
        <x:v>638</x:v>
      </x:c>
      <x:c r="O160" s="18" t="n">
        <x:f>ROUND(F160*'参数'!$B$21,0)</x:f>
        <x:v>706</x:v>
      </x:c>
    </x:row>
    <x:row r="161" ht="22" customHeight="1">
      <x:c r="A161" s="19" t="n">
        <x:v>75</x:v>
      </x:c>
      <x:c r="B161" s="19" t="str">
        <x:v>灵蕴</x:v>
      </x:c>
      <x:c r="C161" s="20" t="n">
        <x:f>'参数'!G16</x:f>
        <x:v>1.29</x:v>
      </x:c>
      <x:c r="D161" s="20" t="n">
        <x:f>'参数'!$B$49</x:f>
        <x:v>1.04</x:v>
      </x:c>
      <x:c r="E161" s="19" t="n">
        <x:f>ROUND('参数'!$B$18*'参数'!$B$19^(A161-1)*C161*D161,0)</x:f>
        <x:v>710</x:v>
      </x:c>
      <x:c r="F161" s="19" t="n">
        <x:f>ROUND(E161*'参数'!$K$11,0)</x:f>
        <x:v>710</x:v>
      </x:c>
      <x:c r="G161" s="19" t="n">
        <x:f>ROUND(E161*'参数'!$K$12,0)</x:f>
        <x:v>391</x:v>
      </x:c>
      <x:c r="H161" s="19" t="n">
        <x:f>ROUND(E161*'参数'!$L$14,0)</x:f>
        <x:v>5680</x:v>
      </x:c>
      <x:c r="I161" s="19" t="n">
        <x:f>ROUND(E161*'参数'!$M$14,0)</x:f>
        <x:v>320</x:v>
      </x:c>
      <x:c r="J161" s="19" t="n">
        <x:f>ROUND(E161*'参数'!$K$21,0)</x:f>
        <x:v>2024</x:v>
      </x:c>
      <x:c r="K161" s="19" t="n">
        <x:f>ROUND(E161*'参数'!$L$21,0)</x:f>
        <x:v>15762</x:v>
      </x:c>
      <x:c r="L161" s="19" t="n">
        <x:f>ROUND(E161*'参数'!$M$21,0)</x:f>
        <x:v>1243</x:v>
      </x:c>
      <x:c r="M161" s="22" t="n">
        <x:f>E161/E151-1</x:f>
        <x:v>0.19932432432432434</x:v>
      </x:c>
      <x:c r="N161" s="19" t="n">
        <x:f>ROUND(F161*'参数'!$B$20,0)</x:f>
        <x:v>675</x:v>
      </x:c>
      <x:c r="O161" s="19" t="n">
        <x:f>ROUND(F161*'参数'!$B$21,0)</x:f>
        <x:v>746</x:v>
      </x:c>
    </x:row>
    <x:row r="162" ht="22" customHeight="1">
      <x:c r="A162" s="18" t="n">
        <x:v>75</x:v>
      </x:c>
      <x:c r="B162" s="18" t="str">
        <x:v>超然</x:v>
      </x:c>
      <x:c r="C162" s="15" t="n">
        <x:f>'参数'!G17</x:f>
        <x:v>1.36</x:v>
      </x:c>
      <x:c r="D162" s="15" t="n">
        <x:f>'参数'!$B$49</x:f>
        <x:v>1.04</x:v>
      </x:c>
      <x:c r="E162" s="18" t="n">
        <x:f>ROUND('参数'!$B$18*'参数'!$B$19^(A162-1)*C162*D162,0)</x:f>
        <x:v>749</x:v>
      </x:c>
      <x:c r="F162" s="18" t="n">
        <x:f>ROUND(E162*'参数'!$K$11,0)</x:f>
        <x:v>749</x:v>
      </x:c>
      <x:c r="G162" s="18" t="n">
        <x:f>ROUND(E162*'参数'!$K$12,0)</x:f>
        <x:v>412</x:v>
      </x:c>
      <x:c r="H162" s="18" t="n">
        <x:f>ROUND(E162*'参数'!$L$14,0)</x:f>
        <x:v>5992</x:v>
      </x:c>
      <x:c r="I162" s="18" t="n">
        <x:f>ROUND(E162*'参数'!$M$14,0)</x:f>
        <x:v>337</x:v>
      </x:c>
      <x:c r="J162" s="18" t="n">
        <x:f>ROUND(E162*'参数'!$K$21,0)</x:f>
        <x:v>2135</x:v>
      </x:c>
      <x:c r="K162" s="18" t="n">
        <x:f>ROUND(E162*'参数'!$L$21,0)</x:f>
        <x:v>16628</x:v>
      </x:c>
      <x:c r="L162" s="18" t="n">
        <x:f>ROUND(E162*'参数'!$M$21,0)</x:f>
        <x:v>1311</x:v>
      </x:c>
      <x:c r="M162" s="21" t="n">
        <x:f>E162/E152-1</x:f>
        <x:v>0.1983999999999999</x:v>
      </x:c>
      <x:c r="N162" s="18" t="n">
        <x:f>ROUND(F162*'参数'!$B$20,0)</x:f>
        <x:v>712</x:v>
      </x:c>
      <x:c r="O162" s="18" t="n">
        <x:f>ROUND(F162*'参数'!$B$21,0)</x:f>
        <x:v>786</x:v>
      </x:c>
    </x:row>
    <x:row r="163" ht="22" customHeight="1">
      <x:c r="A163" s="19" t="n">
        <x:v>75</x:v>
      </x:c>
      <x:c r="B163" s="19" t="str">
        <x:v>星穹</x:v>
      </x:c>
      <x:c r="C163" s="20" t="n">
        <x:f>'参数'!G18</x:f>
        <x:v>1.43</x:v>
      </x:c>
      <x:c r="D163" s="20" t="n">
        <x:f>'参数'!$B$49</x:f>
        <x:v>1.04</x:v>
      </x:c>
      <x:c r="E163" s="19" t="n">
        <x:f>ROUND('参数'!$B$18*'参数'!$B$19^(A163-1)*C163*D163,0)</x:f>
        <x:v>788</x:v>
      </x:c>
      <x:c r="F163" s="19" t="n">
        <x:f>ROUND(E163*'参数'!$K$11,0)</x:f>
        <x:v>788</x:v>
      </x:c>
      <x:c r="G163" s="19" t="n">
        <x:f>ROUND(E163*'参数'!$K$12,0)</x:f>
        <x:v>433</x:v>
      </x:c>
      <x:c r="H163" s="19" t="n">
        <x:f>ROUND(E163*'参数'!$L$14,0)</x:f>
        <x:v>6304</x:v>
      </x:c>
      <x:c r="I163" s="19" t="n">
        <x:f>ROUND(E163*'参数'!$M$14,0)</x:f>
        <x:v>355</x:v>
      </x:c>
      <x:c r="J163" s="19" t="n">
        <x:f>ROUND(E163*'参数'!$K$21,0)</x:f>
        <x:v>2246</x:v>
      </x:c>
      <x:c r="K163" s="19" t="n">
        <x:f>ROUND(E163*'参数'!$L$21,0)</x:f>
        <x:v>17494</x:v>
      </x:c>
      <x:c r="L163" s="19" t="n">
        <x:f>ROUND(E163*'参数'!$M$21,0)</x:f>
        <x:v>1379</x:v>
      </x:c>
      <x:c r="M163" s="22" t="n">
        <x:f>E163/E153-1</x:f>
        <x:v>0.19939117199391165</x:v>
      </x:c>
      <x:c r="N163" s="19" t="n">
        <x:f>ROUND(F163*'参数'!$B$20,0)</x:f>
        <x:v>749</x:v>
      </x:c>
      <x:c r="O163" s="19" t="n">
        <x:f>ROUND(F163*'参数'!$B$21,0)</x:f>
        <x:v>827</x:v>
      </x:c>
    </x:row>
    <x:row r="164" ht="22" customHeight="1">
      <x:c r="A164" s="18" t="n">
        <x:v>75</x:v>
      </x:c>
      <x:c r="B164" s="18" t="str">
        <x:v>神辉</x:v>
      </x:c>
      <x:c r="C164" s="15" t="n">
        <x:f>'参数'!G19</x:f>
        <x:v>1.51</x:v>
      </x:c>
      <x:c r="D164" s="15" t="n">
        <x:f>'参数'!$B$49</x:f>
        <x:v>1.04</x:v>
      </x:c>
      <x:c r="E164" s="18" t="n">
        <x:f>ROUND('参数'!$B$18*'参数'!$B$19^(A164-1)*C164*D164,0)</x:f>
        <x:v>832</x:v>
      </x:c>
      <x:c r="F164" s="18" t="n">
        <x:f>ROUND(E164*'参数'!$K$11,0)</x:f>
        <x:v>832</x:v>
      </x:c>
      <x:c r="G164" s="18" t="n">
        <x:f>ROUND(E164*'参数'!$K$12,0)</x:f>
        <x:v>458</x:v>
      </x:c>
      <x:c r="H164" s="18" t="n">
        <x:f>ROUND(E164*'参数'!$L$14,0)</x:f>
        <x:v>6656</x:v>
      </x:c>
      <x:c r="I164" s="18" t="n">
        <x:f>ROUND(E164*'参数'!$M$14,0)</x:f>
        <x:v>374</x:v>
      </x:c>
      <x:c r="J164" s="18" t="n">
        <x:f>ROUND(E164*'参数'!$K$21,0)</x:f>
        <x:v>2371</x:v>
      </x:c>
      <x:c r="K164" s="18" t="n">
        <x:f>ROUND(E164*'参数'!$L$21,0)</x:f>
        <x:v>18470</x:v>
      </x:c>
      <x:c r="L164" s="18" t="n">
        <x:f>ROUND(E164*'参数'!$M$21,0)</x:f>
        <x:v>1456</x:v>
      </x:c>
      <x:c r="M164" s="21" t="n">
        <x:f>E164/E154-1</x:f>
        <x:v>0.19884726224783855</x:v>
      </x:c>
      <x:c r="N164" s="18" t="n">
        <x:f>ROUND(F164*'参数'!$B$20,0)</x:f>
        <x:v>790</x:v>
      </x:c>
      <x:c r="O164" s="18" t="n">
        <x:f>ROUND(F164*'参数'!$B$21,0)</x:f>
        <x:v>874</x:v>
      </x:c>
    </x:row>
    <x:row r="165" ht="22" customHeight="1">
      <x:c r="A165" s="19" t="n">
        <x:v>75</x:v>
      </x:c>
      <x:c r="B165" s="19" t="str">
        <x:v>混元</x:v>
      </x:c>
      <x:c r="C165" s="20" t="n">
        <x:f>'参数'!G20</x:f>
        <x:v>1.6</x:v>
      </x:c>
      <x:c r="D165" s="20" t="n">
        <x:f>'参数'!$B$49</x:f>
        <x:v>1.04</x:v>
      </x:c>
      <x:c r="E165" s="19" t="n">
        <x:f>ROUND('参数'!$B$18*'参数'!$B$19^(A165-1)*C165*D165,0)</x:f>
        <x:v>881</x:v>
      </x:c>
      <x:c r="F165" s="19" t="n">
        <x:f>ROUND(E165*'参数'!$K$11,0)</x:f>
        <x:v>881</x:v>
      </x:c>
      <x:c r="G165" s="19" t="n">
        <x:f>ROUND(E165*'参数'!$K$12,0)</x:f>
        <x:v>485</x:v>
      </x:c>
      <x:c r="H165" s="19" t="n">
        <x:f>ROUND(E165*'参数'!$L$14,0)</x:f>
        <x:v>7048</x:v>
      </x:c>
      <x:c r="I165" s="19" t="n">
        <x:f>ROUND(E165*'参数'!$M$14,0)</x:f>
        <x:v>396</x:v>
      </x:c>
      <x:c r="J165" s="19" t="n">
        <x:f>ROUND(E165*'参数'!$K$21,0)</x:f>
        <x:v>2511</x:v>
      </x:c>
      <x:c r="K165" s="19" t="n">
        <x:f>ROUND(E165*'参数'!$L$21,0)</x:f>
        <x:v>19558</x:v>
      </x:c>
      <x:c r="L165" s="19" t="n">
        <x:f>ROUND(E165*'参数'!$M$21,0)</x:f>
        <x:v>1542</x:v>
      </x:c>
      <x:c r="M165" s="22" t="n">
        <x:f>E165/E155-1</x:f>
        <x:v>0.198639455782313</x:v>
      </x:c>
      <x:c r="N165" s="19" t="n">
        <x:f>ROUND(F165*'参数'!$B$20,0)</x:f>
        <x:v>837</x:v>
      </x:c>
      <x:c r="O165" s="19" t="n">
        <x:f>ROUND(F165*'参数'!$B$21,0)</x:f>
        <x:v>925</x:v>
      </x:c>
    </x:row>
    <x:row r="166" ht="22" customHeight="1">
      <x:c r="A166" s="18" t="n">
        <x:v>80</x:v>
      </x:c>
      <x:c r="B166" s="18" t="str">
        <x:v>凡品</x:v>
      </x:c>
      <x:c r="C166" s="15" t="n">
        <x:f>'参数'!G11</x:f>
        <x:v>1</x:v>
      </x:c>
      <x:c r="D166" s="15" t="n">
        <x:f>'参数'!$B$49</x:f>
        <x:v>1.04</x:v>
      </x:c>
      <x:c r="E166" s="18" t="n">
        <x:f>ROUND('参数'!$B$18*'参数'!$B$19^(A166-1)*C166*D166,0)</x:f>
        <x:v>660</x:v>
      </x:c>
      <x:c r="F166" s="18" t="n">
        <x:f>ROUND(E166*'参数'!$K$11,0)</x:f>
        <x:v>660</x:v>
      </x:c>
      <x:c r="G166" s="18" t="n">
        <x:f>ROUND(E166*'参数'!$K$12,0)</x:f>
        <x:v>363</x:v>
      </x:c>
      <x:c r="H166" s="18" t="n">
        <x:f>ROUND(E166*'参数'!$L$14,0)</x:f>
        <x:v>5280</x:v>
      </x:c>
      <x:c r="I166" s="18" t="n">
        <x:f>ROUND(E166*'参数'!$M$14,0)</x:f>
        <x:v>297</x:v>
      </x:c>
      <x:c r="J166" s="18" t="n">
        <x:f>ROUND(E166*'参数'!$K$21,0)</x:f>
        <x:v>1881</x:v>
      </x:c>
      <x:c r="K166" s="18" t="n">
        <x:f>ROUND(E166*'参数'!$L$21,0)</x:f>
        <x:v>14652</x:v>
      </x:c>
      <x:c r="L166" s="18" t="n">
        <x:f>ROUND(E166*'参数'!$M$21,0)</x:f>
        <x:v>1155</x:v>
      </x:c>
      <x:c r="M166" s="21" t="n">
        <x:f>E166/E156-1</x:f>
        <x:v>0.19782214156079858</x:v>
      </x:c>
      <x:c r="N166" s="18" t="n">
        <x:f>ROUND(F166*'参数'!$B$20,0)</x:f>
        <x:v>627</x:v>
      </x:c>
      <x:c r="O166" s="18" t="n">
        <x:f>ROUND(F166*'参数'!$B$21,0)</x:f>
        <x:v>693</x:v>
      </x:c>
    </x:row>
    <x:row r="167" ht="22" customHeight="1">
      <x:c r="A167" s="19" t="n">
        <x:v>80</x:v>
      </x:c>
      <x:c r="B167" s="19" t="str">
        <x:v>良品</x:v>
      </x:c>
      <x:c r="C167" s="20" t="n">
        <x:f>'参数'!G12</x:f>
        <x:v>1.05</x:v>
      </x:c>
      <x:c r="D167" s="20" t="n">
        <x:f>'参数'!$B$49</x:f>
        <x:v>1.04</x:v>
      </x:c>
      <x:c r="E167" s="19" t="n">
        <x:f>ROUND('参数'!$B$18*'参数'!$B$19^(A167-1)*C167*D167,0)</x:f>
        <x:v>694</x:v>
      </x:c>
      <x:c r="F167" s="19" t="n">
        <x:f>ROUND(E167*'参数'!$K$11,0)</x:f>
        <x:v>694</x:v>
      </x:c>
      <x:c r="G167" s="19" t="n">
        <x:f>ROUND(E167*'参数'!$K$12,0)</x:f>
        <x:v>382</x:v>
      </x:c>
      <x:c r="H167" s="19" t="n">
        <x:f>ROUND(E167*'参数'!$L$14,0)</x:f>
        <x:v>5552</x:v>
      </x:c>
      <x:c r="I167" s="19" t="n">
        <x:f>ROUND(E167*'参数'!$M$14,0)</x:f>
        <x:v>312</x:v>
      </x:c>
      <x:c r="J167" s="19" t="n">
        <x:f>ROUND(E167*'参数'!$K$21,0)</x:f>
        <x:v>1978</x:v>
      </x:c>
      <x:c r="K167" s="19" t="n">
        <x:f>ROUND(E167*'参数'!$L$21,0)</x:f>
        <x:v>15407</x:v>
      </x:c>
      <x:c r="L167" s="19" t="n">
        <x:f>ROUND(E167*'参数'!$M$21,0)</x:f>
        <x:v>1215</x:v>
      </x:c>
      <x:c r="M167" s="22" t="n">
        <x:f>E167/E157-1</x:f>
        <x:v>0.20069204152249132</x:v>
      </x:c>
      <x:c r="N167" s="19" t="n">
        <x:f>ROUND(F167*'参数'!$B$20,0)</x:f>
        <x:v>659</x:v>
      </x:c>
      <x:c r="O167" s="19" t="n">
        <x:f>ROUND(F167*'参数'!$B$21,0)</x:f>
        <x:v>729</x:v>
      </x:c>
    </x:row>
    <x:row r="168" ht="22" customHeight="1">
      <x:c r="A168" s="18" t="n">
        <x:v>80</x:v>
      </x:c>
      <x:c r="B168" s="18" t="str">
        <x:v>珍品</x:v>
      </x:c>
      <x:c r="C168" s="15" t="n">
        <x:f>'参数'!G13</x:f>
        <x:v>1.1</x:v>
      </x:c>
      <x:c r="D168" s="15" t="n">
        <x:f>'参数'!$B$49</x:f>
        <x:v>1.04</x:v>
      </x:c>
      <x:c r="E168" s="18" t="n">
        <x:f>ROUND('参数'!$B$18*'参数'!$B$19^(A168-1)*C168*D168,0)</x:f>
        <x:v>727</x:v>
      </x:c>
      <x:c r="F168" s="18" t="n">
        <x:f>ROUND(E168*'参数'!$K$11,0)</x:f>
        <x:v>727</x:v>
      </x:c>
      <x:c r="G168" s="18" t="n">
        <x:f>ROUND(E168*'参数'!$K$12,0)</x:f>
        <x:v>400</x:v>
      </x:c>
      <x:c r="H168" s="18" t="n">
        <x:f>ROUND(E168*'参数'!$L$14,0)</x:f>
        <x:v>5816</x:v>
      </x:c>
      <x:c r="I168" s="18" t="n">
        <x:f>ROUND(E168*'参数'!$M$14,0)</x:f>
        <x:v>327</x:v>
      </x:c>
      <x:c r="J168" s="18" t="n">
        <x:f>ROUND(E168*'参数'!$K$21,0)</x:f>
        <x:v>2072</x:v>
      </x:c>
      <x:c r="K168" s="18" t="n">
        <x:f>ROUND(E168*'参数'!$L$21,0)</x:f>
        <x:v>16139</x:v>
      </x:c>
      <x:c r="L168" s="18" t="n">
        <x:f>ROUND(E168*'参数'!$M$21,0)</x:f>
        <x:v>1272</x:v>
      </x:c>
      <x:c r="M168" s="21" t="n">
        <x:f>E168/E158-1</x:f>
        <x:v>0.1996699669966997</x:v>
      </x:c>
      <x:c r="N168" s="18" t="n">
        <x:f>ROUND(F168*'参数'!$B$20,0)</x:f>
        <x:v>691</x:v>
      </x:c>
      <x:c r="O168" s="18" t="n">
        <x:f>ROUND(F168*'参数'!$B$21,0)</x:f>
        <x:v>763</x:v>
      </x:c>
    </x:row>
    <x:row r="169" ht="22" customHeight="1">
      <x:c r="A169" s="19" t="n">
        <x:v>80</x:v>
      </x:c>
      <x:c r="B169" s="19" t="str">
        <x:v>传奇</x:v>
      </x:c>
      <x:c r="C169" s="20" t="n">
        <x:f>'参数'!G14</x:f>
        <x:v>1.16</x:v>
      </x:c>
      <x:c r="D169" s="20" t="n">
        <x:f>'参数'!$B$49</x:f>
        <x:v>1.04</x:v>
      </x:c>
      <x:c r="E169" s="19" t="n">
        <x:f>ROUND('参数'!$B$18*'参数'!$B$19^(A169-1)*C169*D169,0)</x:f>
        <x:v>766</x:v>
      </x:c>
      <x:c r="F169" s="19" t="n">
        <x:f>ROUND(E169*'参数'!$K$11,0)</x:f>
        <x:v>766</x:v>
      </x:c>
      <x:c r="G169" s="19" t="n">
        <x:f>ROUND(E169*'参数'!$K$12,0)</x:f>
        <x:v>421</x:v>
      </x:c>
      <x:c r="H169" s="19" t="n">
        <x:f>ROUND(E169*'参数'!$L$14,0)</x:f>
        <x:v>6128</x:v>
      </x:c>
      <x:c r="I169" s="19" t="n">
        <x:f>ROUND(E169*'参数'!$M$14,0)</x:f>
        <x:v>345</x:v>
      </x:c>
      <x:c r="J169" s="19" t="n">
        <x:f>ROUND(E169*'参数'!$K$21,0)</x:f>
        <x:v>2183</x:v>
      </x:c>
      <x:c r="K169" s="19" t="n">
        <x:f>ROUND(E169*'参数'!$L$21,0)</x:f>
        <x:v>17005</x:v>
      </x:c>
      <x:c r="L169" s="19" t="n">
        <x:f>ROUND(E169*'参数'!$M$21,0)</x:f>
        <x:v>1341</x:v>
      </x:c>
      <x:c r="M169" s="22" t="n">
        <x:f>E169/E159-1</x:f>
        <x:v>0.19874804381846634</x:v>
      </x:c>
      <x:c r="N169" s="19" t="n">
        <x:f>ROUND(F169*'参数'!$B$20,0)</x:f>
        <x:v>728</x:v>
      </x:c>
      <x:c r="O169" s="19" t="n">
        <x:f>ROUND(F169*'参数'!$B$21,0)</x:f>
        <x:v>804</x:v>
      </x:c>
    </x:row>
    <x:row r="170" ht="22" customHeight="1">
      <x:c r="A170" s="18" t="n">
        <x:v>80</x:v>
      </x:c>
      <x:c r="B170" s="18" t="str">
        <x:v>传世</x:v>
      </x:c>
      <x:c r="C170" s="15" t="n">
        <x:f>'参数'!G15</x:f>
        <x:v>1.22</x:v>
      </x:c>
      <x:c r="D170" s="15" t="n">
        <x:f>'参数'!$B$49</x:f>
        <x:v>1.04</x:v>
      </x:c>
      <x:c r="E170" s="18" t="n">
        <x:f>ROUND('参数'!$B$18*'参数'!$B$19^(A170-1)*C170*D170,0)</x:f>
        <x:v>806</x:v>
      </x:c>
      <x:c r="F170" s="18" t="n">
        <x:f>ROUND(E170*'参数'!$K$11,0)</x:f>
        <x:v>806</x:v>
      </x:c>
      <x:c r="G170" s="18" t="n">
        <x:f>ROUND(E170*'参数'!$K$12,0)</x:f>
        <x:v>443</x:v>
      </x:c>
      <x:c r="H170" s="18" t="n">
        <x:f>ROUND(E170*'参数'!$L$14,0)</x:f>
        <x:v>6448</x:v>
      </x:c>
      <x:c r="I170" s="18" t="n">
        <x:f>ROUND(E170*'参数'!$M$14,0)</x:f>
        <x:v>363</x:v>
      </x:c>
      <x:c r="J170" s="18" t="n">
        <x:f>ROUND(E170*'参数'!$K$21,0)</x:f>
        <x:v>2297</x:v>
      </x:c>
      <x:c r="K170" s="18" t="n">
        <x:f>ROUND(E170*'参数'!$L$21,0)</x:f>
        <x:v>17893</x:v>
      </x:c>
      <x:c r="L170" s="18" t="n">
        <x:f>ROUND(E170*'参数'!$M$21,0)</x:f>
        <x:v>1411</x:v>
      </x:c>
      <x:c r="M170" s="21" t="n">
        <x:f>E170/E160-1</x:f>
        <x:v>0.19940476190476186</x:v>
      </x:c>
      <x:c r="N170" s="18" t="n">
        <x:f>ROUND(F170*'参数'!$B$20,0)</x:f>
        <x:v>766</x:v>
      </x:c>
      <x:c r="O170" s="18" t="n">
        <x:f>ROUND(F170*'参数'!$B$21,0)</x:f>
        <x:v>846</x:v>
      </x:c>
    </x:row>
    <x:row r="171" ht="22" customHeight="1">
      <x:c r="A171" s="19" t="n">
        <x:v>80</x:v>
      </x:c>
      <x:c r="B171" s="19" t="str">
        <x:v>灵蕴</x:v>
      </x:c>
      <x:c r="C171" s="20" t="n">
        <x:f>'参数'!G16</x:f>
        <x:v>1.29</x:v>
      </x:c>
      <x:c r="D171" s="20" t="n">
        <x:f>'参数'!$B$49</x:f>
        <x:v>1.04</x:v>
      </x:c>
      <x:c r="E171" s="19" t="n">
        <x:f>ROUND('参数'!$B$18*'参数'!$B$19^(A171-1)*C171*D171,0)</x:f>
        <x:v>852</x:v>
      </x:c>
      <x:c r="F171" s="19" t="n">
        <x:f>ROUND(E171*'参数'!$K$11,0)</x:f>
        <x:v>852</x:v>
      </x:c>
      <x:c r="G171" s="19" t="n">
        <x:f>ROUND(E171*'参数'!$K$12,0)</x:f>
        <x:v>469</x:v>
      </x:c>
      <x:c r="H171" s="19" t="n">
        <x:f>ROUND(E171*'参数'!$L$14,0)</x:f>
        <x:v>6816</x:v>
      </x:c>
      <x:c r="I171" s="19" t="n">
        <x:f>ROUND(E171*'参数'!$M$14,0)</x:f>
        <x:v>383</x:v>
      </x:c>
      <x:c r="J171" s="19" t="n">
        <x:f>ROUND(E171*'参数'!$K$21,0)</x:f>
        <x:v>2428</x:v>
      </x:c>
      <x:c r="K171" s="19" t="n">
        <x:f>ROUND(E171*'参数'!$L$21,0)</x:f>
        <x:v>18914</x:v>
      </x:c>
      <x:c r="L171" s="19" t="n">
        <x:f>ROUND(E171*'参数'!$M$21,0)</x:f>
        <x:v>1491</x:v>
      </x:c>
      <x:c r="M171" s="22" t="n">
        <x:f>E171/E161-1</x:f>
        <x:v>0.19999999999999996</x:v>
      </x:c>
      <x:c r="N171" s="19" t="n">
        <x:f>ROUND(F171*'参数'!$B$20,0)</x:f>
        <x:v>809</x:v>
      </x:c>
      <x:c r="O171" s="19" t="n">
        <x:f>ROUND(F171*'参数'!$B$21,0)</x:f>
        <x:v>895</x:v>
      </x:c>
    </x:row>
    <x:row r="172" ht="22" customHeight="1">
      <x:c r="A172" s="18" t="n">
        <x:v>80</x:v>
      </x:c>
      <x:c r="B172" s="18" t="str">
        <x:v>超然</x:v>
      </x:c>
      <x:c r="C172" s="15" t="n">
        <x:f>'参数'!G17</x:f>
        <x:v>1.36</x:v>
      </x:c>
      <x:c r="D172" s="15" t="n">
        <x:f>'参数'!$B$49</x:f>
        <x:v>1.04</x:v>
      </x:c>
      <x:c r="E172" s="18" t="n">
        <x:f>ROUND('参数'!$B$18*'参数'!$B$19^(A172-1)*C172*D172,0)</x:f>
        <x:v>898</x:v>
      </x:c>
      <x:c r="F172" s="18" t="n">
        <x:f>ROUND(E172*'参数'!$K$11,0)</x:f>
        <x:v>898</x:v>
      </x:c>
      <x:c r="G172" s="18" t="n">
        <x:f>ROUND(E172*'参数'!$K$12,0)</x:f>
        <x:v>494</x:v>
      </x:c>
      <x:c r="H172" s="18" t="n">
        <x:f>ROUND(E172*'参数'!$L$14,0)</x:f>
        <x:v>7184</x:v>
      </x:c>
      <x:c r="I172" s="18" t="n">
        <x:f>ROUND(E172*'参数'!$M$14,0)</x:f>
        <x:v>404</x:v>
      </x:c>
      <x:c r="J172" s="18" t="n">
        <x:f>ROUND(E172*'参数'!$K$21,0)</x:f>
        <x:v>2559</x:v>
      </x:c>
      <x:c r="K172" s="18" t="n">
        <x:f>ROUND(E172*'参数'!$L$21,0)</x:f>
        <x:v>19936</x:v>
      </x:c>
      <x:c r="L172" s="18" t="n">
        <x:f>ROUND(E172*'参数'!$M$21,0)</x:f>
        <x:v>1572</x:v>
      </x:c>
      <x:c r="M172" s="21" t="n">
        <x:f>E172/E162-1</x:f>
        <x:v>0.198931909212283</x:v>
      </x:c>
      <x:c r="N172" s="18" t="n">
        <x:f>ROUND(F172*'参数'!$B$20,0)</x:f>
        <x:v>853</x:v>
      </x:c>
      <x:c r="O172" s="18" t="n">
        <x:f>ROUND(F172*'参数'!$B$21,0)</x:f>
        <x:v>943</x:v>
      </x:c>
    </x:row>
    <x:row r="173" ht="22" customHeight="1">
      <x:c r="A173" s="19" t="n">
        <x:v>80</x:v>
      </x:c>
      <x:c r="B173" s="19" t="str">
        <x:v>星穹</x:v>
      </x:c>
      <x:c r="C173" s="20" t="n">
        <x:f>'参数'!G18</x:f>
        <x:v>1.43</x:v>
      </x:c>
      <x:c r="D173" s="20" t="n">
        <x:f>'参数'!$B$49</x:f>
        <x:v>1.04</x:v>
      </x:c>
      <x:c r="E173" s="19" t="n">
        <x:f>ROUND('参数'!$B$18*'参数'!$B$19^(A173-1)*C173*D173,0)</x:f>
        <x:v>944</x:v>
      </x:c>
      <x:c r="F173" s="19" t="n">
        <x:f>ROUND(E173*'参数'!$K$11,0)</x:f>
        <x:v>944</x:v>
      </x:c>
      <x:c r="G173" s="19" t="n">
        <x:f>ROUND(E173*'参数'!$K$12,0)</x:f>
        <x:v>519</x:v>
      </x:c>
      <x:c r="H173" s="19" t="n">
        <x:f>ROUND(E173*'参数'!$L$14,0)</x:f>
        <x:v>7552</x:v>
      </x:c>
      <x:c r="I173" s="19" t="n">
        <x:f>ROUND(E173*'参数'!$M$14,0)</x:f>
        <x:v>425</x:v>
      </x:c>
      <x:c r="J173" s="19" t="n">
        <x:f>ROUND(E173*'参数'!$K$21,0)</x:f>
        <x:v>2690</x:v>
      </x:c>
      <x:c r="K173" s="19" t="n">
        <x:f>ROUND(E173*'参数'!$L$21,0)</x:f>
        <x:v>20957</x:v>
      </x:c>
      <x:c r="L173" s="19" t="n">
        <x:f>ROUND(E173*'参数'!$M$21,0)</x:f>
        <x:v>1652</x:v>
      </x:c>
      <x:c r="M173" s="22" t="n">
        <x:f>E173/E163-1</x:f>
        <x:v>0.19796954314720816</x:v>
      </x:c>
      <x:c r="N173" s="19" t="n">
        <x:f>ROUND(F173*'参数'!$B$20,0)</x:f>
        <x:v>897</x:v>
      </x:c>
      <x:c r="O173" s="19" t="n">
        <x:f>ROUND(F173*'参数'!$B$21,0)</x:f>
        <x:v>991</x:v>
      </x:c>
    </x:row>
    <x:row r="174" ht="22" customHeight="1">
      <x:c r="A174" s="18" t="n">
        <x:v>80</x:v>
      </x:c>
      <x:c r="B174" s="18" t="str">
        <x:v>神辉</x:v>
      </x:c>
      <x:c r="C174" s="15" t="n">
        <x:f>'参数'!G19</x:f>
        <x:v>1.51</x:v>
      </x:c>
      <x:c r="D174" s="15" t="n">
        <x:f>'参数'!$B$49</x:f>
        <x:v>1.04</x:v>
      </x:c>
      <x:c r="E174" s="18" t="n">
        <x:f>ROUND('参数'!$B$18*'参数'!$B$19^(A174-1)*C174*D174,0)</x:f>
        <x:v>997</x:v>
      </x:c>
      <x:c r="F174" s="18" t="n">
        <x:f>ROUND(E174*'参数'!$K$11,0)</x:f>
        <x:v>997</x:v>
      </x:c>
      <x:c r="G174" s="18" t="n">
        <x:f>ROUND(E174*'参数'!$K$12,0)</x:f>
        <x:v>548</x:v>
      </x:c>
      <x:c r="H174" s="18" t="n">
        <x:f>ROUND(E174*'参数'!$L$14,0)</x:f>
        <x:v>7976</x:v>
      </x:c>
      <x:c r="I174" s="18" t="n">
        <x:f>ROUND(E174*'参数'!$M$14,0)</x:f>
        <x:v>449</x:v>
      </x:c>
      <x:c r="J174" s="18" t="n">
        <x:f>ROUND(E174*'参数'!$K$21,0)</x:f>
        <x:v>2841</x:v>
      </x:c>
      <x:c r="K174" s="18" t="n">
        <x:f>ROUND(E174*'参数'!$L$21,0)</x:f>
        <x:v>22133</x:v>
      </x:c>
      <x:c r="L174" s="18" t="n">
        <x:f>ROUND(E174*'参数'!$M$21,0)</x:f>
        <x:v>1745</x:v>
      </x:c>
      <x:c r="M174" s="21" t="n">
        <x:f>E174/E164-1</x:f>
        <x:v>0.1983173076923077</x:v>
      </x:c>
      <x:c r="N174" s="18" t="n">
        <x:f>ROUND(F174*'参数'!$B$20,0)</x:f>
        <x:v>947</x:v>
      </x:c>
      <x:c r="O174" s="18" t="n">
        <x:f>ROUND(F174*'参数'!$B$21,0)</x:f>
        <x:v>1047</x:v>
      </x:c>
    </x:row>
    <x:row r="175" ht="22" customHeight="1">
      <x:c r="A175" s="19" t="n">
        <x:v>80</x:v>
      </x:c>
      <x:c r="B175" s="19" t="str">
        <x:v>混元</x:v>
      </x:c>
      <x:c r="C175" s="20" t="n">
        <x:f>'参数'!G20</x:f>
        <x:v>1.6</x:v>
      </x:c>
      <x:c r="D175" s="20" t="n">
        <x:f>'参数'!$B$49</x:f>
        <x:v>1.04</x:v>
      </x:c>
      <x:c r="E175" s="19" t="n">
        <x:f>ROUND('参数'!$B$18*'参数'!$B$19^(A175-1)*C175*D175,0)</x:f>
        <x:v>1057</x:v>
      </x:c>
      <x:c r="F175" s="19" t="n">
        <x:f>ROUND(E175*'参数'!$K$11,0)</x:f>
        <x:v>1057</x:v>
      </x:c>
      <x:c r="G175" s="19" t="n">
        <x:f>ROUND(E175*'参数'!$K$12,0)</x:f>
        <x:v>581</x:v>
      </x:c>
      <x:c r="H175" s="19" t="n">
        <x:f>ROUND(E175*'参数'!$L$14,0)</x:f>
        <x:v>8456</x:v>
      </x:c>
      <x:c r="I175" s="19" t="n">
        <x:f>ROUND(E175*'参数'!$M$14,0)</x:f>
        <x:v>476</x:v>
      </x:c>
      <x:c r="J175" s="19" t="n">
        <x:f>ROUND(E175*'参数'!$K$21,0)</x:f>
        <x:v>3012</x:v>
      </x:c>
      <x:c r="K175" s="19" t="n">
        <x:f>ROUND(E175*'参数'!$L$21,0)</x:f>
        <x:v>23465</x:v>
      </x:c>
      <x:c r="L175" s="19" t="n">
        <x:f>ROUND(E175*'参数'!$M$21,0)</x:f>
        <x:v>1850</x:v>
      </x:c>
      <x:c r="M175" s="22" t="n">
        <x:f>E175/E165-1</x:f>
        <x:v>0.19977298524404086</x:v>
      </x:c>
      <x:c r="N175" s="19" t="n">
        <x:f>ROUND(F175*'参数'!$B$20,0)</x:f>
        <x:v>1004</x:v>
      </x:c>
      <x:c r="O175" s="19" t="n">
        <x:f>ROUND(F175*'参数'!$B$21,0)</x:f>
        <x:v>1110</x:v>
      </x:c>
    </x:row>
    <x:row r="176" ht="22" customHeight="1">
      <x:c r="A176" s="18" t="n">
        <x:v>85</x:v>
      </x:c>
      <x:c r="B176" s="18" t="str">
        <x:v>凡品</x:v>
      </x:c>
      <x:c r="C176" s="15" t="n">
        <x:f>'参数'!G11</x:f>
        <x:v>1</x:v>
      </x:c>
      <x:c r="D176" s="15" t="n">
        <x:f>'参数'!$B$49</x:f>
        <x:v>1.04</x:v>
      </x:c>
      <x:c r="E176" s="18" t="n">
        <x:f>ROUND('参数'!$B$18*'参数'!$B$19^(A176-1)*C176*D176,0)</x:f>
        <x:v>792</x:v>
      </x:c>
      <x:c r="F176" s="18" t="n">
        <x:f>ROUND(E176*'参数'!$K$11,0)</x:f>
        <x:v>792</x:v>
      </x:c>
      <x:c r="G176" s="18" t="n">
        <x:f>ROUND(E176*'参数'!$K$12,0)</x:f>
        <x:v>436</x:v>
      </x:c>
      <x:c r="H176" s="18" t="n">
        <x:f>ROUND(E176*'参数'!$L$14,0)</x:f>
        <x:v>6336</x:v>
      </x:c>
      <x:c r="I176" s="18" t="n">
        <x:f>ROUND(E176*'参数'!$M$14,0)</x:f>
        <x:v>356</x:v>
      </x:c>
      <x:c r="J176" s="18" t="n">
        <x:f>ROUND(E176*'参数'!$K$21,0)</x:f>
        <x:v>2257</x:v>
      </x:c>
      <x:c r="K176" s="18" t="n">
        <x:f>ROUND(E176*'参数'!$L$21,0)</x:f>
        <x:v>17582</x:v>
      </x:c>
      <x:c r="L176" s="18" t="n">
        <x:f>ROUND(E176*'参数'!$M$21,0)</x:f>
        <x:v>1386</x:v>
      </x:c>
      <x:c r="M176" s="21" t="n">
        <x:f>E176/E166-1</x:f>
        <x:v>0.19999999999999996</x:v>
      </x:c>
      <x:c r="N176" s="18" t="n">
        <x:f>ROUND(F176*'参数'!$B$20,0)</x:f>
        <x:v>752</x:v>
      </x:c>
      <x:c r="O176" s="18" t="n">
        <x:f>ROUND(F176*'参数'!$B$21,0)</x:f>
        <x:v>832</x:v>
      </x:c>
    </x:row>
    <x:row r="177" ht="22" customHeight="1">
      <x:c r="A177" s="19" t="n">
        <x:v>85</x:v>
      </x:c>
      <x:c r="B177" s="19" t="str">
        <x:v>良品</x:v>
      </x:c>
      <x:c r="C177" s="20" t="n">
        <x:f>'参数'!G12</x:f>
        <x:v>1.05</x:v>
      </x:c>
      <x:c r="D177" s="20" t="n">
        <x:f>'参数'!$B$49</x:f>
        <x:v>1.04</x:v>
      </x:c>
      <x:c r="E177" s="19" t="n">
        <x:f>ROUND('参数'!$B$18*'参数'!$B$19^(A177-1)*C177*D177,0)</x:f>
        <x:v>832</x:v>
      </x:c>
      <x:c r="F177" s="19" t="n">
        <x:f>ROUND(E177*'参数'!$K$11,0)</x:f>
        <x:v>832</x:v>
      </x:c>
      <x:c r="G177" s="19" t="n">
        <x:f>ROUND(E177*'参数'!$K$12,0)</x:f>
        <x:v>458</x:v>
      </x:c>
      <x:c r="H177" s="19" t="n">
        <x:f>ROUND(E177*'参数'!$L$14,0)</x:f>
        <x:v>6656</x:v>
      </x:c>
      <x:c r="I177" s="19" t="n">
        <x:f>ROUND(E177*'参数'!$M$14,0)</x:f>
        <x:v>374</x:v>
      </x:c>
      <x:c r="J177" s="19" t="n">
        <x:f>ROUND(E177*'参数'!$K$21,0)</x:f>
        <x:v>2371</x:v>
      </x:c>
      <x:c r="K177" s="19" t="n">
        <x:f>ROUND(E177*'参数'!$L$21,0)</x:f>
        <x:v>18470</x:v>
      </x:c>
      <x:c r="L177" s="19" t="n">
        <x:f>ROUND(E177*'参数'!$M$21,0)</x:f>
        <x:v>1456</x:v>
      </x:c>
      <x:c r="M177" s="22" t="n">
        <x:f>E177/E167-1</x:f>
        <x:v>0.19884726224783855</x:v>
      </x:c>
      <x:c r="N177" s="19" t="n">
        <x:f>ROUND(F177*'参数'!$B$20,0)</x:f>
        <x:v>790</x:v>
      </x:c>
      <x:c r="O177" s="19" t="n">
        <x:f>ROUND(F177*'参数'!$B$21,0)</x:f>
        <x:v>874</x:v>
      </x:c>
    </x:row>
    <x:row r="178" ht="22" customHeight="1">
      <x:c r="A178" s="18" t="n">
        <x:v>85</x:v>
      </x:c>
      <x:c r="B178" s="18" t="str">
        <x:v>珍品</x:v>
      </x:c>
      <x:c r="C178" s="15" t="n">
        <x:f>'参数'!G13</x:f>
        <x:v>1.1</x:v>
      </x:c>
      <x:c r="D178" s="15" t="n">
        <x:f>'参数'!$B$49</x:f>
        <x:v>1.04</x:v>
      </x:c>
      <x:c r="E178" s="18" t="n">
        <x:f>ROUND('参数'!$B$18*'参数'!$B$19^(A178-1)*C178*D178,0)</x:f>
        <x:v>871</x:v>
      </x:c>
      <x:c r="F178" s="18" t="n">
        <x:f>ROUND(E178*'参数'!$K$11,0)</x:f>
        <x:v>871</x:v>
      </x:c>
      <x:c r="G178" s="18" t="n">
        <x:f>ROUND(E178*'参数'!$K$12,0)</x:f>
        <x:v>479</x:v>
      </x:c>
      <x:c r="H178" s="18" t="n">
        <x:f>ROUND(E178*'参数'!$L$14,0)</x:f>
        <x:v>6968</x:v>
      </x:c>
      <x:c r="I178" s="18" t="n">
        <x:f>ROUND(E178*'参数'!$M$14,0)</x:f>
        <x:v>392</x:v>
      </x:c>
      <x:c r="J178" s="18" t="n">
        <x:f>ROUND(E178*'参数'!$K$21,0)</x:f>
        <x:v>2482</x:v>
      </x:c>
      <x:c r="K178" s="18" t="n">
        <x:f>ROUND(E178*'参数'!$L$21,0)</x:f>
        <x:v>19336</x:v>
      </x:c>
      <x:c r="L178" s="18" t="n">
        <x:f>ROUND(E178*'参数'!$M$21,0)</x:f>
        <x:v>1524</x:v>
      </x:c>
      <x:c r="M178" s="21" t="n">
        <x:f>E178/E168-1</x:f>
        <x:v>0.1980742778541953</x:v>
      </x:c>
      <x:c r="N178" s="18" t="n">
        <x:f>ROUND(F178*'参数'!$B$20,0)</x:f>
        <x:v>827</x:v>
      </x:c>
      <x:c r="O178" s="18" t="n">
        <x:f>ROUND(F178*'参数'!$B$21,0)</x:f>
        <x:v>915</x:v>
      </x:c>
    </x:row>
    <x:row r="179" ht="22" customHeight="1">
      <x:c r="A179" s="19" t="n">
        <x:v>85</x:v>
      </x:c>
      <x:c r="B179" s="19" t="str">
        <x:v>传奇</x:v>
      </x:c>
      <x:c r="C179" s="20" t="n">
        <x:f>'参数'!G14</x:f>
        <x:v>1.16</x:v>
      </x:c>
      <x:c r="D179" s="20" t="n">
        <x:f>'参数'!$B$49</x:f>
        <x:v>1.04</x:v>
      </x:c>
      <x:c r="E179" s="19" t="n">
        <x:f>ROUND('参数'!$B$18*'参数'!$B$19^(A179-1)*C179*D179,0)</x:f>
        <x:v>919</x:v>
      </x:c>
      <x:c r="F179" s="19" t="n">
        <x:f>ROUND(E179*'参数'!$K$11,0)</x:f>
        <x:v>919</x:v>
      </x:c>
      <x:c r="G179" s="19" t="n">
        <x:f>ROUND(E179*'参数'!$K$12,0)</x:f>
        <x:v>505</x:v>
      </x:c>
      <x:c r="H179" s="19" t="n">
        <x:f>ROUND(E179*'参数'!$L$14,0)</x:f>
        <x:v>7352</x:v>
      </x:c>
      <x:c r="I179" s="19" t="n">
        <x:f>ROUND(E179*'参数'!$M$14,0)</x:f>
        <x:v>414</x:v>
      </x:c>
      <x:c r="J179" s="19" t="n">
        <x:f>ROUND(E179*'参数'!$K$21,0)</x:f>
        <x:v>2619</x:v>
      </x:c>
      <x:c r="K179" s="19" t="n">
        <x:f>ROUND(E179*'参数'!$L$21,0)</x:f>
        <x:v>20402</x:v>
      </x:c>
      <x:c r="L179" s="19" t="n">
        <x:f>ROUND(E179*'参数'!$M$21,0)</x:f>
        <x:v>1608</x:v>
      </x:c>
      <x:c r="M179" s="22" t="n">
        <x:f>E179/E169-1</x:f>
        <x:v>0.19973890339425582</x:v>
      </x:c>
      <x:c r="N179" s="19" t="n">
        <x:f>ROUND(F179*'参数'!$B$20,0)</x:f>
        <x:v>873</x:v>
      </x:c>
      <x:c r="O179" s="19" t="n">
        <x:f>ROUND(F179*'参数'!$B$21,0)</x:f>
        <x:v>965</x:v>
      </x:c>
    </x:row>
    <x:row r="180" ht="22" customHeight="1">
      <x:c r="A180" s="18" t="n">
        <x:v>85</x:v>
      </x:c>
      <x:c r="B180" s="18" t="str">
        <x:v>传世</x:v>
      </x:c>
      <x:c r="C180" s="15" t="n">
        <x:f>'参数'!G15</x:f>
        <x:v>1.22</x:v>
      </x:c>
      <x:c r="D180" s="15" t="n">
        <x:f>'参数'!$B$49</x:f>
        <x:v>1.04</x:v>
      </x:c>
      <x:c r="E180" s="18" t="n">
        <x:f>ROUND('参数'!$B$18*'参数'!$B$19^(A180-1)*C180*D180,0)</x:f>
        <x:v>966</x:v>
      </x:c>
      <x:c r="F180" s="18" t="n">
        <x:f>ROUND(E180*'参数'!$K$11,0)</x:f>
        <x:v>966</x:v>
      </x:c>
      <x:c r="G180" s="18" t="n">
        <x:f>ROUND(E180*'参数'!$K$12,0)</x:f>
        <x:v>531</x:v>
      </x:c>
      <x:c r="H180" s="18" t="n">
        <x:f>ROUND(E180*'参数'!$L$14,0)</x:f>
        <x:v>7728</x:v>
      </x:c>
      <x:c r="I180" s="18" t="n">
        <x:f>ROUND(E180*'参数'!$M$14,0)</x:f>
        <x:v>435</x:v>
      </x:c>
      <x:c r="J180" s="18" t="n">
        <x:f>ROUND(E180*'参数'!$K$21,0)</x:f>
        <x:v>2753</x:v>
      </x:c>
      <x:c r="K180" s="18" t="n">
        <x:f>ROUND(E180*'参数'!$L$21,0)</x:f>
        <x:v>21445</x:v>
      </x:c>
      <x:c r="L180" s="18" t="n">
        <x:f>ROUND(E180*'参数'!$M$21,0)</x:f>
        <x:v>1691</x:v>
      </x:c>
      <x:c r="M180" s="21" t="n">
        <x:f>E180/E170-1</x:f>
        <x:v>0.19851116625310183</x:v>
      </x:c>
      <x:c r="N180" s="18" t="n">
        <x:f>ROUND(F180*'参数'!$B$20,0)</x:f>
        <x:v>918</x:v>
      </x:c>
      <x:c r="O180" s="18" t="n">
        <x:f>ROUND(F180*'参数'!$B$21,0)</x:f>
        <x:v>1014</x:v>
      </x:c>
    </x:row>
    <x:row r="181" ht="22" customHeight="1">
      <x:c r="A181" s="19" t="n">
        <x:v>85</x:v>
      </x:c>
      <x:c r="B181" s="19" t="str">
        <x:v>灵蕴</x:v>
      </x:c>
      <x:c r="C181" s="20" t="n">
        <x:f>'参数'!G16</x:f>
        <x:v>1.29</x:v>
      </x:c>
      <x:c r="D181" s="20" t="n">
        <x:f>'参数'!$B$49</x:f>
        <x:v>1.04</x:v>
      </x:c>
      <x:c r="E181" s="19" t="n">
        <x:f>ROUND('参数'!$B$18*'参数'!$B$19^(A181-1)*C181*D181,0)</x:f>
        <x:v>1022</x:v>
      </x:c>
      <x:c r="F181" s="19" t="n">
        <x:f>ROUND(E181*'参数'!$K$11,0)</x:f>
        <x:v>1022</x:v>
      </x:c>
      <x:c r="G181" s="19" t="n">
        <x:f>ROUND(E181*'参数'!$K$12,0)</x:f>
        <x:v>562</x:v>
      </x:c>
      <x:c r="H181" s="19" t="n">
        <x:f>ROUND(E181*'参数'!$L$14,0)</x:f>
        <x:v>8176</x:v>
      </x:c>
      <x:c r="I181" s="19" t="n">
        <x:f>ROUND(E181*'参数'!$M$14,0)</x:f>
        <x:v>460</x:v>
      </x:c>
      <x:c r="J181" s="19" t="n">
        <x:f>ROUND(E181*'参数'!$K$21,0)</x:f>
        <x:v>2913</x:v>
      </x:c>
      <x:c r="K181" s="19" t="n">
        <x:f>ROUND(E181*'参数'!$L$21,0)</x:f>
        <x:v>22688</x:v>
      </x:c>
      <x:c r="L181" s="19" t="n">
        <x:f>ROUND(E181*'参数'!$M$21,0)</x:f>
        <x:v>1789</x:v>
      </x:c>
      <x:c r="M181" s="22" t="n">
        <x:f>E181/E171-1</x:f>
        <x:v>0.199530516431925</x:v>
      </x:c>
      <x:c r="N181" s="19" t="n">
        <x:f>ROUND(F181*'参数'!$B$20,0)</x:f>
        <x:v>971</x:v>
      </x:c>
      <x:c r="O181" s="19" t="n">
        <x:f>ROUND(F181*'参数'!$B$21,0)</x:f>
        <x:v>1073</x:v>
      </x:c>
    </x:row>
    <x:row r="182" ht="22" customHeight="1">
      <x:c r="A182" s="18" t="n">
        <x:v>85</x:v>
      </x:c>
      <x:c r="B182" s="18" t="str">
        <x:v>超然</x:v>
      </x:c>
      <x:c r="C182" s="15" t="n">
        <x:f>'参数'!G17</x:f>
        <x:v>1.36</x:v>
      </x:c>
      <x:c r="D182" s="15" t="n">
        <x:f>'参数'!$B$49</x:f>
        <x:v>1.04</x:v>
      </x:c>
      <x:c r="E182" s="18" t="n">
        <x:f>ROUND('参数'!$B$18*'参数'!$B$19^(A182-1)*C182*D182,0)</x:f>
        <x:v>1077</x:v>
      </x:c>
      <x:c r="F182" s="18" t="n">
        <x:f>ROUND(E182*'参数'!$K$11,0)</x:f>
        <x:v>1077</x:v>
      </x:c>
      <x:c r="G182" s="18" t="n">
        <x:f>ROUND(E182*'参数'!$K$12,0)</x:f>
        <x:v>592</x:v>
      </x:c>
      <x:c r="H182" s="18" t="n">
        <x:f>ROUND(E182*'参数'!$L$14,0)</x:f>
        <x:v>8616</x:v>
      </x:c>
      <x:c r="I182" s="18" t="n">
        <x:f>ROUND(E182*'参数'!$M$14,0)</x:f>
        <x:v>485</x:v>
      </x:c>
      <x:c r="J182" s="18" t="n">
        <x:f>ROUND(E182*'参数'!$K$21,0)</x:f>
        <x:v>3069</x:v>
      </x:c>
      <x:c r="K182" s="18" t="n">
        <x:f>ROUND(E182*'参数'!$L$21,0)</x:f>
        <x:v>23909</x:v>
      </x:c>
      <x:c r="L182" s="18" t="n">
        <x:f>ROUND(E182*'参数'!$M$21,0)</x:f>
        <x:v>1885</x:v>
      </x:c>
      <x:c r="M182" s="21" t="n">
        <x:f>E182/E172-1</x:f>
        <x:v>0.19933184855233854</x:v>
      </x:c>
      <x:c r="N182" s="18" t="n">
        <x:f>ROUND(F182*'参数'!$B$20,0)</x:f>
        <x:v>1023</x:v>
      </x:c>
      <x:c r="O182" s="18" t="n">
        <x:f>ROUND(F182*'参数'!$B$21,0)</x:f>
        <x:v>1131</x:v>
      </x:c>
    </x:row>
    <x:row r="183" ht="22" customHeight="1">
      <x:c r="A183" s="19" t="n">
        <x:v>85</x:v>
      </x:c>
      <x:c r="B183" s="19" t="str">
        <x:v>星穹</x:v>
      </x:c>
      <x:c r="C183" s="20" t="n">
        <x:f>'参数'!G18</x:f>
        <x:v>1.43</x:v>
      </x:c>
      <x:c r="D183" s="20" t="n">
        <x:f>'参数'!$B$49</x:f>
        <x:v>1.04</x:v>
      </x:c>
      <x:c r="E183" s="19" t="n">
        <x:f>ROUND('参数'!$B$18*'参数'!$B$19^(A183-1)*C183*D183,0)</x:f>
        <x:v>1133</x:v>
      </x:c>
      <x:c r="F183" s="19" t="n">
        <x:f>ROUND(E183*'参数'!$K$11,0)</x:f>
        <x:v>1133</x:v>
      </x:c>
      <x:c r="G183" s="19" t="n">
        <x:f>ROUND(E183*'参数'!$K$12,0)</x:f>
        <x:v>623</x:v>
      </x:c>
      <x:c r="H183" s="19" t="n">
        <x:f>ROUND(E183*'参数'!$L$14,0)</x:f>
        <x:v>9064</x:v>
      </x:c>
      <x:c r="I183" s="19" t="n">
        <x:f>ROUND(E183*'参数'!$M$14,0)</x:f>
        <x:v>510</x:v>
      </x:c>
      <x:c r="J183" s="19" t="n">
        <x:f>ROUND(E183*'参数'!$K$21,0)</x:f>
        <x:v>3229</x:v>
      </x:c>
      <x:c r="K183" s="19" t="n">
        <x:f>ROUND(E183*'参数'!$L$21,0)</x:f>
        <x:v>25153</x:v>
      </x:c>
      <x:c r="L183" s="19" t="n">
        <x:f>ROUND(E183*'参数'!$M$21,0)</x:f>
        <x:v>1983</x:v>
      </x:c>
      <x:c r="M183" s="22" t="n">
        <x:f>E183/E173-1</x:f>
        <x:v>0.20021186440677963</x:v>
      </x:c>
      <x:c r="N183" s="19" t="n">
        <x:f>ROUND(F183*'参数'!$B$20,0)</x:f>
        <x:v>1076</x:v>
      </x:c>
      <x:c r="O183" s="19" t="n">
        <x:f>ROUND(F183*'参数'!$B$21,0)</x:f>
        <x:v>1190</x:v>
      </x:c>
    </x:row>
    <x:row r="184" ht="22" customHeight="1">
      <x:c r="A184" s="18" t="n">
        <x:v>85</x:v>
      </x:c>
      <x:c r="B184" s="18" t="str">
        <x:v>神辉</x:v>
      </x:c>
      <x:c r="C184" s="15" t="n">
        <x:f>'参数'!G19</x:f>
        <x:v>1.51</x:v>
      </x:c>
      <x:c r="D184" s="15" t="n">
        <x:f>'参数'!$B$49</x:f>
        <x:v>1.04</x:v>
      </x:c>
      <x:c r="E184" s="18" t="n">
        <x:f>ROUND('参数'!$B$18*'参数'!$B$19^(A184-1)*C184*D184,0)</x:f>
        <x:v>1196</x:v>
      </x:c>
      <x:c r="F184" s="18" t="n">
        <x:f>ROUND(E184*'参数'!$K$11,0)</x:f>
        <x:v>1196</x:v>
      </x:c>
      <x:c r="G184" s="18" t="n">
        <x:f>ROUND(E184*'参数'!$K$12,0)</x:f>
        <x:v>658</x:v>
      </x:c>
      <x:c r="H184" s="18" t="n">
        <x:f>ROUND(E184*'参数'!$L$14,0)</x:f>
        <x:v>9568</x:v>
      </x:c>
      <x:c r="I184" s="18" t="n">
        <x:f>ROUND(E184*'参数'!$M$14,0)</x:f>
        <x:v>538</x:v>
      </x:c>
      <x:c r="J184" s="18" t="n">
        <x:f>ROUND(E184*'参数'!$K$21,0)</x:f>
        <x:v>3409</x:v>
      </x:c>
      <x:c r="K184" s="18" t="n">
        <x:f>ROUND(E184*'参数'!$L$21,0)</x:f>
        <x:v>26551</x:v>
      </x:c>
      <x:c r="L184" s="18" t="n">
        <x:f>ROUND(E184*'参数'!$M$21,0)</x:f>
        <x:v>2093</x:v>
      </x:c>
      <x:c r="M184" s="21" t="n">
        <x:f>E184/E174-1</x:f>
        <x:v>0.19959879638916744</x:v>
      </x:c>
      <x:c r="N184" s="18" t="n">
        <x:f>ROUND(F184*'参数'!$B$20,0)</x:f>
        <x:v>1136</x:v>
      </x:c>
      <x:c r="O184" s="18" t="n">
        <x:f>ROUND(F184*'参数'!$B$21,0)</x:f>
        <x:v>1256</x:v>
      </x:c>
    </x:row>
    <x:row r="185" ht="22" customHeight="1">
      <x:c r="A185" s="19" t="n">
        <x:v>85</x:v>
      </x:c>
      <x:c r="B185" s="19" t="str">
        <x:v>混元</x:v>
      </x:c>
      <x:c r="C185" s="20" t="n">
        <x:f>'参数'!G20</x:f>
        <x:v>1.6</x:v>
      </x:c>
      <x:c r="D185" s="20" t="n">
        <x:f>'参数'!$B$49</x:f>
        <x:v>1.04</x:v>
      </x:c>
      <x:c r="E185" s="19" t="n">
        <x:f>ROUND('参数'!$B$18*'参数'!$B$19^(A185-1)*C185*D185,0)</x:f>
        <x:v>1267</x:v>
      </x:c>
      <x:c r="F185" s="19" t="n">
        <x:f>ROUND(E185*'参数'!$K$11,0)</x:f>
        <x:v>1267</x:v>
      </x:c>
      <x:c r="G185" s="19" t="n">
        <x:f>ROUND(E185*'参数'!$K$12,0)</x:f>
        <x:v>697</x:v>
      </x:c>
      <x:c r="H185" s="19" t="n">
        <x:f>ROUND(E185*'参数'!$L$14,0)</x:f>
        <x:v>10136</x:v>
      </x:c>
      <x:c r="I185" s="19" t="n">
        <x:f>ROUND(E185*'参数'!$M$14,0)</x:f>
        <x:v>570</x:v>
      </x:c>
      <x:c r="J185" s="19" t="n">
        <x:f>ROUND(E185*'参数'!$K$21,0)</x:f>
        <x:v>3611</x:v>
      </x:c>
      <x:c r="K185" s="19" t="n">
        <x:f>ROUND(E185*'参数'!$L$21,0)</x:f>
        <x:v>28127</x:v>
      </x:c>
      <x:c r="L185" s="19" t="n">
        <x:f>ROUND(E185*'参数'!$M$21,0)</x:f>
        <x:v>2217</x:v>
      </x:c>
      <x:c r="M185" s="22" t="n">
        <x:f>E185/E175-1</x:f>
        <x:v>0.19867549668874163</x:v>
      </x:c>
      <x:c r="N185" s="19" t="n">
        <x:f>ROUND(F185*'参数'!$B$20,0)</x:f>
        <x:v>1204</x:v>
      </x:c>
      <x:c r="O185" s="19" t="n">
        <x:f>ROUND(F185*'参数'!$B$21,0)</x:f>
        <x:v>1330</x:v>
      </x:c>
    </x:row>
    <x:row r="186" ht="22" customHeight="1">
      <x:c r="A186" s="18" t="n">
        <x:v>90</x:v>
      </x:c>
      <x:c r="B186" s="18" t="str">
        <x:v>凡品</x:v>
      </x:c>
      <x:c r="C186" s="15" t="n">
        <x:f>'参数'!G11</x:f>
        <x:v>1</x:v>
      </x:c>
      <x:c r="D186" s="15" t="n">
        <x:f>'参数'!$B$49</x:f>
        <x:v>1.04</x:v>
      </x:c>
      <x:c r="E186" s="18" t="n">
        <x:f>ROUND('参数'!$B$18*'参数'!$B$19^(A186-1)*C186*D186,0)</x:f>
        <x:v>950</x:v>
      </x:c>
      <x:c r="F186" s="18" t="n">
        <x:f>ROUND(E186*'参数'!$K$11,0)</x:f>
        <x:v>950</x:v>
      </x:c>
      <x:c r="G186" s="18" t="n">
        <x:f>ROUND(E186*'参数'!$K$12,0)</x:f>
        <x:v>523</x:v>
      </x:c>
      <x:c r="H186" s="18" t="n">
        <x:f>ROUND(E186*'参数'!$L$14,0)</x:f>
        <x:v>7600</x:v>
      </x:c>
      <x:c r="I186" s="18" t="n">
        <x:f>ROUND(E186*'参数'!$M$14,0)</x:f>
        <x:v>428</x:v>
      </x:c>
      <x:c r="J186" s="18" t="n">
        <x:f>ROUND(E186*'参数'!$K$21,0)</x:f>
        <x:v>2708</x:v>
      </x:c>
      <x:c r="K186" s="18" t="n">
        <x:f>ROUND(E186*'参数'!$L$21,0)</x:f>
        <x:v>21090</x:v>
      </x:c>
      <x:c r="L186" s="18" t="n">
        <x:f>ROUND(E186*'参数'!$M$21,0)</x:f>
        <x:v>1663</x:v>
      </x:c>
      <x:c r="M186" s="21" t="n">
        <x:f>E186/E176-1</x:f>
        <x:v>0.1994949494949494</x:v>
      </x:c>
      <x:c r="N186" s="18" t="n">
        <x:f>ROUND(F186*'参数'!$B$20,0)</x:f>
        <x:v>903</x:v>
      </x:c>
      <x:c r="O186" s="18" t="n">
        <x:f>ROUND(F186*'参数'!$B$21,0)</x:f>
        <x:v>998</x:v>
      </x:c>
    </x:row>
    <x:row r="187" ht="22" customHeight="1">
      <x:c r="A187" s="19" t="n">
        <x:v>90</x:v>
      </x:c>
      <x:c r="B187" s="19" t="str">
        <x:v>良品</x:v>
      </x:c>
      <x:c r="C187" s="20" t="n">
        <x:f>'参数'!G12</x:f>
        <x:v>1.05</x:v>
      </x:c>
      <x:c r="D187" s="20" t="n">
        <x:f>'参数'!$B$49</x:f>
        <x:v>1.04</x:v>
      </x:c>
      <x:c r="E187" s="19" t="n">
        <x:f>ROUND('参数'!$B$18*'参数'!$B$19^(A187-1)*C187*D187,0)</x:f>
        <x:v>997</x:v>
      </x:c>
      <x:c r="F187" s="19" t="n">
        <x:f>ROUND(E187*'参数'!$K$11,0)</x:f>
        <x:v>997</x:v>
      </x:c>
      <x:c r="G187" s="19" t="n">
        <x:f>ROUND(E187*'参数'!$K$12,0)</x:f>
        <x:v>548</x:v>
      </x:c>
      <x:c r="H187" s="19" t="n">
        <x:f>ROUND(E187*'参数'!$L$14,0)</x:f>
        <x:v>7976</x:v>
      </x:c>
      <x:c r="I187" s="19" t="n">
        <x:f>ROUND(E187*'参数'!$M$14,0)</x:f>
        <x:v>449</x:v>
      </x:c>
      <x:c r="J187" s="19" t="n">
        <x:f>ROUND(E187*'参数'!$K$21,0)</x:f>
        <x:v>2841</x:v>
      </x:c>
      <x:c r="K187" s="19" t="n">
        <x:f>ROUND(E187*'参数'!$L$21,0)</x:f>
        <x:v>22133</x:v>
      </x:c>
      <x:c r="L187" s="19" t="n">
        <x:f>ROUND(E187*'参数'!$M$21,0)</x:f>
        <x:v>1745</x:v>
      </x:c>
      <x:c r="M187" s="22" t="n">
        <x:f>E187/E177-1</x:f>
        <x:v>0.1983173076923077</x:v>
      </x:c>
      <x:c r="N187" s="19" t="n">
        <x:f>ROUND(F187*'参数'!$B$20,0)</x:f>
        <x:v>947</x:v>
      </x:c>
      <x:c r="O187" s="19" t="n">
        <x:f>ROUND(F187*'参数'!$B$21,0)</x:f>
        <x:v>1047</x:v>
      </x:c>
    </x:row>
    <x:row r="188" ht="22" customHeight="1">
      <x:c r="A188" s="18" t="n">
        <x:v>90</x:v>
      </x:c>
      <x:c r="B188" s="18" t="str">
        <x:v>珍品</x:v>
      </x:c>
      <x:c r="C188" s="15" t="n">
        <x:f>'参数'!G13</x:f>
        <x:v>1.1</x:v>
      </x:c>
      <x:c r="D188" s="15" t="n">
        <x:f>'参数'!$B$49</x:f>
        <x:v>1.04</x:v>
      </x:c>
      <x:c r="E188" s="18" t="n">
        <x:f>ROUND('参数'!$B$18*'参数'!$B$19^(A188-1)*C188*D188,0)</x:f>
        <x:v>1045</x:v>
      </x:c>
      <x:c r="F188" s="18" t="n">
        <x:f>ROUND(E188*'参数'!$K$11,0)</x:f>
        <x:v>1045</x:v>
      </x:c>
      <x:c r="G188" s="18" t="n">
        <x:f>ROUND(E188*'参数'!$K$12,0)</x:f>
        <x:v>575</x:v>
      </x:c>
      <x:c r="H188" s="18" t="n">
        <x:f>ROUND(E188*'参数'!$L$14,0)</x:f>
        <x:v>8360</x:v>
      </x:c>
      <x:c r="I188" s="18" t="n">
        <x:f>ROUND(E188*'参数'!$M$14,0)</x:f>
        <x:v>470</x:v>
      </x:c>
      <x:c r="J188" s="18" t="n">
        <x:f>ROUND(E188*'参数'!$K$21,0)</x:f>
        <x:v>2978</x:v>
      </x:c>
      <x:c r="K188" s="18" t="n">
        <x:f>ROUND(E188*'参数'!$L$21,0)</x:f>
        <x:v>23199</x:v>
      </x:c>
      <x:c r="L188" s="18" t="n">
        <x:f>ROUND(E188*'参数'!$M$21,0)</x:f>
        <x:v>1829</x:v>
      </x:c>
      <x:c r="M188" s="21" t="n">
        <x:f>E188/E178-1</x:f>
        <x:v>0.19977037887485638</x:v>
      </x:c>
      <x:c r="N188" s="18" t="n">
        <x:f>ROUND(F188*'参数'!$B$20,0)</x:f>
        <x:v>993</x:v>
      </x:c>
      <x:c r="O188" s="18" t="n">
        <x:f>ROUND(F188*'参数'!$B$21,0)</x:f>
        <x:v>1097</x:v>
      </x:c>
    </x:row>
    <x:row r="189" ht="22" customHeight="1">
      <x:c r="A189" s="19" t="n">
        <x:v>90</x:v>
      </x:c>
      <x:c r="B189" s="19" t="str">
        <x:v>传奇</x:v>
      </x:c>
      <x:c r="C189" s="20" t="n">
        <x:f>'参数'!G14</x:f>
        <x:v>1.16</x:v>
      </x:c>
      <x:c r="D189" s="20" t="n">
        <x:f>'参数'!$B$49</x:f>
        <x:v>1.04</x:v>
      </x:c>
      <x:c r="E189" s="19" t="n">
        <x:f>ROUND('参数'!$B$18*'参数'!$B$19^(A189-1)*C189*D189,0)</x:f>
        <x:v>1102</x:v>
      </x:c>
      <x:c r="F189" s="19" t="n">
        <x:f>ROUND(E189*'参数'!$K$11,0)</x:f>
        <x:v>1102</x:v>
      </x:c>
      <x:c r="G189" s="19" t="n">
        <x:f>ROUND(E189*'参数'!$K$12,0)</x:f>
        <x:v>606</x:v>
      </x:c>
      <x:c r="H189" s="19" t="n">
        <x:f>ROUND(E189*'参数'!$L$14,0)</x:f>
        <x:v>8816</x:v>
      </x:c>
      <x:c r="I189" s="19" t="n">
        <x:f>ROUND(E189*'参数'!$M$14,0)</x:f>
        <x:v>496</x:v>
      </x:c>
      <x:c r="J189" s="19" t="n">
        <x:f>ROUND(E189*'参数'!$K$21,0)</x:f>
        <x:v>3141</x:v>
      </x:c>
      <x:c r="K189" s="19" t="n">
        <x:f>ROUND(E189*'参数'!$L$21,0)</x:f>
        <x:v>24464</x:v>
      </x:c>
      <x:c r="L189" s="19" t="n">
        <x:f>ROUND(E189*'参数'!$M$21,0)</x:f>
        <x:v>1929</x:v>
      </x:c>
      <x:c r="M189" s="22" t="n">
        <x:f>E189/E179-1</x:f>
        <x:v>0.1991294885745376</x:v>
      </x:c>
      <x:c r="N189" s="19" t="n">
        <x:f>ROUND(F189*'参数'!$B$20,0)</x:f>
        <x:v>1047</x:v>
      </x:c>
      <x:c r="O189" s="19" t="n">
        <x:f>ROUND(F189*'参数'!$B$21,0)</x:f>
        <x:v>1157</x:v>
      </x:c>
    </x:row>
    <x:row r="190" ht="22" customHeight="1">
      <x:c r="A190" s="18" t="n">
        <x:v>90</x:v>
      </x:c>
      <x:c r="B190" s="18" t="str">
        <x:v>传世</x:v>
      </x:c>
      <x:c r="C190" s="15" t="n">
        <x:f>'参数'!G15</x:f>
        <x:v>1.22</x:v>
      </x:c>
      <x:c r="D190" s="15" t="n">
        <x:f>'参数'!$B$49</x:f>
        <x:v>1.04</x:v>
      </x:c>
      <x:c r="E190" s="18" t="n">
        <x:f>ROUND('参数'!$B$18*'参数'!$B$19^(A190-1)*C190*D190,0)</x:f>
        <x:v>1159</x:v>
      </x:c>
      <x:c r="F190" s="18" t="n">
        <x:f>ROUND(E190*'参数'!$K$11,0)</x:f>
        <x:v>1159</x:v>
      </x:c>
      <x:c r="G190" s="18" t="n">
        <x:f>ROUND(E190*'参数'!$K$12,0)</x:f>
        <x:v>637</x:v>
      </x:c>
      <x:c r="H190" s="18" t="n">
        <x:f>ROUND(E190*'参数'!$L$14,0)</x:f>
        <x:v>9272</x:v>
      </x:c>
      <x:c r="I190" s="18" t="n">
        <x:f>ROUND(E190*'参数'!$M$14,0)</x:f>
        <x:v>522</x:v>
      </x:c>
      <x:c r="J190" s="18" t="n">
        <x:f>ROUND(E190*'参数'!$K$21,0)</x:f>
        <x:v>3303</x:v>
      </x:c>
      <x:c r="K190" s="18" t="n">
        <x:f>ROUND(E190*'参数'!$L$21,0)</x:f>
        <x:v>25730</x:v>
      </x:c>
      <x:c r="L190" s="18" t="n">
        <x:f>ROUND(E190*'参数'!$M$21,0)</x:f>
        <x:v>2028</x:v>
      </x:c>
      <x:c r="M190" s="21" t="n">
        <x:f>E190/E180-1</x:f>
        <x:v>0.19979296066252594</x:v>
      </x:c>
      <x:c r="N190" s="18" t="n">
        <x:f>ROUND(F190*'参数'!$B$20,0)</x:f>
        <x:v>1101</x:v>
      </x:c>
      <x:c r="O190" s="18" t="n">
        <x:f>ROUND(F190*'参数'!$B$21,0)</x:f>
        <x:v>1217</x:v>
      </x:c>
    </x:row>
    <x:row r="191" ht="22" customHeight="1">
      <x:c r="A191" s="19" t="n">
        <x:v>90</x:v>
      </x:c>
      <x:c r="B191" s="19" t="str">
        <x:v>灵蕴</x:v>
      </x:c>
      <x:c r="C191" s="20" t="n">
        <x:f>'参数'!G16</x:f>
        <x:v>1.29</x:v>
      </x:c>
      <x:c r="D191" s="20" t="n">
        <x:f>'参数'!$B$49</x:f>
        <x:v>1.04</x:v>
      </x:c>
      <x:c r="E191" s="19" t="n">
        <x:f>ROUND('参数'!$B$18*'参数'!$B$19^(A191-1)*C191*D191,0)</x:f>
        <x:v>1225</x:v>
      </x:c>
      <x:c r="F191" s="19" t="n">
        <x:f>ROUND(E191*'参数'!$K$11,0)</x:f>
        <x:v>1225</x:v>
      </x:c>
      <x:c r="G191" s="19" t="n">
        <x:f>ROUND(E191*'参数'!$K$12,0)</x:f>
        <x:v>674</x:v>
      </x:c>
      <x:c r="H191" s="19" t="n">
        <x:f>ROUND(E191*'参数'!$L$14,0)</x:f>
        <x:v>9800</x:v>
      </x:c>
      <x:c r="I191" s="19" t="n">
        <x:f>ROUND(E191*'参数'!$M$14,0)</x:f>
        <x:v>551</x:v>
      </x:c>
      <x:c r="J191" s="19" t="n">
        <x:f>ROUND(E191*'参数'!$K$21,0)</x:f>
        <x:v>3491</x:v>
      </x:c>
      <x:c r="K191" s="19" t="n">
        <x:f>ROUND(E191*'参数'!$L$21,0)</x:f>
        <x:v>27195</x:v>
      </x:c>
      <x:c r="L191" s="19" t="n">
        <x:f>ROUND(E191*'参数'!$M$21,0)</x:f>
        <x:v>2144</x:v>
      </x:c>
      <x:c r="M191" s="22" t="n">
        <x:f>E191/E181-1</x:f>
        <x:v>0.19863013698630128</x:v>
      </x:c>
      <x:c r="N191" s="19" t="n">
        <x:f>ROUND(F191*'参数'!$B$20,0)</x:f>
        <x:v>1164</x:v>
      </x:c>
      <x:c r="O191" s="19" t="n">
        <x:f>ROUND(F191*'参数'!$B$21,0)</x:f>
        <x:v>1286</x:v>
      </x:c>
    </x:row>
    <x:row r="192" ht="22" customHeight="1">
      <x:c r="A192" s="18" t="n">
        <x:v>90</x:v>
      </x:c>
      <x:c r="B192" s="18" t="str">
        <x:v>超然</x:v>
      </x:c>
      <x:c r="C192" s="15" t="n">
        <x:f>'参数'!G17</x:f>
        <x:v>1.36</x:v>
      </x:c>
      <x:c r="D192" s="15" t="n">
        <x:f>'参数'!$B$49</x:f>
        <x:v>1.04</x:v>
      </x:c>
      <x:c r="E192" s="18" t="n">
        <x:f>ROUND('参数'!$B$18*'参数'!$B$19^(A192-1)*C192*D192,0)</x:f>
        <x:v>1292</x:v>
      </x:c>
      <x:c r="F192" s="18" t="n">
        <x:f>ROUND(E192*'参数'!$K$11,0)</x:f>
        <x:v>1292</x:v>
      </x:c>
      <x:c r="G192" s="18" t="n">
        <x:f>ROUND(E192*'参数'!$K$12,0)</x:f>
        <x:v>711</x:v>
      </x:c>
      <x:c r="H192" s="18" t="n">
        <x:f>ROUND(E192*'参数'!$L$14,0)</x:f>
        <x:v>10336</x:v>
      </x:c>
      <x:c r="I192" s="18" t="n">
        <x:f>ROUND(E192*'参数'!$M$14,0)</x:f>
        <x:v>581</x:v>
      </x:c>
      <x:c r="J192" s="18" t="n">
        <x:f>ROUND(E192*'参数'!$K$21,0)</x:f>
        <x:v>3682</x:v>
      </x:c>
      <x:c r="K192" s="18" t="n">
        <x:f>ROUND(E192*'参数'!$L$21,0)</x:f>
        <x:v>28682</x:v>
      </x:c>
      <x:c r="L192" s="18" t="n">
        <x:f>ROUND(E192*'参数'!$M$21,0)</x:f>
        <x:v>2261</x:v>
      </x:c>
      <x:c r="M192" s="21" t="n">
        <x:f>E192/E182-1</x:f>
        <x:v>0.1996285979572887</x:v>
      </x:c>
      <x:c r="N192" s="18" t="n">
        <x:f>ROUND(F192*'参数'!$B$20,0)</x:f>
        <x:v>1227</x:v>
      </x:c>
      <x:c r="O192" s="18" t="n">
        <x:f>ROUND(F192*'参数'!$B$21,0)</x:f>
        <x:v>1357</x:v>
      </x:c>
    </x:row>
    <x:row r="193" ht="22" customHeight="1">
      <x:c r="A193" s="19" t="n">
        <x:v>90</x:v>
      </x:c>
      <x:c r="B193" s="19" t="str">
        <x:v>星穹</x:v>
      </x:c>
      <x:c r="C193" s="20" t="n">
        <x:f>'参数'!G18</x:f>
        <x:v>1.43</x:v>
      </x:c>
      <x:c r="D193" s="20" t="n">
        <x:f>'参数'!$B$49</x:f>
        <x:v>1.04</x:v>
      </x:c>
      <x:c r="E193" s="19" t="n">
        <x:f>ROUND('参数'!$B$18*'参数'!$B$19^(A193-1)*C193*D193,0)</x:f>
        <x:v>1358</x:v>
      </x:c>
      <x:c r="F193" s="19" t="n">
        <x:f>ROUND(E193*'参数'!$K$11,0)</x:f>
        <x:v>1358</x:v>
      </x:c>
      <x:c r="G193" s="19" t="n">
        <x:f>ROUND(E193*'参数'!$K$12,0)</x:f>
        <x:v>747</x:v>
      </x:c>
      <x:c r="H193" s="19" t="n">
        <x:f>ROUND(E193*'参数'!$L$14,0)</x:f>
        <x:v>10864</x:v>
      </x:c>
      <x:c r="I193" s="19" t="n">
        <x:f>ROUND(E193*'参数'!$M$14,0)</x:f>
        <x:v>611</x:v>
      </x:c>
      <x:c r="J193" s="19" t="n">
        <x:f>ROUND(E193*'参数'!$K$21,0)</x:f>
        <x:v>3870</x:v>
      </x:c>
      <x:c r="K193" s="19" t="n">
        <x:f>ROUND(E193*'参数'!$L$21,0)</x:f>
        <x:v>30148</x:v>
      </x:c>
      <x:c r="L193" s="19" t="n">
        <x:f>ROUND(E193*'参数'!$M$21,0)</x:f>
        <x:v>2377</x:v>
      </x:c>
      <x:c r="M193" s="22" t="n">
        <x:f>E193/E183-1</x:f>
        <x:v>0.19858781994704322</x:v>
      </x:c>
      <x:c r="N193" s="19" t="n">
        <x:f>ROUND(F193*'参数'!$B$20,0)</x:f>
        <x:v>1290</x:v>
      </x:c>
      <x:c r="O193" s="19" t="n">
        <x:f>ROUND(F193*'参数'!$B$21,0)</x:f>
        <x:v>1426</x:v>
      </x:c>
    </x:row>
    <x:row r="194" ht="22" customHeight="1">
      <x:c r="A194" s="18" t="n">
        <x:v>90</x:v>
      </x:c>
      <x:c r="B194" s="18" t="str">
        <x:v>神辉</x:v>
      </x:c>
      <x:c r="C194" s="15" t="n">
        <x:f>'参数'!G19</x:f>
        <x:v>1.51</x:v>
      </x:c>
      <x:c r="D194" s="15" t="n">
        <x:f>'参数'!$B$49</x:f>
        <x:v>1.04</x:v>
      </x:c>
      <x:c r="E194" s="18" t="n">
        <x:f>ROUND('参数'!$B$18*'参数'!$B$19^(A194-1)*C194*D194,0)</x:f>
        <x:v>1434</x:v>
      </x:c>
      <x:c r="F194" s="18" t="n">
        <x:f>ROUND(E194*'参数'!$K$11,0)</x:f>
        <x:v>1434</x:v>
      </x:c>
      <x:c r="G194" s="18" t="n">
        <x:f>ROUND(E194*'参数'!$K$12,0)</x:f>
        <x:v>789</x:v>
      </x:c>
      <x:c r="H194" s="18" t="n">
        <x:f>ROUND(E194*'参数'!$L$14,0)</x:f>
        <x:v>11472</x:v>
      </x:c>
      <x:c r="I194" s="18" t="n">
        <x:f>ROUND(E194*'参数'!$M$14,0)</x:f>
        <x:v>645</x:v>
      </x:c>
      <x:c r="J194" s="18" t="n">
        <x:f>ROUND(E194*'参数'!$K$21,0)</x:f>
        <x:v>4087</x:v>
      </x:c>
      <x:c r="K194" s="18" t="n">
        <x:f>ROUND(E194*'参数'!$L$21,0)</x:f>
        <x:v>31835</x:v>
      </x:c>
      <x:c r="L194" s="18" t="n">
        <x:f>ROUND(E194*'参数'!$M$21,0)</x:f>
        <x:v>2510</x:v>
      </x:c>
      <x:c r="M194" s="21" t="n">
        <x:f>E194/E184-1</x:f>
        <x:v>0.19899665551839463</x:v>
      </x:c>
      <x:c r="N194" s="18" t="n">
        <x:f>ROUND(F194*'参数'!$B$20,0)</x:f>
        <x:v>1362</x:v>
      </x:c>
      <x:c r="O194" s="18" t="n">
        <x:f>ROUND(F194*'参数'!$B$21,0)</x:f>
        <x:v>1506</x:v>
      </x:c>
    </x:row>
    <x:row r="195" ht="22" customHeight="1">
      <x:c r="A195" s="19" t="n">
        <x:v>90</x:v>
      </x:c>
      <x:c r="B195" s="19" t="str">
        <x:v>混元</x:v>
      </x:c>
      <x:c r="C195" s="20" t="n">
        <x:f>'参数'!G20</x:f>
        <x:v>1.6</x:v>
      </x:c>
      <x:c r="D195" s="20" t="n">
        <x:f>'参数'!$B$49</x:f>
        <x:v>1.04</x:v>
      </x:c>
      <x:c r="E195" s="19" t="n">
        <x:f>ROUND('参数'!$B$18*'参数'!$B$19^(A195-1)*C195*D195,0)</x:f>
        <x:v>1520</x:v>
      </x:c>
      <x:c r="F195" s="19" t="n">
        <x:f>ROUND(E195*'参数'!$K$11,0)</x:f>
        <x:v>1520</x:v>
      </x:c>
      <x:c r="G195" s="19" t="n">
        <x:f>ROUND(E195*'参数'!$K$12,0)</x:f>
        <x:v>836</x:v>
      </x:c>
      <x:c r="H195" s="19" t="n">
        <x:f>ROUND(E195*'参数'!$L$14,0)</x:f>
        <x:v>12160</x:v>
      </x:c>
      <x:c r="I195" s="19" t="n">
        <x:f>ROUND(E195*'参数'!$M$14,0)</x:f>
        <x:v>684</x:v>
      </x:c>
      <x:c r="J195" s="19" t="n">
        <x:f>ROUND(E195*'参数'!$K$21,0)</x:f>
        <x:v>4332</x:v>
      </x:c>
      <x:c r="K195" s="19" t="n">
        <x:f>ROUND(E195*'参数'!$L$21,0)</x:f>
        <x:v>33744</x:v>
      </x:c>
      <x:c r="L195" s="19" t="n">
        <x:f>ROUND(E195*'参数'!$M$21,0)</x:f>
        <x:v>2660</x:v>
      </x:c>
      <x:c r="M195" s="22" t="n">
        <x:f>E195/E185-1</x:f>
        <x:v>0.19968429360694562</x:v>
      </x:c>
      <x:c r="N195" s="19" t="n">
        <x:f>ROUND(F195*'参数'!$B$20,0)</x:f>
        <x:v>1444</x:v>
      </x:c>
      <x:c r="O195" s="19" t="n">
        <x:f>ROUND(F195*'参数'!$B$21,0)</x:f>
        <x:v>1596</x:v>
      </x:c>
    </x:row>
    <x:row r="196" ht="22" customHeight="1">
      <x:c r="A196" s="18" t="n">
        <x:v>95</x:v>
      </x:c>
      <x:c r="B196" s="18" t="str">
        <x:v>凡品</x:v>
      </x:c>
      <x:c r="C196" s="15" t="n">
        <x:f>'参数'!G11</x:f>
        <x:v>1</x:v>
      </x:c>
      <x:c r="D196" s="15" t="n">
        <x:f>'参数'!$B$49</x:f>
        <x:v>1.04</x:v>
      </x:c>
      <x:c r="E196" s="18" t="n">
        <x:f>ROUND('参数'!$B$18*'参数'!$B$19^(A196-1)*C196*D196,0)</x:f>
        <x:v>1139</x:v>
      </x:c>
      <x:c r="F196" s="18" t="n">
        <x:f>ROUND(E196*'参数'!$K$11,0)</x:f>
        <x:v>1139</x:v>
      </x:c>
      <x:c r="G196" s="18" t="n">
        <x:f>ROUND(E196*'参数'!$K$12,0)</x:f>
        <x:v>626</x:v>
      </x:c>
      <x:c r="H196" s="18" t="n">
        <x:f>ROUND(E196*'参数'!$L$14,0)</x:f>
        <x:v>9112</x:v>
      </x:c>
      <x:c r="I196" s="18" t="n">
        <x:f>ROUND(E196*'参数'!$M$14,0)</x:f>
        <x:v>513</x:v>
      </x:c>
      <x:c r="J196" s="18" t="n">
        <x:f>ROUND(E196*'参数'!$K$21,0)</x:f>
        <x:v>3246</x:v>
      </x:c>
      <x:c r="K196" s="18" t="n">
        <x:f>ROUND(E196*'参数'!$L$21,0)</x:f>
        <x:v>25286</x:v>
      </x:c>
      <x:c r="L196" s="18" t="n">
        <x:f>ROUND(E196*'参数'!$M$21,0)</x:f>
        <x:v>1993</x:v>
      </x:c>
      <x:c r="M196" s="21" t="n">
        <x:f>E196/E186-1</x:f>
        <x:v>0.19894736842105254</x:v>
      </x:c>
      <x:c r="N196" s="18" t="n">
        <x:f>ROUND(F196*'参数'!$B$20,0)</x:f>
        <x:v>1082</x:v>
      </x:c>
      <x:c r="O196" s="18" t="n">
        <x:f>ROUND(F196*'参数'!$B$21,0)</x:f>
        <x:v>1196</x:v>
      </x:c>
    </x:row>
    <x:row r="197" ht="22" customHeight="1">
      <x:c r="A197" s="19" t="n">
        <x:v>95</x:v>
      </x:c>
      <x:c r="B197" s="19" t="str">
        <x:v>良品</x:v>
      </x:c>
      <x:c r="C197" s="20" t="n">
        <x:f>'参数'!G12</x:f>
        <x:v>1.05</x:v>
      </x:c>
      <x:c r="D197" s="20" t="n">
        <x:f>'参数'!$B$49</x:f>
        <x:v>1.04</x:v>
      </x:c>
      <x:c r="E197" s="19" t="n">
        <x:f>ROUND('参数'!$B$18*'参数'!$B$19^(A197-1)*C197*D197,0)</x:f>
        <x:v>1196</x:v>
      </x:c>
      <x:c r="F197" s="19" t="n">
        <x:f>ROUND(E197*'参数'!$K$11,0)</x:f>
        <x:v>1196</x:v>
      </x:c>
      <x:c r="G197" s="19" t="n">
        <x:f>ROUND(E197*'参数'!$K$12,0)</x:f>
        <x:v>658</x:v>
      </x:c>
      <x:c r="H197" s="19" t="n">
        <x:f>ROUND(E197*'参数'!$L$14,0)</x:f>
        <x:v>9568</x:v>
      </x:c>
      <x:c r="I197" s="19" t="n">
        <x:f>ROUND(E197*'参数'!$M$14,0)</x:f>
        <x:v>538</x:v>
      </x:c>
      <x:c r="J197" s="19" t="n">
        <x:f>ROUND(E197*'参数'!$K$21,0)</x:f>
        <x:v>3409</x:v>
      </x:c>
      <x:c r="K197" s="19" t="n">
        <x:f>ROUND(E197*'参数'!$L$21,0)</x:f>
        <x:v>26551</x:v>
      </x:c>
      <x:c r="L197" s="19" t="n">
        <x:f>ROUND(E197*'参数'!$M$21,0)</x:f>
        <x:v>2093</x:v>
      </x:c>
      <x:c r="M197" s="22" t="n">
        <x:f>E197/E187-1</x:f>
        <x:v>0.19959879638916744</x:v>
      </x:c>
      <x:c r="N197" s="19" t="n">
        <x:f>ROUND(F197*'参数'!$B$20,0)</x:f>
        <x:v>1136</x:v>
      </x:c>
      <x:c r="O197" s="19" t="n">
        <x:f>ROUND(F197*'参数'!$B$21,0)</x:f>
        <x:v>1256</x:v>
      </x:c>
    </x:row>
    <x:row r="198" ht="22" customHeight="1">
      <x:c r="A198" s="18" t="n">
        <x:v>95</x:v>
      </x:c>
      <x:c r="B198" s="18" t="str">
        <x:v>珍品</x:v>
      </x:c>
      <x:c r="C198" s="15" t="n">
        <x:f>'参数'!G13</x:f>
        <x:v>1.1</x:v>
      </x:c>
      <x:c r="D198" s="15" t="n">
        <x:f>'参数'!$B$49</x:f>
        <x:v>1.04</x:v>
      </x:c>
      <x:c r="E198" s="18" t="n">
        <x:f>ROUND('参数'!$B$18*'参数'!$B$19^(A198-1)*C198*D198,0)</x:f>
        <x:v>1253</x:v>
      </x:c>
      <x:c r="F198" s="18" t="n">
        <x:f>ROUND(E198*'参数'!$K$11,0)</x:f>
        <x:v>1253</x:v>
      </x:c>
      <x:c r="G198" s="18" t="n">
        <x:f>ROUND(E198*'参数'!$K$12,0)</x:f>
        <x:v>689</x:v>
      </x:c>
      <x:c r="H198" s="18" t="n">
        <x:f>ROUND(E198*'参数'!$L$14,0)</x:f>
        <x:v>10024</x:v>
      </x:c>
      <x:c r="I198" s="18" t="n">
        <x:f>ROUND(E198*'参数'!$M$14,0)</x:f>
        <x:v>564</x:v>
      </x:c>
      <x:c r="J198" s="18" t="n">
        <x:f>ROUND(E198*'参数'!$K$21,0)</x:f>
        <x:v>3571</x:v>
      </x:c>
      <x:c r="K198" s="18" t="n">
        <x:f>ROUND(E198*'参数'!$L$21,0)</x:f>
        <x:v>27817</x:v>
      </x:c>
      <x:c r="L198" s="18" t="n">
        <x:f>ROUND(E198*'参数'!$M$21,0)</x:f>
        <x:v>2193</x:v>
      </x:c>
      <x:c r="M198" s="21" t="n">
        <x:f>E198/E188-1</x:f>
        <x:v>0.1990430622009569</x:v>
      </x:c>
      <x:c r="N198" s="18" t="n">
        <x:f>ROUND(F198*'参数'!$B$20,0)</x:f>
        <x:v>1190</x:v>
      </x:c>
      <x:c r="O198" s="18" t="n">
        <x:f>ROUND(F198*'参数'!$B$21,0)</x:f>
        <x:v>1316</x:v>
      </x:c>
    </x:row>
    <x:row r="199" ht="22" customHeight="1">
      <x:c r="A199" s="19" t="n">
        <x:v>95</x:v>
      </x:c>
      <x:c r="B199" s="19" t="str">
        <x:v>传奇</x:v>
      </x:c>
      <x:c r="C199" s="20" t="n">
        <x:f>'参数'!G14</x:f>
        <x:v>1.16</x:v>
      </x:c>
      <x:c r="D199" s="20" t="n">
        <x:f>'参数'!$B$49</x:f>
        <x:v>1.04</x:v>
      </x:c>
      <x:c r="E199" s="19" t="n">
        <x:f>ROUND('参数'!$B$18*'参数'!$B$19^(A199-1)*C199*D199,0)</x:f>
        <x:v>1321</x:v>
      </x:c>
      <x:c r="F199" s="19" t="n">
        <x:f>ROUND(E199*'参数'!$K$11,0)</x:f>
        <x:v>1321</x:v>
      </x:c>
      <x:c r="G199" s="19" t="n">
        <x:f>ROUND(E199*'参数'!$K$12,0)</x:f>
        <x:v>727</x:v>
      </x:c>
      <x:c r="H199" s="19" t="n">
        <x:f>ROUND(E199*'参数'!$L$14,0)</x:f>
        <x:v>10568</x:v>
      </x:c>
      <x:c r="I199" s="19" t="n">
        <x:f>ROUND(E199*'参数'!$M$14,0)</x:f>
        <x:v>594</x:v>
      </x:c>
      <x:c r="J199" s="19" t="n">
        <x:f>ROUND(E199*'参数'!$K$21,0)</x:f>
        <x:v>3765</x:v>
      </x:c>
      <x:c r="K199" s="19" t="n">
        <x:f>ROUND(E199*'参数'!$L$21,0)</x:f>
        <x:v>29326</x:v>
      </x:c>
      <x:c r="L199" s="19" t="n">
        <x:f>ROUND(E199*'参数'!$M$21,0)</x:f>
        <x:v>2312</x:v>
      </x:c>
      <x:c r="M199" s="22" t="n">
        <x:f>E199/E189-1</x:f>
        <x:v>0.19872958257713247</x:v>
      </x:c>
      <x:c r="N199" s="19" t="n">
        <x:f>ROUND(F199*'参数'!$B$20,0)</x:f>
        <x:v>1255</x:v>
      </x:c>
      <x:c r="O199" s="19" t="n">
        <x:f>ROUND(F199*'参数'!$B$21,0)</x:f>
        <x:v>1387</x:v>
      </x:c>
    </x:row>
    <x:row r="200" ht="22" customHeight="1">
      <x:c r="A200" s="18" t="n">
        <x:v>95</x:v>
      </x:c>
      <x:c r="B200" s="18" t="str">
        <x:v>传世</x:v>
      </x:c>
      <x:c r="C200" s="15" t="n">
        <x:f>'参数'!G15</x:f>
        <x:v>1.22</x:v>
      </x:c>
      <x:c r="D200" s="15" t="n">
        <x:f>'参数'!$B$49</x:f>
        <x:v>1.04</x:v>
      </x:c>
      <x:c r="E200" s="18" t="n">
        <x:f>ROUND('参数'!$B$18*'参数'!$B$19^(A200-1)*C200*D200,0)</x:f>
        <x:v>1390</x:v>
      </x:c>
      <x:c r="F200" s="18" t="n">
        <x:f>ROUND(E200*'参数'!$K$11,0)</x:f>
        <x:v>1390</x:v>
      </x:c>
      <x:c r="G200" s="18" t="n">
        <x:f>ROUND(E200*'参数'!$K$12,0)</x:f>
        <x:v>765</x:v>
      </x:c>
      <x:c r="H200" s="18" t="n">
        <x:f>ROUND(E200*'参数'!$L$14,0)</x:f>
        <x:v>11120</x:v>
      </x:c>
      <x:c r="I200" s="18" t="n">
        <x:f>ROUND(E200*'参数'!$M$14,0)</x:f>
        <x:v>626</x:v>
      </x:c>
      <x:c r="J200" s="18" t="n">
        <x:f>ROUND(E200*'参数'!$K$21,0)</x:f>
        <x:v>3962</x:v>
      </x:c>
      <x:c r="K200" s="18" t="n">
        <x:f>ROUND(E200*'参数'!$L$21,0)</x:f>
        <x:v>30858</x:v>
      </x:c>
      <x:c r="L200" s="18" t="n">
        <x:f>ROUND(E200*'参数'!$M$21,0)</x:f>
        <x:v>2433</x:v>
      </x:c>
      <x:c r="M200" s="21" t="n">
        <x:f>E200/E190-1</x:f>
        <x:v>0.19930974978429683</x:v>
      </x:c>
      <x:c r="N200" s="18" t="n">
        <x:f>ROUND(F200*'参数'!$B$20,0)</x:f>
        <x:v>1321</x:v>
      </x:c>
      <x:c r="O200" s="18" t="n">
        <x:f>ROUND(F200*'参数'!$B$21,0)</x:f>
        <x:v>1460</x:v>
      </x:c>
    </x:row>
    <x:row r="201" ht="22" customHeight="1">
      <x:c r="A201" s="19" t="n">
        <x:v>95</x:v>
      </x:c>
      <x:c r="B201" s="19" t="str">
        <x:v>灵蕴</x:v>
      </x:c>
      <x:c r="C201" s="20" t="n">
        <x:f>'参数'!G16</x:f>
        <x:v>1.29</x:v>
      </x:c>
      <x:c r="D201" s="20" t="n">
        <x:f>'参数'!$B$49</x:f>
        <x:v>1.04</x:v>
      </x:c>
      <x:c r="E201" s="19" t="n">
        <x:f>ROUND('参数'!$B$18*'参数'!$B$19^(A201-1)*C201*D201,0)</x:f>
        <x:v>1469</x:v>
      </x:c>
      <x:c r="F201" s="19" t="n">
        <x:f>ROUND(E201*'参数'!$K$11,0)</x:f>
        <x:v>1469</x:v>
      </x:c>
      <x:c r="G201" s="19" t="n">
        <x:f>ROUND(E201*'参数'!$K$12,0)</x:f>
        <x:v>808</x:v>
      </x:c>
      <x:c r="H201" s="19" t="n">
        <x:f>ROUND(E201*'参数'!$L$14,0)</x:f>
        <x:v>11752</x:v>
      </x:c>
      <x:c r="I201" s="19" t="n">
        <x:f>ROUND(E201*'参数'!$M$14,0)</x:f>
        <x:v>661</x:v>
      </x:c>
      <x:c r="J201" s="19" t="n">
        <x:f>ROUND(E201*'参数'!$K$21,0)</x:f>
        <x:v>4187</x:v>
      </x:c>
      <x:c r="K201" s="19" t="n">
        <x:f>ROUND(E201*'参数'!$L$21,0)</x:f>
        <x:v>32612</x:v>
      </x:c>
      <x:c r="L201" s="19" t="n">
        <x:f>ROUND(E201*'参数'!$M$21,0)</x:f>
        <x:v>2571</x:v>
      </x:c>
      <x:c r="M201" s="22" t="n">
        <x:f>E201/E191-1</x:f>
        <x:v>0.1991836734693877</x:v>
      </x:c>
      <x:c r="N201" s="19" t="n">
        <x:f>ROUND(F201*'参数'!$B$20,0)</x:f>
        <x:v>1396</x:v>
      </x:c>
      <x:c r="O201" s="19" t="n">
        <x:f>ROUND(F201*'参数'!$B$21,0)</x:f>
        <x:v>1542</x:v>
      </x:c>
    </x:row>
    <x:row r="202" ht="22" customHeight="1">
      <x:c r="A202" s="18" t="n">
        <x:v>95</x:v>
      </x:c>
      <x:c r="B202" s="18" t="str">
        <x:v>超然</x:v>
      </x:c>
      <x:c r="C202" s="15" t="n">
        <x:f>'参数'!G17</x:f>
        <x:v>1.36</x:v>
      </x:c>
      <x:c r="D202" s="15" t="n">
        <x:f>'参数'!$B$49</x:f>
        <x:v>1.04</x:v>
      </x:c>
      <x:c r="E202" s="18" t="n">
        <x:f>ROUND('参数'!$B$18*'参数'!$B$19^(A202-1)*C202*D202,0)</x:f>
        <x:v>1549</x:v>
      </x:c>
      <x:c r="F202" s="18" t="n">
        <x:f>ROUND(E202*'参数'!$K$11,0)</x:f>
        <x:v>1549</x:v>
      </x:c>
      <x:c r="G202" s="18" t="n">
        <x:f>ROUND(E202*'参数'!$K$12,0)</x:f>
        <x:v>852</x:v>
      </x:c>
      <x:c r="H202" s="18" t="n">
        <x:f>ROUND(E202*'参数'!$L$14,0)</x:f>
        <x:v>12392</x:v>
      </x:c>
      <x:c r="I202" s="18" t="n">
        <x:f>ROUND(E202*'参数'!$M$14,0)</x:f>
        <x:v>697</x:v>
      </x:c>
      <x:c r="J202" s="18" t="n">
        <x:f>ROUND(E202*'参数'!$K$21,0)</x:f>
        <x:v>4415</x:v>
      </x:c>
      <x:c r="K202" s="18" t="n">
        <x:f>ROUND(E202*'参数'!$L$21,0)</x:f>
        <x:v>34388</x:v>
      </x:c>
      <x:c r="L202" s="18" t="n">
        <x:f>ROUND(E202*'参数'!$M$21,0)</x:f>
        <x:v>2711</x:v>
      </x:c>
      <x:c r="M202" s="21" t="n">
        <x:f>E202/E192-1</x:f>
        <x:v>0.19891640866873073</x:v>
      </x:c>
      <x:c r="N202" s="18" t="n">
        <x:f>ROUND(F202*'参数'!$B$20,0)</x:f>
        <x:v>1472</x:v>
      </x:c>
      <x:c r="O202" s="18" t="n">
        <x:f>ROUND(F202*'参数'!$B$21,0)</x:f>
        <x:v>1626</x:v>
      </x:c>
    </x:row>
    <x:row r="203" ht="22" customHeight="1">
      <x:c r="A203" s="19" t="n">
        <x:v>95</x:v>
      </x:c>
      <x:c r="B203" s="19" t="str">
        <x:v>星穹</x:v>
      </x:c>
      <x:c r="C203" s="20" t="n">
        <x:f>'参数'!G18</x:f>
        <x:v>1.43</x:v>
      </x:c>
      <x:c r="D203" s="20" t="n">
        <x:f>'参数'!$B$49</x:f>
        <x:v>1.04</x:v>
      </x:c>
      <x:c r="E203" s="19" t="n">
        <x:f>ROUND('参数'!$B$18*'参数'!$B$19^(A203-1)*C203*D203,0)</x:f>
        <x:v>1629</x:v>
      </x:c>
      <x:c r="F203" s="19" t="n">
        <x:f>ROUND(E203*'参数'!$K$11,0)</x:f>
        <x:v>1629</x:v>
      </x:c>
      <x:c r="G203" s="19" t="n">
        <x:f>ROUND(E203*'参数'!$K$12,0)</x:f>
        <x:v>896</x:v>
      </x:c>
      <x:c r="H203" s="19" t="n">
        <x:f>ROUND(E203*'参数'!$L$14,0)</x:f>
        <x:v>13032</x:v>
      </x:c>
      <x:c r="I203" s="19" t="n">
        <x:f>ROUND(E203*'参数'!$M$14,0)</x:f>
        <x:v>733</x:v>
      </x:c>
      <x:c r="J203" s="19" t="n">
        <x:f>ROUND(E203*'参数'!$K$21,0)</x:f>
        <x:v>4643</x:v>
      </x:c>
      <x:c r="K203" s="19" t="n">
        <x:f>ROUND(E203*'参数'!$L$21,0)</x:f>
        <x:v>36164</x:v>
      </x:c>
      <x:c r="L203" s="19" t="n">
        <x:f>ROUND(E203*'参数'!$M$21,0)</x:f>
        <x:v>2851</x:v>
      </x:c>
      <x:c r="M203" s="22" t="n">
        <x:f>E203/E193-1</x:f>
        <x:v>0.19955817378497787</x:v>
      </x:c>
      <x:c r="N203" s="19" t="n">
        <x:f>ROUND(F203*'参数'!$B$20,0)</x:f>
        <x:v>1548</x:v>
      </x:c>
      <x:c r="O203" s="19" t="n">
        <x:f>ROUND(F203*'参数'!$B$21,0)</x:f>
        <x:v>1710</x:v>
      </x:c>
    </x:row>
    <x:row r="204" ht="22" customHeight="1">
      <x:c r="A204" s="18" t="n">
        <x:v>95</x:v>
      </x:c>
      <x:c r="B204" s="18" t="str">
        <x:v>神辉</x:v>
      </x:c>
      <x:c r="C204" s="15" t="n">
        <x:f>'参数'!G19</x:f>
        <x:v>1.51</x:v>
      </x:c>
      <x:c r="D204" s="15" t="n">
        <x:f>'参数'!$B$49</x:f>
        <x:v>1.04</x:v>
      </x:c>
      <x:c r="E204" s="18" t="n">
        <x:f>ROUND('参数'!$B$18*'参数'!$B$19^(A204-1)*C204*D204,0)</x:f>
        <x:v>1720</x:v>
      </x:c>
      <x:c r="F204" s="18" t="n">
        <x:f>ROUND(E204*'参数'!$K$11,0)</x:f>
        <x:v>1720</x:v>
      </x:c>
      <x:c r="G204" s="18" t="n">
        <x:f>ROUND(E204*'参数'!$K$12,0)</x:f>
        <x:v>946</x:v>
      </x:c>
      <x:c r="H204" s="18" t="n">
        <x:f>ROUND(E204*'参数'!$L$14,0)</x:f>
        <x:v>13760</x:v>
      </x:c>
      <x:c r="I204" s="18" t="n">
        <x:f>ROUND(E204*'参数'!$M$14,0)</x:f>
        <x:v>774</x:v>
      </x:c>
      <x:c r="J204" s="18" t="n">
        <x:f>ROUND(E204*'参数'!$K$21,0)</x:f>
        <x:v>4902</x:v>
      </x:c>
      <x:c r="K204" s="18" t="n">
        <x:f>ROUND(E204*'参数'!$L$21,0)</x:f>
        <x:v>38184</x:v>
      </x:c>
      <x:c r="L204" s="18" t="n">
        <x:f>ROUND(E204*'参数'!$M$21,0)</x:f>
        <x:v>3010</x:v>
      </x:c>
      <x:c r="M204" s="21" t="n">
        <x:f>E204/E194-1</x:f>
        <x:v>0.19944211994421202</x:v>
      </x:c>
      <x:c r="N204" s="18" t="n">
        <x:f>ROUND(F204*'参数'!$B$20,0)</x:f>
        <x:v>1634</x:v>
      </x:c>
      <x:c r="O204" s="18" t="n">
        <x:f>ROUND(F204*'参数'!$B$21,0)</x:f>
        <x:v>1806</x:v>
      </x:c>
    </x:row>
    <x:row r="205" ht="22" customHeight="1">
      <x:c r="A205" s="19" t="n">
        <x:v>95</x:v>
      </x:c>
      <x:c r="B205" s="19" t="str">
        <x:v>混元</x:v>
      </x:c>
      <x:c r="C205" s="20" t="n">
        <x:f>'参数'!G20</x:f>
        <x:v>1.6</x:v>
      </x:c>
      <x:c r="D205" s="20" t="n">
        <x:f>'参数'!$B$49</x:f>
        <x:v>1.04</x:v>
      </x:c>
      <x:c r="E205" s="19" t="n">
        <x:f>ROUND('参数'!$B$18*'参数'!$B$19^(A205-1)*C205*D205,0)</x:f>
        <x:v>1822</x:v>
      </x:c>
      <x:c r="F205" s="19" t="n">
        <x:f>ROUND(E205*'参数'!$K$11,0)</x:f>
        <x:v>1822</x:v>
      </x:c>
      <x:c r="G205" s="19" t="n">
        <x:f>ROUND(E205*'参数'!$K$12,0)</x:f>
        <x:v>1002</x:v>
      </x:c>
      <x:c r="H205" s="19" t="n">
        <x:f>ROUND(E205*'参数'!$L$14,0)</x:f>
        <x:v>14576</x:v>
      </x:c>
      <x:c r="I205" s="19" t="n">
        <x:f>ROUND(E205*'参数'!$M$14,0)</x:f>
        <x:v>820</x:v>
      </x:c>
      <x:c r="J205" s="19" t="n">
        <x:f>ROUND(E205*'参数'!$K$21,0)</x:f>
        <x:v>5193</x:v>
      </x:c>
      <x:c r="K205" s="19" t="n">
        <x:f>ROUND(E205*'参数'!$L$21,0)</x:f>
        <x:v>40448</x:v>
      </x:c>
      <x:c r="L205" s="19" t="n">
        <x:f>ROUND(E205*'参数'!$M$21,0)</x:f>
        <x:v>3189</x:v>
      </x:c>
      <x:c r="M205" s="22" t="n">
        <x:f>E205/E195-1</x:f>
        <x:v>0.1986842105263158</x:v>
      </x:c>
      <x:c r="N205" s="19" t="n">
        <x:f>ROUND(F205*'参数'!$B$20,0)</x:f>
        <x:v>1731</x:v>
      </x:c>
      <x:c r="O205" s="19" t="n">
        <x:f>ROUND(F205*'参数'!$B$21,0)</x:f>
        <x:v>1913</x:v>
      </x:c>
    </x:row>
    <x:row r="206" ht="22" customHeight="1">
      <x:c r="A206" s="18" t="n">
        <x:v>100</x:v>
      </x:c>
      <x:c r="B206" s="18" t="str">
        <x:v>凡品</x:v>
      </x:c>
      <x:c r="C206" s="15" t="n">
        <x:f>'参数'!G11</x:f>
        <x:v>1</x:v>
      </x:c>
      <x:c r="D206" s="15" t="n">
        <x:f>'参数'!$B$49</x:f>
        <x:v>1.04</x:v>
      </x:c>
      <x:c r="E206" s="18" t="n">
        <x:f>ROUND('参数'!$B$18*'参数'!$B$19^(A206-1)*C206*D206,0)</x:f>
        <x:v>1366</x:v>
      </x:c>
      <x:c r="F206" s="18" t="n">
        <x:f>ROUND(E206*'参数'!$K$11,0)</x:f>
        <x:v>1366</x:v>
      </x:c>
      <x:c r="G206" s="18" t="n">
        <x:f>ROUND(E206*'参数'!$K$12,0)</x:f>
        <x:v>751</x:v>
      </x:c>
      <x:c r="H206" s="18" t="n">
        <x:f>ROUND(E206*'参数'!$L$14,0)</x:f>
        <x:v>10928</x:v>
      </x:c>
      <x:c r="I206" s="18" t="n">
        <x:f>ROUND(E206*'参数'!$M$14,0)</x:f>
        <x:v>615</x:v>
      </x:c>
      <x:c r="J206" s="18" t="n">
        <x:f>ROUND(E206*'参数'!$K$21,0)</x:f>
        <x:v>3893</x:v>
      </x:c>
      <x:c r="K206" s="18" t="n">
        <x:f>ROUND(E206*'参数'!$L$21,0)</x:f>
        <x:v>30325</x:v>
      </x:c>
      <x:c r="L206" s="18" t="n">
        <x:f>ROUND(E206*'参数'!$M$21,0)</x:f>
        <x:v>2391</x:v>
      </x:c>
      <x:c r="M206" s="21" t="n">
        <x:f>E206/E196-1</x:f>
        <x:v>0.19929762949956098</x:v>
      </x:c>
      <x:c r="N206" s="18" t="n">
        <x:f>ROUND(F206*'参数'!$B$20,0)</x:f>
        <x:v>1298</x:v>
      </x:c>
      <x:c r="O206" s="18" t="n">
        <x:f>ROUND(F206*'参数'!$B$21,0)</x:f>
        <x:v>1434</x:v>
      </x:c>
    </x:row>
    <x:row r="207" ht="22" customHeight="1">
      <x:c r="A207" s="19" t="n">
        <x:v>100</x:v>
      </x:c>
      <x:c r="B207" s="19" t="str">
        <x:v>良品</x:v>
      </x:c>
      <x:c r="C207" s="20" t="n">
        <x:f>'参数'!G12</x:f>
        <x:v>1.05</x:v>
      </x:c>
      <x:c r="D207" s="20" t="n">
        <x:f>'参数'!$B$49</x:f>
        <x:v>1.04</x:v>
      </x:c>
      <x:c r="E207" s="19" t="n">
        <x:f>ROUND('参数'!$B$18*'参数'!$B$19^(A207-1)*C207*D207,0)</x:f>
        <x:v>1434</x:v>
      </x:c>
      <x:c r="F207" s="19" t="n">
        <x:f>ROUND(E207*'参数'!$K$11,0)</x:f>
        <x:v>1434</x:v>
      </x:c>
      <x:c r="G207" s="19" t="n">
        <x:f>ROUND(E207*'参数'!$K$12,0)</x:f>
        <x:v>789</x:v>
      </x:c>
      <x:c r="H207" s="19" t="n">
        <x:f>ROUND(E207*'参数'!$L$14,0)</x:f>
        <x:v>11472</x:v>
      </x:c>
      <x:c r="I207" s="19" t="n">
        <x:f>ROUND(E207*'参数'!$M$14,0)</x:f>
        <x:v>645</x:v>
      </x:c>
      <x:c r="J207" s="19" t="n">
        <x:f>ROUND(E207*'参数'!$K$21,0)</x:f>
        <x:v>4087</x:v>
      </x:c>
      <x:c r="K207" s="19" t="n">
        <x:f>ROUND(E207*'参数'!$L$21,0)</x:f>
        <x:v>31835</x:v>
      </x:c>
      <x:c r="L207" s="19" t="n">
        <x:f>ROUND(E207*'参数'!$M$21,0)</x:f>
        <x:v>2510</x:v>
      </x:c>
      <x:c r="M207" s="22" t="n">
        <x:f>E207/E197-1</x:f>
        <x:v>0.19899665551839463</x:v>
      </x:c>
      <x:c r="N207" s="19" t="n">
        <x:f>ROUND(F207*'参数'!$B$20,0)</x:f>
        <x:v>1362</x:v>
      </x:c>
      <x:c r="O207" s="19" t="n">
        <x:f>ROUND(F207*'参数'!$B$21,0)</x:f>
        <x:v>1506</x:v>
      </x:c>
    </x:row>
    <x:row r="208" ht="22" customHeight="1">
      <x:c r="A208" s="18" t="n">
        <x:v>100</x:v>
      </x:c>
      <x:c r="B208" s="18" t="str">
        <x:v>珍品</x:v>
      </x:c>
      <x:c r="C208" s="15" t="n">
        <x:f>'参数'!G13</x:f>
        <x:v>1.1</x:v>
      </x:c>
      <x:c r="D208" s="15" t="n">
        <x:f>'参数'!$B$49</x:f>
        <x:v>1.04</x:v>
      </x:c>
      <x:c r="E208" s="18" t="n">
        <x:f>ROUND('参数'!$B$18*'参数'!$B$19^(A208-1)*C208*D208,0)</x:f>
        <x:v>1503</x:v>
      </x:c>
      <x:c r="F208" s="18" t="n">
        <x:f>ROUND(E208*'参数'!$K$11,0)</x:f>
        <x:v>1503</x:v>
      </x:c>
      <x:c r="G208" s="18" t="n">
        <x:f>ROUND(E208*'参数'!$K$12,0)</x:f>
        <x:v>827</x:v>
      </x:c>
      <x:c r="H208" s="18" t="n">
        <x:f>ROUND(E208*'参数'!$L$14,0)</x:f>
        <x:v>12024</x:v>
      </x:c>
      <x:c r="I208" s="18" t="n">
        <x:f>ROUND(E208*'参数'!$M$14,0)</x:f>
        <x:v>676</x:v>
      </x:c>
      <x:c r="J208" s="18" t="n">
        <x:f>ROUND(E208*'参数'!$K$21,0)</x:f>
        <x:v>4284</x:v>
      </x:c>
      <x:c r="K208" s="18" t="n">
        <x:f>ROUND(E208*'参数'!$L$21,0)</x:f>
        <x:v>33367</x:v>
      </x:c>
      <x:c r="L208" s="18" t="n">
        <x:f>ROUND(E208*'参数'!$M$21,0)</x:f>
        <x:v>2630</x:v>
      </x:c>
      <x:c r="M208" s="21" t="n">
        <x:f>E208/E198-1</x:f>
        <x:v>0.19952114924181963</x:v>
      </x:c>
      <x:c r="N208" s="18" t="n">
        <x:f>ROUND(F208*'参数'!$B$20,0)</x:f>
        <x:v>1428</x:v>
      </x:c>
      <x:c r="O208" s="18" t="n">
        <x:f>ROUND(F208*'参数'!$B$21,0)</x:f>
        <x:v>1578</x:v>
      </x:c>
    </x:row>
    <x:row r="209" ht="22" customHeight="1">
      <x:c r="A209" s="19" t="n">
        <x:v>100</x:v>
      </x:c>
      <x:c r="B209" s="19" t="str">
        <x:v>传奇</x:v>
      </x:c>
      <x:c r="C209" s="20" t="n">
        <x:f>'参数'!G14</x:f>
        <x:v>1.16</x:v>
      </x:c>
      <x:c r="D209" s="20" t="n">
        <x:f>'参数'!$B$49</x:f>
        <x:v>1.04</x:v>
      </x:c>
      <x:c r="E209" s="19" t="n">
        <x:f>ROUND('参数'!$B$18*'参数'!$B$19^(A209-1)*C209*D209,0)</x:f>
        <x:v>1584</x:v>
      </x:c>
      <x:c r="F209" s="19" t="n">
        <x:f>ROUND(E209*'参数'!$K$11,0)</x:f>
        <x:v>1584</x:v>
      </x:c>
      <x:c r="G209" s="19" t="n">
        <x:f>ROUND(E209*'参数'!$K$12,0)</x:f>
        <x:v>871</x:v>
      </x:c>
      <x:c r="H209" s="19" t="n">
        <x:f>ROUND(E209*'参数'!$L$14,0)</x:f>
        <x:v>12672</x:v>
      </x:c>
      <x:c r="I209" s="19" t="n">
        <x:f>ROUND(E209*'参数'!$M$14,0)</x:f>
        <x:v>713</x:v>
      </x:c>
      <x:c r="J209" s="19" t="n">
        <x:f>ROUND(E209*'参数'!$K$21,0)</x:f>
        <x:v>4514</x:v>
      </x:c>
      <x:c r="K209" s="19" t="n">
        <x:f>ROUND(E209*'参数'!$L$21,0)</x:f>
        <x:v>35165</x:v>
      </x:c>
      <x:c r="L209" s="19" t="n">
        <x:f>ROUND(E209*'参数'!$M$21,0)</x:f>
        <x:v>2772</x:v>
      </x:c>
      <x:c r="M209" s="22" t="n">
        <x:f>E209/E199-1</x:f>
        <x:v>0.19909159727479175</x:v>
      </x:c>
      <x:c r="N209" s="19" t="n">
        <x:f>ROUND(F209*'参数'!$B$20,0)</x:f>
        <x:v>1505</x:v>
      </x:c>
      <x:c r="O209" s="19" t="n">
        <x:f>ROUND(F209*'参数'!$B$21,0)</x:f>
        <x:v>1663</x:v>
      </x:c>
    </x:row>
    <x:row r="210" ht="22" customHeight="1">
      <x:c r="A210" s="18" t="n">
        <x:v>100</x:v>
      </x:c>
      <x:c r="B210" s="18" t="str">
        <x:v>传世</x:v>
      </x:c>
      <x:c r="C210" s="15" t="n">
        <x:f>'参数'!G15</x:f>
        <x:v>1.22</x:v>
      </x:c>
      <x:c r="D210" s="15" t="n">
        <x:f>'参数'!$B$49</x:f>
        <x:v>1.04</x:v>
      </x:c>
      <x:c r="E210" s="18" t="n">
        <x:f>ROUND('参数'!$B$18*'参数'!$B$19^(A210-1)*C210*D210,0)</x:f>
        <x:v>1666</x:v>
      </x:c>
      <x:c r="F210" s="18" t="n">
        <x:f>ROUND(E210*'参数'!$K$11,0)</x:f>
        <x:v>1666</x:v>
      </x:c>
      <x:c r="G210" s="18" t="n">
        <x:f>ROUND(E210*'参数'!$K$12,0)</x:f>
        <x:v>916</x:v>
      </x:c>
      <x:c r="H210" s="18" t="n">
        <x:f>ROUND(E210*'参数'!$L$14,0)</x:f>
        <x:v>13328</x:v>
      </x:c>
      <x:c r="I210" s="18" t="n">
        <x:f>ROUND(E210*'参数'!$M$14,0)</x:f>
        <x:v>750</x:v>
      </x:c>
      <x:c r="J210" s="18" t="n">
        <x:f>ROUND(E210*'参数'!$K$21,0)</x:f>
        <x:v>4748</x:v>
      </x:c>
      <x:c r="K210" s="18" t="n">
        <x:f>ROUND(E210*'参数'!$L$21,0)</x:f>
        <x:v>36985</x:v>
      </x:c>
      <x:c r="L210" s="18" t="n">
        <x:f>ROUND(E210*'参数'!$M$21,0)</x:f>
        <x:v>2916</x:v>
      </x:c>
      <x:c r="M210" s="21" t="n">
        <x:f>E210/E200-1</x:f>
        <x:v>0.19856115107913674</x:v>
      </x:c>
      <x:c r="N210" s="18" t="n">
        <x:f>ROUND(F210*'参数'!$B$20,0)</x:f>
        <x:v>1583</x:v>
      </x:c>
      <x:c r="O210" s="18" t="n">
        <x:f>ROUND(F210*'参数'!$B$21,0)</x:f>
        <x:v>1749</x:v>
      </x:c>
    </x:row>
    <x:row r="211" ht="22" customHeight="1">
      <x:c r="A211" s="19" t="n">
        <x:v>100</x:v>
      </x:c>
      <x:c r="B211" s="19" t="str">
        <x:v>灵蕴</x:v>
      </x:c>
      <x:c r="C211" s="20" t="n">
        <x:f>'参数'!G16</x:f>
        <x:v>1.29</x:v>
      </x:c>
      <x:c r="D211" s="20" t="n">
        <x:f>'参数'!$B$49</x:f>
        <x:v>1.04</x:v>
      </x:c>
      <x:c r="E211" s="19" t="n">
        <x:f>ROUND('参数'!$B$18*'参数'!$B$19^(A211-1)*C211*D211,0)</x:f>
        <x:v>1762</x:v>
      </x:c>
      <x:c r="F211" s="19" t="n">
        <x:f>ROUND(E211*'参数'!$K$11,0)</x:f>
        <x:v>1762</x:v>
      </x:c>
      <x:c r="G211" s="19" t="n">
        <x:f>ROUND(E211*'参数'!$K$12,0)</x:f>
        <x:v>969</x:v>
      </x:c>
      <x:c r="H211" s="19" t="n">
        <x:f>ROUND(E211*'参数'!$L$14,0)</x:f>
        <x:v>14096</x:v>
      </x:c>
      <x:c r="I211" s="19" t="n">
        <x:f>ROUND(E211*'参数'!$M$14,0)</x:f>
        <x:v>793</x:v>
      </x:c>
      <x:c r="J211" s="19" t="n">
        <x:f>ROUND(E211*'参数'!$K$21,0)</x:f>
        <x:v>5022</x:v>
      </x:c>
      <x:c r="K211" s="19" t="n">
        <x:f>ROUND(E211*'参数'!$L$21,0)</x:f>
        <x:v>39116</x:v>
      </x:c>
      <x:c r="L211" s="19" t="n">
        <x:f>ROUND(E211*'参数'!$M$21,0)</x:f>
        <x:v>3084</x:v>
      </x:c>
      <x:c r="M211" s="22" t="n">
        <x:f>E211/E201-1</x:f>
        <x:v>0.19945541184479243</x:v>
      </x:c>
      <x:c r="N211" s="19" t="n">
        <x:f>ROUND(F211*'参数'!$B$20,0)</x:f>
        <x:v>1674</x:v>
      </x:c>
      <x:c r="O211" s="19" t="n">
        <x:f>ROUND(F211*'参数'!$B$21,0)</x:f>
        <x:v>1850</x:v>
      </x:c>
    </x:row>
    <x:row r="212" ht="22" customHeight="1">
      <x:c r="A212" s="18" t="n">
        <x:v>100</x:v>
      </x:c>
      <x:c r="B212" s="18" t="str">
        <x:v>超然</x:v>
      </x:c>
      <x:c r="C212" s="15" t="n">
        <x:f>'参数'!G17</x:f>
        <x:v>1.36</x:v>
      </x:c>
      <x:c r="D212" s="15" t="n">
        <x:f>'参数'!$B$49</x:f>
        <x:v>1.04</x:v>
      </x:c>
      <x:c r="E212" s="18" t="n">
        <x:f>ROUND('参数'!$B$18*'参数'!$B$19^(A212-1)*C212*D212,0)</x:f>
        <x:v>1858</x:v>
      </x:c>
      <x:c r="F212" s="18" t="n">
        <x:f>ROUND(E212*'参数'!$K$11,0)</x:f>
        <x:v>1858</x:v>
      </x:c>
      <x:c r="G212" s="18" t="n">
        <x:f>ROUND(E212*'参数'!$K$12,0)</x:f>
        <x:v>1022</x:v>
      </x:c>
      <x:c r="H212" s="18" t="n">
        <x:f>ROUND(E212*'参数'!$L$14,0)</x:f>
        <x:v>14864</x:v>
      </x:c>
      <x:c r="I212" s="18" t="n">
        <x:f>ROUND(E212*'参数'!$M$14,0)</x:f>
        <x:v>836</x:v>
      </x:c>
      <x:c r="J212" s="18" t="n">
        <x:f>ROUND(E212*'参数'!$K$21,0)</x:f>
        <x:v>5295</x:v>
      </x:c>
      <x:c r="K212" s="18" t="n">
        <x:f>ROUND(E212*'参数'!$L$21,0)</x:f>
        <x:v>41248</x:v>
      </x:c>
      <x:c r="L212" s="18" t="n">
        <x:f>ROUND(E212*'参数'!$M$21,0)</x:f>
        <x:v>3252</x:v>
      </x:c>
      <x:c r="M212" s="21" t="n">
        <x:f>E212/E202-1</x:f>
        <x:v>0.1994835377663009</x:v>
      </x:c>
      <x:c r="N212" s="18" t="n">
        <x:f>ROUND(F212*'参数'!$B$20,0)</x:f>
        <x:v>1765</x:v>
      </x:c>
      <x:c r="O212" s="18" t="n">
        <x:f>ROUND(F212*'参数'!$B$21,0)</x:f>
        <x:v>1951</x:v>
      </x:c>
    </x:row>
    <x:row r="213" ht="22" customHeight="1">
      <x:c r="A213" s="19" t="n">
        <x:v>100</x:v>
      </x:c>
      <x:c r="B213" s="19" t="str">
        <x:v>星穹</x:v>
      </x:c>
      <x:c r="C213" s="20" t="n">
        <x:f>'参数'!G18</x:f>
        <x:v>1.43</x:v>
      </x:c>
      <x:c r="D213" s="20" t="n">
        <x:f>'参数'!$B$49</x:f>
        <x:v>1.04</x:v>
      </x:c>
      <x:c r="E213" s="19" t="n">
        <x:f>ROUND('参数'!$B$18*'参数'!$B$19^(A213-1)*C213*D213,0)</x:f>
        <x:v>1953</x:v>
      </x:c>
      <x:c r="F213" s="19" t="n">
        <x:f>ROUND(E213*'参数'!$K$11,0)</x:f>
        <x:v>1953</x:v>
      </x:c>
      <x:c r="G213" s="19" t="n">
        <x:f>ROUND(E213*'参数'!$K$12,0)</x:f>
        <x:v>1074</x:v>
      </x:c>
      <x:c r="H213" s="19" t="n">
        <x:f>ROUND(E213*'参数'!$L$14,0)</x:f>
        <x:v>15624</x:v>
      </x:c>
      <x:c r="I213" s="19" t="n">
        <x:f>ROUND(E213*'参数'!$M$14,0)</x:f>
        <x:v>879</x:v>
      </x:c>
      <x:c r="J213" s="19" t="n">
        <x:f>ROUND(E213*'参数'!$K$21,0)</x:f>
        <x:v>5566</x:v>
      </x:c>
      <x:c r="K213" s="19" t="n">
        <x:f>ROUND(E213*'参数'!$L$21,0)</x:f>
        <x:v>43357</x:v>
      </x:c>
      <x:c r="L213" s="19" t="n">
        <x:f>ROUND(E213*'参数'!$M$21,0)</x:f>
        <x:v>3418</x:v>
      </x:c>
      <x:c r="M213" s="22" t="n">
        <x:f>E213/E203-1</x:f>
        <x:v>0.19889502762430933</x:v>
      </x:c>
      <x:c r="N213" s="19" t="n">
        <x:f>ROUND(F213*'参数'!$B$20,0)</x:f>
        <x:v>1855</x:v>
      </x:c>
      <x:c r="O213" s="19" t="n">
        <x:f>ROUND(F213*'参数'!$B$21,0)</x:f>
        <x:v>2051</x:v>
      </x:c>
    </x:row>
    <x:row r="214" ht="22" customHeight="1">
      <x:c r="A214" s="18" t="n">
        <x:v>100</x:v>
      </x:c>
      <x:c r="B214" s="18" t="str">
        <x:v>神辉</x:v>
      </x:c>
      <x:c r="C214" s="15" t="n">
        <x:f>'参数'!G19</x:f>
        <x:v>1.51</x:v>
      </x:c>
      <x:c r="D214" s="15" t="n">
        <x:f>'参数'!$B$49</x:f>
        <x:v>1.04</x:v>
      </x:c>
      <x:c r="E214" s="18" t="n">
        <x:f>ROUND('参数'!$B$18*'参数'!$B$19^(A214-1)*C214*D214,0)</x:f>
        <x:v>2063</x:v>
      </x:c>
      <x:c r="F214" s="18" t="n">
        <x:f>ROUND(E214*'参数'!$K$11,0)</x:f>
        <x:v>2063</x:v>
      </x:c>
      <x:c r="G214" s="18" t="n">
        <x:f>ROUND(E214*'参数'!$K$12,0)</x:f>
        <x:v>1135</x:v>
      </x:c>
      <x:c r="H214" s="18" t="n">
        <x:f>ROUND(E214*'参数'!$L$14,0)</x:f>
        <x:v>16504</x:v>
      </x:c>
      <x:c r="I214" s="18" t="n">
        <x:f>ROUND(E214*'参数'!$M$14,0)</x:f>
        <x:v>928</x:v>
      </x:c>
      <x:c r="J214" s="18" t="n">
        <x:f>ROUND(E214*'参数'!$K$21,0)</x:f>
        <x:v>5880</x:v>
      </x:c>
      <x:c r="K214" s="18" t="n">
        <x:f>ROUND(E214*'参数'!$L$21,0)</x:f>
        <x:v>45799</x:v>
      </x:c>
      <x:c r="L214" s="18" t="n">
        <x:f>ROUND(E214*'参数'!$M$21,0)</x:f>
        <x:v>3610</x:v>
      </x:c>
      <x:c r="M214" s="21" t="n">
        <x:f>E214/E204-1</x:f>
        <x:v>0.1994186046511628</x:v>
      </x:c>
      <x:c r="N214" s="18" t="n">
        <x:f>ROUND(F214*'参数'!$B$20,0)</x:f>
        <x:v>1960</x:v>
      </x:c>
      <x:c r="O214" s="18" t="n">
        <x:f>ROUND(F214*'参数'!$B$21,0)</x:f>
        <x:v>2166</x:v>
      </x:c>
    </x:row>
    <x:row r="215" ht="22" customHeight="1">
      <x:c r="A215" s="19" t="n">
        <x:v>100</x:v>
      </x:c>
      <x:c r="B215" s="19" t="str">
        <x:v>混元</x:v>
      </x:c>
      <x:c r="C215" s="20" t="n">
        <x:f>'参数'!G20</x:f>
        <x:v>1.6</x:v>
      </x:c>
      <x:c r="D215" s="20" t="n">
        <x:f>'参数'!$B$49</x:f>
        <x:v>1.04</x:v>
      </x:c>
      <x:c r="E215" s="19" t="n">
        <x:f>ROUND('参数'!$B$18*'参数'!$B$19^(A215-1)*C215*D215,0)</x:f>
        <x:v>2186</x:v>
      </x:c>
      <x:c r="F215" s="19" t="n">
        <x:f>ROUND(E215*'参数'!$K$11,0)</x:f>
        <x:v>2186</x:v>
      </x:c>
      <x:c r="G215" s="19" t="n">
        <x:f>ROUND(E215*'参数'!$K$12,0)</x:f>
        <x:v>1202</x:v>
      </x:c>
      <x:c r="H215" s="19" t="n">
        <x:f>ROUND(E215*'参数'!$L$14,0)</x:f>
        <x:v>17488</x:v>
      </x:c>
      <x:c r="I215" s="19" t="n">
        <x:f>ROUND(E215*'参数'!$M$14,0)</x:f>
        <x:v>984</x:v>
      </x:c>
      <x:c r="J215" s="19" t="n">
        <x:f>ROUND(E215*'参数'!$K$21,0)</x:f>
        <x:v>6230</x:v>
      </x:c>
      <x:c r="K215" s="19" t="n">
        <x:f>ROUND(E215*'参数'!$L$21,0)</x:f>
        <x:v>48529</x:v>
      </x:c>
      <x:c r="L215" s="19" t="n">
        <x:f>ROUND(E215*'参数'!$M$21,0)</x:f>
        <x:v>3826</x:v>
      </x:c>
      <x:c r="M215" s="22" t="n">
        <x:f>E215/E205-1</x:f>
        <x:v>0.19978046103183322</x:v>
      </x:c>
      <x:c r="N215" s="19" t="n">
        <x:f>ROUND(F215*'参数'!$B$20,0)</x:f>
        <x:v>2077</x:v>
      </x:c>
      <x:c r="O215" s="19" t="n">
        <x:f>ROUND(F215*'参数'!$B$21,0)</x:f>
        <x:v>2295</x:v>
      </x:c>
    </x:row>
    <x:row r="216" ht="22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30" customHeight="1">
      <x:c r="A2" s="3" t="str">
        <x:v>五轮 600 关参考敌人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34" customHeight="1">
      <x:c r="A5" s="9" t="str">
        <x:v>难度</x:v>
      </x:c>
      <x:c r="B5" s="10" t="str">
        <x:v>关卡</x:v>
      </x:c>
      <x:c r="C5" s="10" t="str">
        <x:v>章节</x:v>
      </x:c>
      <x:c r="D5" s="10" t="str">
        <x:v>参考角色级</x:v>
      </x:c>
      <x:c r="E5" s="10" t="str">
        <x:v>掉落装等</x:v>
      </x:c>
      <x:c r="F5" s="10" t="str">
        <x:v>品质倍率</x:v>
      </x:c>
      <x:c r="G5" s="10" t="str">
        <x:v>普通生命</x:v>
      </x:c>
      <x:c r="H5" s="10" t="str">
        <x:v>普通攻击</x:v>
      </x:c>
      <x:c r="I5" s="10" t="str">
        <x:v>普通防御</x:v>
      </x:c>
      <x:c r="J5" s="10" t="str">
        <x:v>精英生命</x:v>
      </x:c>
      <x:c r="K5" s="10" t="str">
        <x:v>首领生命</x:v>
      </x:c>
      <x:c r="L5" s="10" t="str">
        <x:v>首领攻击</x:v>
      </x:c>
      <x:c r="M5" s="10" t="str">
        <x:v>首领防御</x:v>
      </x:c>
      <x:c r="N5" s="10" t="str">
        <x:v>挂机经验/时</x:v>
      </x:c>
      <x:c r="O5" s="10" t="str">
        <x:v>装备预算</x:v>
      </x:c>
      <x:c r="P5" s="10" t="str">
        <x:v>装备覆盖</x:v>
      </x:c>
      <x:c r="Q5" s="10" t="str">
        <x:v>输出攻击</x:v>
      </x:c>
      <x:c r="R5" s="10" t="str">
        <x:v>坦克攻击</x:v>
      </x:c>
      <x:c r="S5" s="10" t="str">
        <x:v>治疗攻击</x:v>
      </x:c>
      <x:c r="T5" s="10" t="str">
        <x:v>坦克生命</x:v>
      </x:c>
      <x:c r="U5" s="10" t="str">
        <x:v>坦克防御</x:v>
      </x:c>
      <x:c r="V5" s="10" t="str">
        <x:v>对普通有效DPS</x:v>
      </x:c>
      <x:c r="W5" s="10" t="str">
        <x:v>对首领有效DPS</x:v>
      </x:c>
      <x:c r="X5" s="10" t="str">
        <x:v>普通波次秒</x:v>
      </x:c>
      <x:c r="Y5" s="10" t="str">
        <x:v>单体首领秒</x:v>
      </x:c>
      <x:c r="Z5" s="10" t="str">
        <x:v>坦克抗性</x:v>
      </x:c>
      <x:c r="AA5" s="10" t="str">
        <x:v>普通伤害包目标</x:v>
      </x:c>
      <x:c r="AB5" s="10" t="str">
        <x:v>首领伤害包目标</x:v>
      </x:c>
      <x:c r="AC5" s="10" t="str">
        <x:v>难度伤害倍率</x:v>
      </x:c>
      <x:c r="AD5" s="10" t="str">
        <x:v>满级轮内生命倍率</x:v>
      </x:c>
      <x:c r="AE5" s="11" t="str">
        <x:v>章末标记</x:v>
      </x:c>
    </x:row>
    <x:row r="6" ht="22" customHeight="1">
      <x:c r="A6" s="18" t="str">
        <x:v>简单</x:v>
      </x:c>
      <x:c r="B6" s="18" t="n">
        <x:v>1</x:v>
      </x:c>
      <x:c r="C6" s="18" t="n">
        <x:f>ROUNDUP(B6/12,0)</x:f>
        <x:v>1</x:v>
      </x:c>
      <x:c r="D6" s="18" t="n">
        <x:f>ROUND(MAX('参数'!$G$26,E6)+(IF(C6&lt;10,INDEX('参数'!$G$34:$P$34,1,MIN(10,C6+1)),'参数'!$H$26)-MAX('参数'!$G$26,E6))*MOD(B6-1,12)/11,0)</x:f>
        <x:v>1</x:v>
      </x:c>
      <x:c r="E6" s="18" t="n">
        <x:f>INDEX('参数'!$G$34:$P$34,1,C6)</x:f>
        <x:v>1</x:v>
      </x:c>
      <x:c r="F6" s="15" t="n">
        <x:f>'参数'!$I$26</x:f>
        <x:v>1.05</x:v>
      </x:c>
      <x:c r="G6" s="18" t="n">
        <x:f>ROUND((ROUND(V6*X6/'参数'!$B$56,0))*0.2,0)</x:f>
        <x:v>316</x:v>
      </x:c>
      <x:c r="H6" s="18" t="n">
        <x:f>ROUND((ROUND((AA6+SQRT(AA6^2+4*AA6*'参数'!$B$22*U6))/2,0))*0.2,0)</x:f>
        <x:v>16</x:v>
      </x:c>
      <x:c r="I6" s="18" t="n">
        <x:f>ROUND(Q6*'参数'!$B$23/'参数'!$B$22,0)</x:f>
        <x:v>25</x:v>
      </x:c>
      <x:c r="J6" s="18" t="n">
        <x:f>ROUND(G6*'参数'!$B$50,0)</x:f>
        <x:v>948</x:v>
      </x:c>
      <x:c r="K6" s="18" t="n">
        <x:f>ROUND((ROUND(W6*Y6,0))*0.2,0)</x:f>
        <x:v>2786</x:v>
      </x:c>
      <x:c r="L6" s="18" t="n">
        <x:f>ROUND((ROUND((AB6+SQRT(AB6^2+4*AB6*'参数'!$B$22*U6))/2,0))*0.2,0)</x:f>
        <x:v>25</x:v>
      </x:c>
      <x:c r="M6" s="18" t="n">
        <x:f>ROUND(I6*'参数'!$B$24,0)</x:f>
        <x:v>31</x:v>
      </x:c>
      <x:c r="N6" s="18" t="n">
        <x:f>'参数'!$B$9*'参数'!$B$10^(D6-1)</x:f>
        <x:v>600</x:v>
      </x:c>
      <x:c r="O6" s="18" t="n">
        <x:f>'参数'!$B$18*'参数'!$B$19^(MIN(E6,MAX(1,5*INT(D6/5)))-1)*F6*'参数'!$J$26*P6</x:f>
        <x:v>0</x:v>
      </x:c>
      <x:c r="P6" s="21" t="n">
        <x:f>MIN(1,(D6-1)/19)</x:f>
        <x:v>0</x:v>
      </x:c>
      <x:c r="Q6" s="18" t="n">
        <x:f>INDEX('角色成长'!$F$6:$F$105,D6)+O6*'参数'!$K$21</x:f>
        <x:v>125</x:v>
      </x:c>
      <x:c r="R6" s="18" t="n">
        <x:f>INDEX('角色成长'!$I$6:$I$105,D6)+O6*'参数'!$K$21</x:f>
        <x:v>90</x:v>
      </x:c>
      <x:c r="S6" s="18" t="n">
        <x:f>INDEX('角色成长'!$L$6:$L$105,D6)+O6*'参数'!$K$21</x:f>
        <x:v>70</x:v>
      </x:c>
      <x:c r="T6" s="18" t="n">
        <x:f>(INDEX('角色成长'!$J$6:$J$105,D6)+O6*'参数'!$L$21)*(1+'参数'!$B$40*P6)</x:f>
        <x:v>1500</x:v>
      </x:c>
      <x:c r="U6" s="18" t="n">
        <x:f>(INDEX('角色成长'!$K$6:$K$105,D6)+O6*'参数'!$M$21)*(1+'参数'!$B$41*P6)</x:f>
        <x:v>65</x:v>
      </x:c>
      <x:c r="V6" s="18" t="n">
        <x:f>(('参数'!$K$5*(((Q6*(1+'参数'!$B$39*P6))^2/((Q6*(1+'参数'!$B$39*P6))+'参数'!$B$22*(I6)))*(1+'参数'!$B$42*P6)/'参数'!$J$5+((Q6*'参数'!$B$43*(1+'参数'!$B$39*P6))^2/((Q6*'参数'!$B$43*(1+'参数'!$B$39*P6))+'参数'!$B$22*(I6)))/'参数'!$B$44))+(((R6*(1+'参数'!$B$39*P6))^2/((R6*(1+'参数'!$B$39*P6))+'参数'!$B$22*(I6)))*(1+'参数'!$B$42*P6)/'参数'!$J$6+((R6*'参数'!$B$45*(1+'参数'!$B$39*P6))^2/((R6*'参数'!$B$45*(1+'参数'!$B$39*P6))+'参数'!$B$22*(I6)))/'参数'!$B$46)+((S6*(1+'参数'!$B$39*P6))^2/((S6*(1+'参数'!$B$39*P6))+'参数'!$B$22*(I6)))*(1+'参数'!$B$42*P6)/'参数'!$J$7)*(1+'参数'!$B$37*('参数'!$B$38-1))*'参数'!$B$25</x:f>
        <x:v>605.7571053453984</x:v>
      </x:c>
      <x:c r="W6" s="18" t="n">
        <x:f>(('参数'!$K$5*(((Q6*(1+'参数'!$B$39*P6))^2/((Q6*(1+'参数'!$B$39*P6))+'参数'!$B$22*(M6)))*(1+'参数'!$B$42*P6)/'参数'!$J$5+((Q6*'参数'!$B$43*(1+'参数'!$B$39*P6))^2/((Q6*'参数'!$B$43*(1+'参数'!$B$39*P6))+'参数'!$B$22*(M6)))/'参数'!$B$44))+(((R6*(1+'参数'!$B$39*P6))^2/((R6*(1+'参数'!$B$39*P6))+'参数'!$B$22*(M6)))*(1+'参数'!$B$42*P6)/'参数'!$J$6+((R6*'参数'!$B$45*(1+'参数'!$B$39*P6))^2/((R6*'参数'!$B$45*(1+'参数'!$B$39*P6))+'参数'!$B$22*(M6)))/'参数'!$B$46)+((S6*(1+'参数'!$B$39*P6))^2/((S6*(1+'参数'!$B$39*P6))+'参数'!$B$22*(M6)))*(1+'参数'!$B$42*P6)/'参数'!$J$7)*(1+'参数'!$B$37*('参数'!$B$38-1))</x:f>
        <x:v>464.4057956705684</x:v>
      </x:c>
      <x:c r="X6" s="25" t="n">
        <x:f>('参数'!$B$26+'参数'!$B$27*(D6-1)/99)*'参数'!$K$26*AD6</x:f>
        <x:v>12</x:v>
      </x:c>
      <x:c r="Y6" s="25" t="n">
        <x:f>('参数'!$B$28+'参数'!$B$29*(D6-1)/99)*'参数'!$K$26*AD6*IF(AE6=1,'参数'!$B$51,1)</x:f>
        <x:v>30</x:v>
      </x:c>
      <x:c r="Z6" s="21" t="n">
        <x:f>MIN('参数'!$B$36,U6/(U6+'参数'!$B$35))</x:f>
        <x:v>0.015990159901599015</x:v>
      </x:c>
      <x:c r="AA6" s="18" t="n">
        <x:f>T6*'参数'!$B$30/('参数'!$B$32*'参数'!$B$33)/(1-Z6)*AC6</x:f>
        <x:v>38.109375</x:v>
      </x:c>
      <x:c r="AB6" s="18" t="n">
        <x:f>T6*'参数'!$B$31/'参数'!$B$34/(1-Z6)*AC6</x:f>
        <x:v>76.21875</x:v>
      </x:c>
      <x:c r="AC6" s="15" t="n">
        <x:f>'参数'!$L$26*1</x:f>
        <x:v>1</x:v>
      </x:c>
      <x:c r="AD6" s="15" t="n">
        <x:f>1</x:f>
        <x:v>1</x:v>
      </x:c>
      <x:c r="AE6" s="18" t="n">
        <x:f>IF(MOD(B6,12)=0,1,0)</x:f>
        <x:v>0</x:v>
      </x:c>
    </x:row>
    <x:row r="7" ht="22" customHeight="1">
      <x:c r="A7" s="19" t="str">
        <x:v>简单</x:v>
      </x:c>
      <x:c r="B7" s="19" t="n">
        <x:v>2</x:v>
      </x:c>
      <x:c r="C7" s="19" t="n">
        <x:f>ROUNDUP(B7/12,0)</x:f>
        <x:v>1</x:v>
      </x:c>
      <x:c r="D7" s="19" t="n">
        <x:f>ROUND(MAX('参数'!$G$26,E7)+(IF(C7&lt;10,INDEX('参数'!$G$34:$P$34,1,MIN(10,C7+1)),'参数'!$H$26)-MAX('参数'!$G$26,E7))*MOD(B7-1,12)/11,0)</x:f>
        <x:v>2</x:v>
      </x:c>
      <x:c r="E7" s="19" t="n">
        <x:f>INDEX('参数'!$G$34:$P$34,1,C7)</x:f>
        <x:v>1</x:v>
      </x:c>
      <x:c r="F7" s="20" t="n">
        <x:f>'参数'!$I$26</x:f>
        <x:v>1.05</x:v>
      </x:c>
      <x:c r="G7" s="19" t="n">
        <x:f>ROUND((ROUND(V7*X7/'参数'!$B$56,0))*0.4,0)</x:f>
        <x:v>698</x:v>
      </x:c>
      <x:c r="H7" s="19" t="n">
        <x:f>ROUND((ROUND((AA7+SQRT(AA7^2+4*AA7*'参数'!$B$22*U7))/2,0))*0.4,0)</x:f>
        <x:v>34</x:v>
      </x:c>
      <x:c r="I7" s="19" t="n">
        <x:f>ROUND(Q7*'参数'!$B$23/'参数'!$B$22,0)</x:f>
        <x:v>27</x:v>
      </x:c>
      <x:c r="J7" s="19" t="n">
        <x:f>ROUND(G7*'参数'!$B$50,0)</x:f>
        <x:v>2094</x:v>
      </x:c>
      <x:c r="K7" s="19" t="n">
        <x:f>ROUND((ROUND(W7*Y7,0))*0.4,0)</x:f>
        <x:v>6149</x:v>
      </x:c>
      <x:c r="L7" s="19" t="n">
        <x:f>ROUND((ROUND((AB7+SQRT(AB7^2+4*AB7*'参数'!$B$22*U7))/2,0))*0.4,0)</x:f>
        <x:v>54</x:v>
      </x:c>
      <x:c r="M7" s="19" t="n">
        <x:f>ROUND(I7*'参数'!$B$24,0)</x:f>
        <x:v>34</x:v>
      </x:c>
      <x:c r="N7" s="19" t="n">
        <x:f>'参数'!$B$9*'参数'!$B$10^(D7-1)</x:f>
        <x:v>618</x:v>
      </x:c>
      <x:c r="O7" s="19" t="n">
        <x:f>'参数'!$B$18*'参数'!$B$19^(MIN(E7,MAX(1,5*INT(D7/5)))-1)*F7*'参数'!$J$26*P7</x:f>
        <x:v>1.9894736842105265</x:v>
      </x:c>
      <x:c r="P7" s="22" t="n">
        <x:f>MIN(1,(D7-1)/19)</x:f>
        <x:v>0.05263157894736842</x:v>
      </x:c>
      <x:c r="Q7" s="19" t="n">
        <x:f>INDEX('角色成长'!$F$6:$F$105,D7)+O7*'参数'!$K$21</x:f>
        <x:v>134.67</x:v>
      </x:c>
      <x:c r="R7" s="19" t="n">
        <x:f>INDEX('角色成长'!$I$6:$I$105,D7)+O7*'参数'!$K$21</x:f>
        <x:v>98.67</x:v>
      </x:c>
      <x:c r="S7" s="19" t="n">
        <x:f>INDEX('角色成长'!$L$6:$L$105,D7)+O7*'参数'!$K$21</x:f>
        <x:v>77.67</x:v>
      </x:c>
      <x:c r="T7" s="19" t="n">
        <x:f>(INDEX('角色成长'!$J$6:$J$105,D7)+O7*'参数'!$L$21)*(1+'参数'!$B$40*P7)</x:f>
        <x:v>1606.5777174515235</x:v>
      </x:c>
      <x:c r="U7" s="19" t="n">
        <x:f>(INDEX('角色成长'!$K$6:$K$105,D7)+O7*'参数'!$M$21)*(1+'参数'!$B$41*P7)</x:f>
        <x:v>70.85253462603877</x:v>
      </x:c>
      <x:c r="V7" s="19" t="n">
        <x:f>(('参数'!$K$5*(((Q7*(1+'参数'!$B$39*P7))^2/((Q7*(1+'参数'!$B$39*P7))+'参数'!$B$22*(I7)))*(1+'参数'!$B$42*P7)/'参数'!$J$5+((Q7*'参数'!$B$43*(1+'参数'!$B$39*P7))^2/((Q7*'参数'!$B$43*(1+'参数'!$B$39*P7))+'参数'!$B$22*(I7)))/'参数'!$B$44))+(((R7*(1+'参数'!$B$39*P7))^2/((R7*(1+'参数'!$B$39*P7))+'参数'!$B$22*(I7)))*(1+'参数'!$B$42*P7)/'参数'!$J$6+((R7*'参数'!$B$45*(1+'参数'!$B$39*P7))^2/((R7*'参数'!$B$45*(1+'参数'!$B$39*P7))+'参数'!$B$22*(I7)))/'参数'!$B$46)+((S7*(1+'参数'!$B$39*P7))^2/((S7*(1+'参数'!$B$39*P7))+'参数'!$B$22*(I7)))*(1+'参数'!$B$42*P7)/'参数'!$J$7)*(1+'参数'!$B$37*('参数'!$B$38-1))*'参数'!$B$25</x:f>
        <x:v>665.9260230769482</x:v>
      </x:c>
      <x:c r="W7" s="19" t="n">
        <x:f>(('参数'!$K$5*(((Q7*(1+'参数'!$B$39*P7))^2/((Q7*(1+'参数'!$B$39*P7))+'参数'!$B$22*(M7)))*(1+'参数'!$B$42*P7)/'参数'!$J$5+((Q7*'参数'!$B$43*(1+'参数'!$B$39*P7))^2/((Q7*'参数'!$B$43*(1+'参数'!$B$39*P7))+'参数'!$B$22*(M7)))/'参数'!$B$44))+(((R7*(1+'参数'!$B$39*P7))^2/((R7*(1+'参数'!$B$39*P7))+'参数'!$B$22*(M7)))*(1+'参数'!$B$42*P7)/'参数'!$J$6+((R7*'参数'!$B$45*(1+'参数'!$B$39*P7))^2/((R7*'参数'!$B$45*(1+'参数'!$B$39*P7))+'参数'!$B$22*(M7)))/'参数'!$B$46)+((S7*(1+'参数'!$B$39*P7))^2/((S7*(1+'参数'!$B$39*P7))+'参数'!$B$22*(M7)))*(1+'参数'!$B$42*P7)/'参数'!$J$7)*(1+'参数'!$B$37*('参数'!$B$38-1))</x:f>
        <x:v>509.00901227041777</x:v>
      </x:c>
      <x:c r="X7" s="26" t="n">
        <x:f>('参数'!$B$26+'参数'!$B$27*(D7-1)/99)*'参数'!$K$26*AD7</x:f>
        <x:v>12.06060606060606</x:v>
      </x:c>
      <x:c r="Y7" s="26" t="n">
        <x:f>('参数'!$B$28+'参数'!$B$29*(D7-1)/99)*'参数'!$K$26*AD7*IF(AE7=1,'参数'!$B$51,1)</x:f>
        <x:v>30.2020202020202</x:v>
      </x:c>
      <x:c r="Z7" s="22" t="n">
        <x:f>MIN('参数'!$B$36,U7/(U7+'参数'!$B$35))</x:f>
        <x:v>0.017404839409774275</x:v>
      </x:c>
      <x:c r="AA7" s="19" t="n">
        <x:f>T7*'参数'!$B$30/('参数'!$B$32*'参数'!$B$33)/(1-Z7)*AC7</x:f>
        <x:v>40.87588108225782</x:v>
      </x:c>
      <x:c r="AB7" s="19" t="n">
        <x:f>T7*'参数'!$B$31/'参数'!$B$34/(1-Z7)*AC7</x:f>
        <x:v>81.75176216451564</x:v>
      </x:c>
      <x:c r="AC7" s="20" t="n">
        <x:f>'参数'!$L$26*1</x:f>
        <x:v>1</x:v>
      </x:c>
      <x:c r="AD7" s="20" t="n">
        <x:f>1</x:f>
        <x:v>1</x:v>
      </x:c>
      <x:c r="AE7" s="19" t="n">
        <x:f>IF(MOD(B7,12)=0,1,0)</x:f>
        <x:v>0</x:v>
      </x:c>
    </x:row>
    <x:row r="8" ht="22" customHeight="1">
      <x:c r="A8" s="18" t="str">
        <x:v>简单</x:v>
      </x:c>
      <x:c r="B8" s="18" t="n">
        <x:v>3</x:v>
      </x:c>
      <x:c r="C8" s="18" t="n">
        <x:f>ROUNDUP(B8/12,0)</x:f>
        <x:v>1</x:v>
      </x:c>
      <x:c r="D8" s="18" t="n">
        <x:f>ROUND(MAX('参数'!$G$26,E8)+(IF(C8&lt;10,INDEX('参数'!$G$34:$P$34,1,MIN(10,C8+1)),'参数'!$H$26)-MAX('参数'!$G$26,E8))*MOD(B8-1,12)/11,0)</x:f>
        <x:v>3</x:v>
      </x:c>
      <x:c r="E8" s="18" t="n">
        <x:f>INDEX('参数'!$G$34:$P$34,1,C8)</x:f>
        <x:v>1</x:v>
      </x:c>
      <x:c r="F8" s="15" t="n">
        <x:f>'参数'!$I$26</x:f>
        <x:v>1.05</x:v>
      </x:c>
      <x:c r="G8" s="18" t="n">
        <x:f>ROUND((ROUND(V8*X8/'参数'!$B$56,0))*0.4,0)</x:f>
        <x:v>773</x:v>
      </x:c>
      <x:c r="H8" s="18" t="n">
        <x:f>ROUND((ROUND((AA8+SQRT(AA8^2+4*AA8*'参数'!$B$22*U8))/2,0))*0.4,0)</x:f>
        <x:v>36</x:v>
      </x:c>
      <x:c r="I8" s="18" t="n">
        <x:f>ROUND(Q8*'参数'!$B$23/'参数'!$B$22,0)</x:f>
        <x:v>29</x:v>
      </x:c>
      <x:c r="J8" s="18" t="n">
        <x:f>ROUND(G8*'参数'!$B$50,0)</x:f>
        <x:v>2319</x:v>
      </x:c>
      <x:c r="K8" s="18" t="n">
        <x:f>ROUND((ROUND(W8*Y8,0))*0.4,0)</x:f>
        <x:v>6840</x:v>
      </x:c>
      <x:c r="L8" s="18" t="n">
        <x:f>ROUND((ROUND((AB8+SQRT(AB8^2+4*AB8*'参数'!$B$22*U8))/2,0))*0.4,0)</x:f>
        <x:v>58</x:v>
      </x:c>
      <x:c r="M8" s="18" t="n">
        <x:f>ROUND(I8*'参数'!$B$24,0)</x:f>
        <x:v>36</x:v>
      </x:c>
      <x:c r="N8" s="18" t="n">
        <x:f>'参数'!$B$9*'参数'!$B$10^(D8-1)</x:f>
        <x:v>636.54</x:v>
      </x:c>
      <x:c r="O8" s="18" t="n">
        <x:f>'参数'!$B$18*'参数'!$B$19^(MIN(E8,MAX(1,5*INT(D8/5)))-1)*F8*'参数'!$J$26*P8</x:f>
        <x:v>3.978947368421053</x:v>
      </x:c>
      <x:c r="P8" s="21" t="n">
        <x:f>MIN(1,(D8-1)/19)</x:f>
        <x:v>0.10526315789473684</x:v>
      </x:c>
      <x:c r="Q8" s="18" t="n">
        <x:f>INDEX('角色成长'!$F$6:$F$105,D8)+O8*'参数'!$K$21</x:f>
        <x:v>145.34</x:v>
      </x:c>
      <x:c r="R8" s="18" t="n">
        <x:f>INDEX('角色成长'!$I$6:$I$105,D8)+O8*'参数'!$K$21</x:f>
        <x:v>107.34</x:v>
      </x:c>
      <x:c r="S8" s="18" t="n">
        <x:f>INDEX('角色成长'!$L$6:$L$105,D8)+O8*'参数'!$K$21</x:f>
        <x:v>86.34</x:v>
      </x:c>
      <x:c r="T8" s="18" t="n">
        <x:f>(INDEX('角色成长'!$J$6:$J$105,D8)+O8*'参数'!$L$21)*(1+'参数'!$B$40*P8)</x:f>
        <x:v>1716.2098171745151</x:v>
      </x:c>
      <x:c r="U8" s="18" t="n">
        <x:f>(INDEX('角色成长'!$K$6:$K$105,D8)+O8*'参数'!$M$21)*(1+'参数'!$B$41*P8)</x:f>
        <x:v>77.77329639889197</x:v>
      </x:c>
      <x:c r="V8" s="18" t="n">
        <x:f>(('参数'!$K$5*(((Q8*(1+'参数'!$B$39*P8))^2/((Q8*(1+'参数'!$B$39*P8))+'参数'!$B$22*(I8)))*(1+'参数'!$B$42*P8)/'参数'!$J$5+((Q8*'参数'!$B$43*(1+'参数'!$B$39*P8))^2/((Q8*'参数'!$B$43*(1+'参数'!$B$39*P8))+'参数'!$B$22*(I8)))/'参数'!$B$44))+(((R8*(1+'参数'!$B$39*P8))^2/((R8*(1+'参数'!$B$39*P8))+'参数'!$B$22*(I8)))*(1+'参数'!$B$42*P8)/'参数'!$J$6+((R8*'参数'!$B$45*(1+'参数'!$B$39*P8))^2/((R8*'参数'!$B$45*(1+'参数'!$B$39*P8))+'参数'!$B$22*(I8)))/'参数'!$B$46)+((S8*(1+'参数'!$B$39*P8))^2/((S8*(1+'参数'!$B$39*P8))+'参数'!$B$22*(I8)))*(1+'参数'!$B$42*P8)/'参数'!$J$7)*(1+'参数'!$B$37*('参数'!$B$38-1))*'参数'!$B$25</x:f>
        <x:v>733.130282737361</x:v>
      </x:c>
      <x:c r="W8" s="18" t="n">
        <x:f>(('参数'!$K$5*(((Q8*(1+'参数'!$B$39*P8))^2/((Q8*(1+'参数'!$B$39*P8))+'参数'!$B$22*(M8)))*(1+'参数'!$B$42*P8)/'参数'!$J$5+((Q8*'参数'!$B$43*(1+'参数'!$B$39*P8))^2/((Q8*'参数'!$B$43*(1+'参数'!$B$39*P8))+'参数'!$B$22*(M8)))/'参数'!$B$44))+(((R8*(1+'参数'!$B$39*P8))^2/((R8*(1+'参数'!$B$39*P8))+'参数'!$B$22*(M8)))*(1+'参数'!$B$42*P8)/'参数'!$J$6+((R8*'参数'!$B$45*(1+'参数'!$B$39*P8))^2/((R8*'参数'!$B$45*(1+'参数'!$B$39*P8))+'参数'!$B$22*(M8)))/'参数'!$B$46)+((S8*(1+'参数'!$B$39*P8))^2/((S8*(1+'参数'!$B$39*P8))+'参数'!$B$22*(M8)))*(1+'参数'!$B$42*P8)/'参数'!$J$7)*(1+'参数'!$B$37*('参数'!$B$38-1))</x:f>
        <x:v>562.3829564030985</x:v>
      </x:c>
      <x:c r="X8" s="25" t="n">
        <x:f>('参数'!$B$26+'参数'!$B$27*(D8-1)/99)*'参数'!$K$26*AD8</x:f>
        <x:v>12.121212121212121</x:v>
      </x:c>
      <x:c r="Y8" s="25" t="n">
        <x:f>('参数'!$B$28+'参数'!$B$29*(D8-1)/99)*'参数'!$K$26*AD8*IF(AE8=1,'参数'!$B$51,1)</x:f>
        <x:v>30.404040404040405</x:v>
      </x:c>
      <x:c r="Z8" s="21" t="n">
        <x:f>MIN('参数'!$B$36,U8/(U8+'参数'!$B$35))</x:f>
        <x:v>0.01907249146674585</x:v>
      </x:c>
      <x:c r="AA8" s="18" t="n">
        <x:f>T8*'参数'!$B$30/('参数'!$B$32*'参数'!$B$33)/(1-Z8)*AC8</x:f>
        <x:v>43.73946602182414</x:v>
      </x:c>
      <x:c r="AB8" s="18" t="n">
        <x:f>T8*'参数'!$B$31/'参数'!$B$34/(1-Z8)*AC8</x:f>
        <x:v>87.47893204364827</x:v>
      </x:c>
      <x:c r="AC8" s="15" t="n">
        <x:f>'参数'!$L$26*1</x:f>
        <x:v>1</x:v>
      </x:c>
      <x:c r="AD8" s="15" t="n">
        <x:f>1</x:f>
        <x:v>1</x:v>
      </x:c>
      <x:c r="AE8" s="18" t="n">
        <x:f>IF(MOD(B8,12)=0,1,0)</x:f>
        <x:v>0</x:v>
      </x:c>
    </x:row>
    <x:row r="9" ht="22" customHeight="1">
      <x:c r="A9" s="19" t="str">
        <x:v>简单</x:v>
      </x:c>
      <x:c r="B9" s="19" t="n">
        <x:v>4</x:v>
      </x:c>
      <x:c r="C9" s="19" t="n">
        <x:f>ROUNDUP(B9/12,0)</x:f>
        <x:v>1</x:v>
      </x:c>
      <x:c r="D9" s="19" t="n">
        <x:f>ROUND(MAX('参数'!$G$26,E9)+(IF(C9&lt;10,INDEX('参数'!$G$34:$P$34,1,MIN(10,C9+1)),'参数'!$H$26)-MAX('参数'!$G$26,E9))*MOD(B9-1,12)/11,0)</x:f>
        <x:v>3</x:v>
      </x:c>
      <x:c r="E9" s="19" t="n">
        <x:f>INDEX('参数'!$G$34:$P$34,1,C9)</x:f>
        <x:v>1</x:v>
      </x:c>
      <x:c r="F9" s="20" t="n">
        <x:f>'参数'!$I$26</x:f>
        <x:v>1.05</x:v>
      </x:c>
      <x:c r="G9" s="19" t="n">
        <x:f>ROUND((ROUND(V9*X9/'参数'!$B$56,0))*0.6,0)</x:f>
        <x:v>1159</x:v>
      </x:c>
      <x:c r="H9" s="19" t="n">
        <x:f>ROUND((ROUND((AA9+SQRT(AA9^2+4*AA9*'参数'!$B$22*U9))/2,0))*0.6,0)</x:f>
        <x:v>55</x:v>
      </x:c>
      <x:c r="I9" s="19" t="n">
        <x:f>ROUND(Q9*'参数'!$B$23/'参数'!$B$22,0)</x:f>
        <x:v>29</x:v>
      </x:c>
      <x:c r="J9" s="19" t="n">
        <x:f>ROUND(G9*'参数'!$B$50,0)</x:f>
        <x:v>3477</x:v>
      </x:c>
      <x:c r="K9" s="19" t="n">
        <x:f>ROUND((ROUND(W9*Y9,0))*0.6,0)</x:f>
        <x:v>10259</x:v>
      </x:c>
      <x:c r="L9" s="19" t="n">
        <x:f>ROUND((ROUND((AB9+SQRT(AB9^2+4*AB9*'参数'!$B$22*U9))/2,0))*0.6,0)</x:f>
        <x:v>88</x:v>
      </x:c>
      <x:c r="M9" s="19" t="n">
        <x:f>ROUND(I9*'参数'!$B$24,0)</x:f>
        <x:v>36</x:v>
      </x:c>
      <x:c r="N9" s="19" t="n">
        <x:f>'参数'!$B$9*'参数'!$B$10^(D9-1)</x:f>
        <x:v>636.54</x:v>
      </x:c>
      <x:c r="O9" s="19" t="n">
        <x:f>'参数'!$B$18*'参数'!$B$19^(MIN(E9,MAX(1,5*INT(D9/5)))-1)*F9*'参数'!$J$26*P9</x:f>
        <x:v>3.978947368421053</x:v>
      </x:c>
      <x:c r="P9" s="22" t="n">
        <x:f>MIN(1,(D9-1)/19)</x:f>
        <x:v>0.10526315789473684</x:v>
      </x:c>
      <x:c r="Q9" s="19" t="n">
        <x:f>INDEX('角色成长'!$F$6:$F$105,D9)+O9*'参数'!$K$21</x:f>
        <x:v>145.34</x:v>
      </x:c>
      <x:c r="R9" s="19" t="n">
        <x:f>INDEX('角色成长'!$I$6:$I$105,D9)+O9*'参数'!$K$21</x:f>
        <x:v>107.34</x:v>
      </x:c>
      <x:c r="S9" s="19" t="n">
        <x:f>INDEX('角色成长'!$L$6:$L$105,D9)+O9*'参数'!$K$21</x:f>
        <x:v>86.34</x:v>
      </x:c>
      <x:c r="T9" s="19" t="n">
        <x:f>(INDEX('角色成长'!$J$6:$J$105,D9)+O9*'参数'!$L$21)*(1+'参数'!$B$40*P9)</x:f>
        <x:v>1716.2098171745151</x:v>
      </x:c>
      <x:c r="U9" s="19" t="n">
        <x:f>(INDEX('角色成长'!$K$6:$K$105,D9)+O9*'参数'!$M$21)*(1+'参数'!$B$41*P9)</x:f>
        <x:v>77.77329639889197</x:v>
      </x:c>
      <x:c r="V9" s="19" t="n">
        <x:f>(('参数'!$K$5*(((Q9*(1+'参数'!$B$39*P9))^2/((Q9*(1+'参数'!$B$39*P9))+'参数'!$B$22*(I9)))*(1+'参数'!$B$42*P9)/'参数'!$J$5+((Q9*'参数'!$B$43*(1+'参数'!$B$39*P9))^2/((Q9*'参数'!$B$43*(1+'参数'!$B$39*P9))+'参数'!$B$22*(I9)))/'参数'!$B$44))+(((R9*(1+'参数'!$B$39*P9))^2/((R9*(1+'参数'!$B$39*P9))+'参数'!$B$22*(I9)))*(1+'参数'!$B$42*P9)/'参数'!$J$6+((R9*'参数'!$B$45*(1+'参数'!$B$39*P9))^2/((R9*'参数'!$B$45*(1+'参数'!$B$39*P9))+'参数'!$B$22*(I9)))/'参数'!$B$46)+((S9*(1+'参数'!$B$39*P9))^2/((S9*(1+'参数'!$B$39*P9))+'参数'!$B$22*(I9)))*(1+'参数'!$B$42*P9)/'参数'!$J$7)*(1+'参数'!$B$37*('参数'!$B$38-1))*'参数'!$B$25</x:f>
        <x:v>733.130282737361</x:v>
      </x:c>
      <x:c r="W9" s="19" t="n">
        <x:f>(('参数'!$K$5*(((Q9*(1+'参数'!$B$39*P9))^2/((Q9*(1+'参数'!$B$39*P9))+'参数'!$B$22*(M9)))*(1+'参数'!$B$42*P9)/'参数'!$J$5+((Q9*'参数'!$B$43*(1+'参数'!$B$39*P9))^2/((Q9*'参数'!$B$43*(1+'参数'!$B$39*P9))+'参数'!$B$22*(M9)))/'参数'!$B$44))+(((R9*(1+'参数'!$B$39*P9))^2/((R9*(1+'参数'!$B$39*P9))+'参数'!$B$22*(M9)))*(1+'参数'!$B$42*P9)/'参数'!$J$6+((R9*'参数'!$B$45*(1+'参数'!$B$39*P9))^2/((R9*'参数'!$B$45*(1+'参数'!$B$39*P9))+'参数'!$B$22*(M9)))/'参数'!$B$46)+((S9*(1+'参数'!$B$39*P9))^2/((S9*(1+'参数'!$B$39*P9))+'参数'!$B$22*(M9)))*(1+'参数'!$B$42*P9)/'参数'!$J$7)*(1+'参数'!$B$37*('参数'!$B$38-1))</x:f>
        <x:v>562.3829564030985</x:v>
      </x:c>
      <x:c r="X9" s="26" t="n">
        <x:f>('参数'!$B$26+'参数'!$B$27*(D9-1)/99)*'参数'!$K$26*AD9</x:f>
        <x:v>12.121212121212121</x:v>
      </x:c>
      <x:c r="Y9" s="26" t="n">
        <x:f>('参数'!$B$28+'参数'!$B$29*(D9-1)/99)*'参数'!$K$26*AD9*IF(AE9=1,'参数'!$B$51,1)</x:f>
        <x:v>30.404040404040405</x:v>
      </x:c>
      <x:c r="Z9" s="22" t="n">
        <x:f>MIN('参数'!$B$36,U9/(U9+'参数'!$B$35))</x:f>
        <x:v>0.01907249146674585</x:v>
      </x:c>
      <x:c r="AA9" s="19" t="n">
        <x:f>T9*'参数'!$B$30/('参数'!$B$32*'参数'!$B$33)/(1-Z9)*AC9</x:f>
        <x:v>43.73946602182414</x:v>
      </x:c>
      <x:c r="AB9" s="19" t="n">
        <x:f>T9*'参数'!$B$31/'参数'!$B$34/(1-Z9)*AC9</x:f>
        <x:v>87.47893204364827</x:v>
      </x:c>
      <x:c r="AC9" s="20" t="n">
        <x:f>'参数'!$L$26*1</x:f>
        <x:v>1</x:v>
      </x:c>
      <x:c r="AD9" s="20" t="n">
        <x:f>1</x:f>
        <x:v>1</x:v>
      </x:c>
      <x:c r="AE9" s="19" t="n">
        <x:f>IF(MOD(B9,12)=0,1,0)</x:f>
        <x:v>0</x:v>
      </x:c>
    </x:row>
    <x:row r="10" ht="22" customHeight="1">
      <x:c r="A10" s="18" t="str">
        <x:v>简单</x:v>
      </x:c>
      <x:c r="B10" s="18" t="n">
        <x:v>5</x:v>
      </x:c>
      <x:c r="C10" s="18" t="n">
        <x:f>ROUNDUP(B10/12,0)</x:f>
        <x:v>1</x:v>
      </x:c>
      <x:c r="D10" s="18" t="n">
        <x:f>ROUND(MAX('参数'!$G$26,E10)+(IF(C10&lt;10,INDEX('参数'!$G$34:$P$34,1,MIN(10,C10+1)),'参数'!$H$26)-MAX('参数'!$G$26,E10))*MOD(B10-1,12)/11,0)</x:f>
        <x:v>4</x:v>
      </x:c>
      <x:c r="E10" s="18" t="n">
        <x:f>INDEX('参数'!$G$34:$P$34,1,C10)</x:f>
        <x:v>1</x:v>
      </x:c>
      <x:c r="F10" s="15" t="n">
        <x:f>'参数'!$I$26</x:f>
        <x:v>1.05</x:v>
      </x:c>
      <x:c r="G10" s="18" t="n">
        <x:f>ROUND((ROUND(V10*X10/'参数'!$B$56,0))*0.6,0)</x:f>
        <x:v>1276</x:v>
      </x:c>
      <x:c r="H10" s="18" t="n">
        <x:f>ROUND((ROUND((AA10+SQRT(AA10^2+4*AA10*'参数'!$B$22*U10))/2,0))*0.6,0)</x:f>
        <x:v>58</x:v>
      </x:c>
      <x:c r="I10" s="18" t="n">
        <x:f>ROUND(Q10*'参数'!$B$23/'参数'!$B$22,0)</x:f>
        <x:v>31</x:v>
      </x:c>
      <x:c r="J10" s="18" t="n">
        <x:f>ROUND(G10*'参数'!$B$50,0)</x:f>
        <x:v>3828</x:v>
      </x:c>
      <x:c r="K10" s="18" t="n">
        <x:f>ROUND((ROUND(W10*Y10,0))*0.6,0)</x:f>
        <x:v>11290</x:v>
      </x:c>
      <x:c r="L10" s="18" t="n">
        <x:f>ROUND((ROUND((AB10+SQRT(AB10^2+4*AB10*'参数'!$B$22*U10))/2,0))*0.6,0)</x:f>
        <x:v>94</x:v>
      </x:c>
      <x:c r="M10" s="18" t="n">
        <x:f>ROUND(I10*'参数'!$B$24,0)</x:f>
        <x:v>39</x:v>
      </x:c>
      <x:c r="N10" s="18" t="n">
        <x:f>'参数'!$B$9*'参数'!$B$10^(D10-1)</x:f>
        <x:v>655.6362</x:v>
      </x:c>
      <x:c r="O10" s="18" t="n">
        <x:f>'参数'!$B$18*'参数'!$B$19^(MIN(E10,MAX(1,5*INT(D10/5)))-1)*F10*'参数'!$J$26*P10</x:f>
        <x:v>5.968421052631579</x:v>
      </x:c>
      <x:c r="P10" s="21" t="n">
        <x:f>MIN(1,(D10-1)/19)</x:f>
        <x:v>0.15789473684210525</x:v>
      </x:c>
      <x:c r="Q10" s="18" t="n">
        <x:f>INDEX('角色成长'!$F$6:$F$105,D10)+O10*'参数'!$K$21</x:f>
        <x:v>156.01</x:v>
      </x:c>
      <x:c r="R10" s="18" t="n">
        <x:f>INDEX('角色成长'!$I$6:$I$105,D10)+O10*'参数'!$K$21</x:f>
        <x:v>117.01</x:v>
      </x:c>
      <x:c r="S10" s="18" t="n">
        <x:f>INDEX('角色成长'!$L$6:$L$105,D10)+O10*'参数'!$K$21</x:f>
        <x:v>95.01</x:v>
      </x:c>
      <x:c r="T10" s="18" t="n">
        <x:f>(INDEX('角色成长'!$J$6:$J$105,D10)+O10*'参数'!$L$21)*(1+'参数'!$B$40*P10)</x:f>
        <x:v>1828.9278781163437</x:v>
      </x:c>
      <x:c r="U10" s="18" t="n">
        <x:f>(INDEX('角色成长'!$K$6:$K$105,D10)+O10*'参数'!$M$21)*(1+'参数'!$B$41*P10)</x:f>
        <x:v>83.74649584487535</x:v>
      </x:c>
      <x:c r="V10" s="18" t="n">
        <x:f>(('参数'!$K$5*(((Q10*(1+'参数'!$B$39*P10))^2/((Q10*(1+'参数'!$B$39*P10))+'参数'!$B$22*(I10)))*(1+'参数'!$B$42*P10)/'参数'!$J$5+((Q10*'参数'!$B$43*(1+'参数'!$B$39*P10))^2/((Q10*'参数'!$B$43*(1+'参数'!$B$39*P10))+'参数'!$B$22*(I10)))/'参数'!$B$44))+(((R10*(1+'参数'!$B$39*P10))^2/((R10*(1+'参数'!$B$39*P10))+'参数'!$B$22*(I10)))*(1+'参数'!$B$42*P10)/'参数'!$J$6+((R10*'参数'!$B$45*(1+'参数'!$B$39*P10))^2/((R10*'参数'!$B$45*(1+'参数'!$B$39*P10))+'参数'!$B$22*(I10)))/'参数'!$B$46)+((S10*(1+'参数'!$B$39*P10))^2/((S10*(1+'参数'!$B$39*P10))+'参数'!$B$22*(I10)))*(1+'参数'!$B$42*P10)/'参数'!$J$7)*(1+'参数'!$B$37*('参数'!$B$38-1))*'参数'!$B$25</x:f>
        <x:v>803.2553927415199</x:v>
      </x:c>
      <x:c r="W10" s="18" t="n">
        <x:f>(('参数'!$K$5*(((Q10*(1+'参数'!$B$39*P10))^2/((Q10*(1+'参数'!$B$39*P10))+'参数'!$B$22*(M10)))*(1+'参数'!$B$42*P10)/'参数'!$J$5+((Q10*'参数'!$B$43*(1+'参数'!$B$39*P10))^2/((Q10*'参数'!$B$43*(1+'参数'!$B$39*P10))+'参数'!$B$22*(M10)))/'参数'!$B$44))+(((R10*(1+'参数'!$B$39*P10))^2/((R10*(1+'参数'!$B$39*P10))+'参数'!$B$22*(M10)))*(1+'参数'!$B$42*P10)/'参数'!$J$6+((R10*'参数'!$B$45*(1+'参数'!$B$39*P10))^2/((R10*'参数'!$B$45*(1+'参数'!$B$39*P10))+'参数'!$B$22*(M10)))/'参数'!$B$46)+((S10*(1+'参数'!$B$39*P10))^2/((S10*(1+'参数'!$B$39*P10))+'参数'!$B$22*(M10)))*(1+'参数'!$B$42*P10)/'参数'!$J$7)*(1+'参数'!$B$37*('参数'!$B$38-1))</x:f>
        <x:v>614.7704393792848</x:v>
      </x:c>
      <x:c r="X10" s="25" t="n">
        <x:f>('参数'!$B$26+'参数'!$B$27*(D10-1)/99)*'参数'!$K$26*AD10</x:f>
        <x:v>12.181818181818182</x:v>
      </x:c>
      <x:c r="Y10" s="25" t="n">
        <x:f>('参数'!$B$28+'参数'!$B$29*(D10-1)/99)*'参数'!$K$26*AD10*IF(AE10=1,'参数'!$B$51,1)</x:f>
        <x:v>30.606060606060606</x:v>
      </x:c>
      <x:c r="Z10" s="21" t="n">
        <x:f>MIN('参数'!$B$36,U10/(U10+'参数'!$B$35))</x:f>
        <x:v>0.020507270941055138</x:v>
      </x:c>
      <x:c r="AA10" s="18" t="n">
        <x:f>T10*'参数'!$B$30/('参数'!$B$32*'参数'!$B$33)/(1-Z10)*AC10</x:f>
        <x:v>46.68048633381638</x:v>
      </x:c>
      <x:c r="AB10" s="18" t="n">
        <x:f>T10*'参数'!$B$31/'参数'!$B$34/(1-Z10)*AC10</x:f>
        <x:v>93.36097266763278</x:v>
      </x:c>
      <x:c r="AC10" s="15" t="n">
        <x:f>'参数'!$L$26*1</x:f>
        <x:v>1</x:v>
      </x:c>
      <x:c r="AD10" s="15" t="n">
        <x:f>1</x:f>
        <x:v>1</x:v>
      </x:c>
      <x:c r="AE10" s="18" t="n">
        <x:f>IF(MOD(B10,12)=0,1,0)</x:f>
        <x:v>0</x:v>
      </x:c>
    </x:row>
    <x:row r="11" ht="22" customHeight="1">
      <x:c r="A11" s="19" t="str">
        <x:v>简单</x:v>
      </x:c>
      <x:c r="B11" s="19" t="n">
        <x:v>6</x:v>
      </x:c>
      <x:c r="C11" s="19" t="n">
        <x:f>ROUNDUP(B11/12,0)</x:f>
        <x:v>1</x:v>
      </x:c>
      <x:c r="D11" s="19" t="n">
        <x:f>ROUND(MAX('参数'!$G$26,E11)+(IF(C11&lt;10,INDEX('参数'!$G$34:$P$34,1,MIN(10,C11+1)),'参数'!$H$26)-MAX('参数'!$G$26,E11))*MOD(B11-1,12)/11,0)</x:f>
        <x:v>5</x:v>
      </x:c>
      <x:c r="E11" s="19" t="n">
        <x:f>INDEX('参数'!$G$34:$P$34,1,C11)</x:f>
        <x:v>1</x:v>
      </x:c>
      <x:c r="F11" s="20" t="n">
        <x:f>'参数'!$I$26</x:f>
        <x:v>1.05</x:v>
      </x:c>
      <x:c r="G11" s="19" t="n">
        <x:f>ROUND((ROUND(V11*X11/'参数'!$B$56,0))*0.6,0)</x:f>
        <x:v>1387</x:v>
      </x:c>
      <x:c r="H11" s="19" t="n">
        <x:f>ROUND((ROUND((AA11+SQRT(AA11^2+4*AA11*'参数'!$B$22*U11))/2,0))*0.6,0)</x:f>
        <x:v>62</x:v>
      </x:c>
      <x:c r="I11" s="19" t="n">
        <x:f>ROUND(Q11*'参数'!$B$23/'参数'!$B$22,0)</x:f>
        <x:v>33</x:v>
      </x:c>
      <x:c r="J11" s="19" t="n">
        <x:f>ROUND(G11*'参数'!$B$50,0)</x:f>
        <x:v>4161</x:v>
      </x:c>
      <x:c r="K11" s="19" t="n">
        <x:f>ROUND((ROUND(W11*Y11,0))*0.6,0)</x:f>
        <x:v>12322</x:v>
      </x:c>
      <x:c r="L11" s="19" t="n">
        <x:f>ROUND((ROUND((AB11+SQRT(AB11^2+4*AB11*'参数'!$B$22*U11))/2,0))*0.6,0)</x:f>
        <x:v>100</x:v>
      </x:c>
      <x:c r="M11" s="19" t="n">
        <x:f>ROUND(I11*'参数'!$B$24,0)</x:f>
        <x:v>41</x:v>
      </x:c>
      <x:c r="N11" s="19" t="n">
        <x:f>'参数'!$B$9*'参数'!$B$10^(D11-1)</x:f>
        <x:v>675.3052860000001</x:v>
      </x:c>
      <x:c r="O11" s="19" t="n">
        <x:f>'参数'!$B$18*'参数'!$B$19^(MIN(E11,MAX(1,5*INT(D11/5)))-1)*F11*'参数'!$J$26*P11</x:f>
        <x:v>7.957894736842106</x:v>
      </x:c>
      <x:c r="P11" s="22" t="n">
        <x:f>MIN(1,(D11-1)/19)</x:f>
        <x:v>0.21052631578947367</x:v>
      </x:c>
      <x:c r="Q11" s="19" t="n">
        <x:f>INDEX('角色成长'!$F$6:$F$105,D11)+O11*'参数'!$K$21</x:f>
        <x:v>165.68</x:v>
      </x:c>
      <x:c r="R11" s="19" t="n">
        <x:f>INDEX('角色成长'!$I$6:$I$105,D11)+O11*'参数'!$K$21</x:f>
        <x:v>125.68</x:v>
      </x:c>
      <x:c r="S11" s="19" t="n">
        <x:f>INDEX('角色成长'!$L$6:$L$105,D11)+O11*'参数'!$K$21</x:f>
        <x:v>102.68</x:v>
      </x:c>
      <x:c r="T11" s="19" t="n">
        <x:f>(INDEX('角色成长'!$J$6:$J$105,D11)+O11*'参数'!$L$21)*(1+'参数'!$B$40*P11)</x:f>
        <x:v>1944.7634792243769</x:v>
      </x:c>
      <x:c r="U11" s="19" t="n">
        <x:f>(INDEX('角色成长'!$K$6:$K$105,D11)+O11*'参数'!$M$21)*(1+'参数'!$B$41*P11)</x:f>
        <x:v>90.79844875346262</x:v>
      </x:c>
      <x:c r="V11" s="19" t="n">
        <x:f>(('参数'!$K$5*(((Q11*(1+'参数'!$B$39*P11))^2/((Q11*(1+'参数'!$B$39*P11))+'参数'!$B$22*(I11)))*(1+'参数'!$B$42*P11)/'参数'!$J$5+((Q11*'参数'!$B$43*(1+'参数'!$B$39*P11))^2/((Q11*'参数'!$B$43*(1+'参数'!$B$39*P11))+'参数'!$B$22*(I11)))/'参数'!$B$44))+(((R11*(1+'参数'!$B$39*P11))^2/((R11*(1+'参数'!$B$39*P11))+'参数'!$B$22*(I11)))*(1+'参数'!$B$42*P11)/'参数'!$J$6+((R11*'参数'!$B$45*(1+'参数'!$B$39*P11))^2/((R11*'参数'!$B$45*(1+'参数'!$B$39*P11))+'参数'!$B$22*(I11)))/'参数'!$B$46)+((S11*(1+'参数'!$B$39*P11))^2/((S11*(1+'参数'!$B$39*P11))+'参数'!$B$22*(I11)))*(1+'参数'!$B$42*P11)/'参数'!$J$7)*(1+'参数'!$B$37*('参数'!$B$38-1))*'参数'!$B$25</x:f>
        <x:v>868.4705312455928</x:v>
      </x:c>
      <x:c r="W11" s="19" t="n">
        <x:f>(('参数'!$K$5*(((Q11*(1+'参数'!$B$39*P11))^2/((Q11*(1+'参数'!$B$39*P11))+'参数'!$B$22*(M11)))*(1+'参数'!$B$42*P11)/'参数'!$J$5+((Q11*'参数'!$B$43*(1+'参数'!$B$39*P11))^2/((Q11*'参数'!$B$43*(1+'参数'!$B$39*P11))+'参数'!$B$22*(M11)))/'参数'!$B$44))+(((R11*(1+'参数'!$B$39*P11))^2/((R11*(1+'参数'!$B$39*P11))+'参数'!$B$22*(M11)))*(1+'参数'!$B$42*P11)/'参数'!$J$6+((R11*'参数'!$B$45*(1+'参数'!$B$39*P11))^2/((R11*'参数'!$B$45*(1+'参数'!$B$39*P11))+'参数'!$B$22*(M11)))/'参数'!$B$46)+((S11*(1+'参数'!$B$39*P11))^2/((S11*(1+'参数'!$B$39*P11))+'参数'!$B$22*(M11)))*(1+'参数'!$B$42*P11)/'参数'!$J$7)*(1+'参数'!$B$37*('参数'!$B$38-1))</x:f>
        <x:v>666.6106768217153</x:v>
      </x:c>
      <x:c r="X11" s="26" t="n">
        <x:f>('参数'!$B$26+'参数'!$B$27*(D11-1)/99)*'参数'!$K$26*AD11</x:f>
        <x:v>12.242424242424242</x:v>
      </x:c>
      <x:c r="Y11" s="26" t="n">
        <x:f>('参数'!$B$28+'参数'!$B$29*(D11-1)/99)*'参数'!$K$26*AD11*IF(AE11=1,'参数'!$B$51,1)</x:f>
        <x:v>30.80808080808081</x:v>
      </x:c>
      <x:c r="Z11" s="22" t="n">
        <x:f>MIN('参数'!$B$36,U11/(U11+'参数'!$B$35))</x:f>
        <x:v>0.0221957766658317</x:v>
      </x:c>
      <x:c r="AA11" s="19" t="n">
        <x:f>T11*'参数'!$B$30/('参数'!$B$32*'参数'!$B$33)/(1-Z11)*AC11</x:f>
        <x:v>49.72272140002167</x:v>
      </x:c>
      <x:c r="AB11" s="19" t="n">
        <x:f>T11*'参数'!$B$31/'参数'!$B$34/(1-Z11)*AC11</x:f>
        <x:v>99.44544280004335</x:v>
      </x:c>
      <x:c r="AC11" s="20" t="n">
        <x:f>'参数'!$L$26*1</x:f>
        <x:v>1</x:v>
      </x:c>
      <x:c r="AD11" s="20" t="n">
        <x:f>1</x:f>
        <x:v>1</x:v>
      </x:c>
      <x:c r="AE11" s="19" t="n">
        <x:f>IF(MOD(B11,12)=0,1,0)</x:f>
        <x:v>0</x:v>
      </x:c>
    </x:row>
    <x:row r="12" ht="22" customHeight="1">
      <x:c r="A12" s="18" t="str">
        <x:v>简单</x:v>
      </x:c>
      <x:c r="B12" s="18" t="n">
        <x:v>7</x:v>
      </x:c>
      <x:c r="C12" s="18" t="n">
        <x:f>ROUNDUP(B12/12,0)</x:f>
        <x:v>1</x:v>
      </x:c>
      <x:c r="D12" s="18" t="n">
        <x:f>ROUND(MAX('参数'!$G$26,E12)+(IF(C12&lt;10,INDEX('参数'!$G$34:$P$34,1,MIN(10,C12+1)),'参数'!$H$26)-MAX('参数'!$G$26,E12))*MOD(B12-1,12)/11,0)</x:f>
        <x:v>6</x:v>
      </x:c>
      <x:c r="E12" s="18" t="n">
        <x:f>INDEX('参数'!$G$34:$P$34,1,C12)</x:f>
        <x:v>1</x:v>
      </x:c>
      <x:c r="F12" s="15" t="n">
        <x:f>'参数'!$I$26</x:f>
        <x:v>1.05</x:v>
      </x:c>
      <x:c r="G12" s="18" t="n">
        <x:f>ROUND((ROUND(V12*X12/'参数'!$B$56,0))*0.6,0)</x:f>
        <x:v>1512</x:v>
      </x:c>
      <x:c r="H12" s="18" t="n">
        <x:f>ROUND((ROUND((AA12+SQRT(AA12^2+4*AA12*'参数'!$B$22*U12))/2,0))*0.6,0)</x:f>
        <x:v>67</x:v>
      </x:c>
      <x:c r="I12" s="18" t="n">
        <x:f>ROUND(Q12*'参数'!$B$23/'参数'!$B$22,0)</x:f>
        <x:v>35</x:v>
      </x:c>
      <x:c r="J12" s="18" t="n">
        <x:f>ROUND(G12*'参数'!$B$50,0)</x:f>
        <x:v>4536</x:v>
      </x:c>
      <x:c r="K12" s="18" t="n">
        <x:f>ROUND((ROUND(W12*Y12,0))*0.6,0)</x:f>
        <x:v>13429</x:v>
      </x:c>
      <x:c r="L12" s="18" t="n">
        <x:f>ROUND((ROUND((AB12+SQRT(AB12^2+4*AB12*'参数'!$B$22*U12))/2,0))*0.6,0)</x:f>
        <x:v>107</x:v>
      </x:c>
      <x:c r="M12" s="18" t="n">
        <x:f>ROUND(I12*'参数'!$B$24,0)</x:f>
        <x:v>44</x:v>
      </x:c>
      <x:c r="N12" s="18" t="n">
        <x:f>'参数'!$B$9*'参数'!$B$10^(D12-1)</x:f>
        <x:v>695.56444458</x:v>
      </x:c>
      <x:c r="O12" s="18" t="n">
        <x:f>'参数'!$B$18*'参数'!$B$19^(MIN(E12,MAX(1,5*INT(D12/5)))-1)*F12*'参数'!$J$26*P12</x:f>
        <x:v>9.947368421052632</x:v>
      </x:c>
      <x:c r="P12" s="21" t="n">
        <x:f>MIN(1,(D12-1)/19)</x:f>
        <x:v>0.2631578947368421</x:v>
      </x:c>
      <x:c r="Q12" s="18" t="n">
        <x:f>INDEX('角色成长'!$F$6:$F$105,D12)+O12*'参数'!$K$21</x:f>
        <x:v>176.35</x:v>
      </x:c>
      <x:c r="R12" s="18" t="n">
        <x:f>INDEX('角色成长'!$I$6:$I$105,D12)+O12*'参数'!$K$21</x:f>
        <x:v>135.35</x:v>
      </x:c>
      <x:c r="S12" s="18" t="n">
        <x:f>INDEX('角色成长'!$L$6:$L$105,D12)+O12*'参数'!$K$21</x:f>
        <x:v>111.35</x:v>
      </x:c>
      <x:c r="T12" s="18" t="n">
        <x:f>(INDEX('角色成长'!$J$6:$J$105,D12)+O12*'参数'!$L$21)*(1+'参数'!$B$40*P12)</x:f>
        <x:v>2063.7481994459836</x:v>
      </x:c>
      <x:c r="U12" s="18" t="n">
        <x:f>(INDEX('角色成长'!$K$6:$K$105,D12)+O12*'参数'!$M$21)*(1+'参数'!$B$41*P12)</x:f>
        <x:v>96.8923130193906</x:v>
      </x:c>
      <x:c r="V12" s="18" t="n">
        <x:f>(('参数'!$K$5*(((Q12*(1+'参数'!$B$39*P12))^2/((Q12*(1+'参数'!$B$39*P12))+'参数'!$B$22*(I12)))*(1+'参数'!$B$42*P12)/'参数'!$J$5+((Q12*'参数'!$B$43*(1+'参数'!$B$39*P12))^2/((Q12*'参数'!$B$43*(1+'参数'!$B$39*P12))+'参数'!$B$22*(I12)))/'参数'!$B$44))+(((R12*(1+'参数'!$B$39*P12))^2/((R12*(1+'参数'!$B$39*P12))+'参数'!$B$22*(I12)))*(1+'参数'!$B$42*P12)/'参数'!$J$6+((R12*'参数'!$B$45*(1+'参数'!$B$39*P12))^2/((R12*'参数'!$B$45*(1+'参数'!$B$39*P12))+'参数'!$B$22*(I12)))/'参数'!$B$46)+((S12*(1+'参数'!$B$39*P12))^2/((S12*(1+'参数'!$B$39*P12))+'参数'!$B$22*(I12)))*(1+'参数'!$B$42*P12)/'参数'!$J$7)*(1+'参数'!$B$37*('参数'!$B$38-1))*'参数'!$B$25</x:f>
        <x:v>942.1663994741311</x:v>
      </x:c>
      <x:c r="W12" s="18" t="n">
        <x:f>(('参数'!$K$5*(((Q12*(1+'参数'!$B$39*P12))^2/((Q12*(1+'参数'!$B$39*P12))+'参数'!$B$22*(M12)))*(1+'参数'!$B$42*P12)/'参数'!$J$5+((Q12*'参数'!$B$43*(1+'参数'!$B$39*P12))^2/((Q12*'参数'!$B$43*(1+'参数'!$B$39*P12))+'参数'!$B$22*(M12)))/'参数'!$B$44))+(((R12*(1+'参数'!$B$39*P12))^2/((R12*(1+'参数'!$B$39*P12))+'参数'!$B$22*(M12)))*(1+'参数'!$B$42*P12)/'参数'!$J$6+((R12*'参数'!$B$45*(1+'参数'!$B$39*P12))^2/((R12*'参数'!$B$45*(1+'参数'!$B$39*P12))+'参数'!$B$22*(M12)))/'参数'!$B$46)+((S12*(1+'参数'!$B$39*P12))^2/((S12*(1+'参数'!$B$39*P12))+'参数'!$B$22*(M12)))*(1+'参数'!$B$42*P12)/'参数'!$J$7)*(1+'参数'!$B$37*('参数'!$B$38-1))</x:f>
        <x:v>721.7676411518348</x:v>
      </x:c>
      <x:c r="X12" s="25" t="n">
        <x:f>('参数'!$B$26+'参数'!$B$27*(D12-1)/99)*'参数'!$K$26*AD12</x:f>
        <x:v>12.303030303030303</x:v>
      </x:c>
      <x:c r="Y12" s="25" t="n">
        <x:f>('参数'!$B$28+'参数'!$B$29*(D12-1)/99)*'参数'!$K$26*AD12*IF(AE12=1,'参数'!$B$51,1)</x:f>
        <x:v>31.01010101010101</x:v>
      </x:c>
      <x:c r="Z12" s="21" t="n">
        <x:f>MIN('参数'!$B$36,U12/(U12+'参数'!$B$35))</x:f>
        <x:v>0.023650197666040533</x:v>
      </x:c>
      <x:c r="AA12" s="18" t="n">
        <x:f>T12*'参数'!$B$30/('参数'!$B$32*'参数'!$B$33)/(1-Z12)*AC12</x:f>
        <x:v>52.84346333948662</x:v>
      </x:c>
      <x:c r="AB12" s="18" t="n">
        <x:f>T12*'参数'!$B$31/'参数'!$B$34/(1-Z12)*AC12</x:f>
        <x:v>105.68692667897322</x:v>
      </x:c>
      <x:c r="AC12" s="15" t="n">
        <x:f>'参数'!$L$26*1</x:f>
        <x:v>1</x:v>
      </x:c>
      <x:c r="AD12" s="15" t="n">
        <x:f>1</x:f>
        <x:v>1</x:v>
      </x:c>
      <x:c r="AE12" s="18" t="n">
        <x:f>IF(MOD(B12,12)=0,1,0)</x:f>
        <x:v>0</x:v>
      </x:c>
    </x:row>
    <x:row r="13" ht="22" customHeight="1">
      <x:c r="A13" s="19" t="str">
        <x:v>简单</x:v>
      </x:c>
      <x:c r="B13" s="19" t="n">
        <x:v>8</x:v>
      </x:c>
      <x:c r="C13" s="19" t="n">
        <x:f>ROUNDUP(B13/12,0)</x:f>
        <x:v>1</x:v>
      </x:c>
      <x:c r="D13" s="19" t="n">
        <x:f>ROUND(MAX('参数'!$G$26,E13)+(IF(C13&lt;10,INDEX('参数'!$G$34:$P$34,1,MIN(10,C13+1)),'参数'!$H$26)-MAX('参数'!$G$26,E13))*MOD(B13-1,12)/11,0)</x:f>
        <x:v>7</x:v>
      </x:c>
      <x:c r="E13" s="19" t="n">
        <x:f>INDEX('参数'!$G$34:$P$34,1,C13)</x:f>
        <x:v>1</x:v>
      </x:c>
      <x:c r="F13" s="20" t="n">
        <x:f>'参数'!$I$26</x:f>
        <x:v>1.05</x:v>
      </x:c>
      <x:c r="G13" s="19" t="n">
        <x:f>ROUND((ROUND(V13*X13/'参数'!$B$56,0))*0.6,0)</x:f>
        <x:v>1642</x:v>
      </x:c>
      <x:c r="H13" s="19" t="n">
        <x:f>ROUND((ROUND((AA13+SQRT(AA13^2+4*AA13*'参数'!$B$22*U13))/2,0))*0.6,0)</x:f>
        <x:v>71</x:v>
      </x:c>
      <x:c r="I13" s="19" t="n">
        <x:f>ROUND(Q13*'参数'!$B$23/'参数'!$B$22,0)</x:f>
        <x:v>38</x:v>
      </x:c>
      <x:c r="J13" s="19" t="n">
        <x:f>ROUND(G13*'参数'!$B$50,0)</x:f>
        <x:v>4926</x:v>
      </x:c>
      <x:c r="K13" s="19" t="n">
        <x:f>ROUND((ROUND(W13*Y13,0))*0.6,0)</x:f>
        <x:v>14585</x:v>
      </x:c>
      <x:c r="L13" s="19" t="n">
        <x:f>ROUND((ROUND((AB13+SQRT(AB13^2+4*AB13*'参数'!$B$22*U13))/2,0))*0.6,0)</x:f>
        <x:v>113</x:v>
      </x:c>
      <x:c r="M13" s="19" t="n">
        <x:f>ROUND(I13*'参数'!$B$24,0)</x:f>
        <x:v>48</x:v>
      </x:c>
      <x:c r="N13" s="19" t="n">
        <x:f>'参数'!$B$9*'参数'!$B$10^(D13-1)</x:f>
        <x:v>716.4313779174</x:v>
      </x:c>
      <x:c r="O13" s="19" t="n">
        <x:f>'参数'!$B$18*'参数'!$B$19^(MIN(E13,MAX(1,5*INT(D13/5)))-1)*F13*'参数'!$J$26*P13</x:f>
        <x:v>11.936842105263159</x:v>
      </x:c>
      <x:c r="P13" s="22" t="n">
        <x:f>MIN(1,(D13-1)/19)</x:f>
        <x:v>0.3157894736842105</x:v>
      </x:c>
      <x:c r="Q13" s="19" t="n">
        <x:f>INDEX('角色成长'!$F$6:$F$105,D13)+O13*'参数'!$K$21</x:f>
        <x:v>188.02</x:v>
      </x:c>
      <x:c r="R13" s="19" t="n">
        <x:f>INDEX('角色成长'!$I$6:$I$105,D13)+O13*'参数'!$K$21</x:f>
        <x:v>145.02</x:v>
      </x:c>
      <x:c r="S13" s="19" t="n">
        <x:f>INDEX('角色成长'!$L$6:$L$105,D13)+O13*'参数'!$K$21</x:f>
        <x:v>120.02000000000001</x:v>
      </x:c>
      <x:c r="T13" s="19" t="n">
        <x:f>(INDEX('角色成长'!$J$6:$J$105,D13)+O13*'参数'!$L$21)*(1+'参数'!$B$40*P13)</x:f>
        <x:v>2186.9451966759007</x:v>
      </x:c>
      <x:c r="U13" s="19" t="n">
        <x:f>(INDEX('角色成长'!$K$6:$K$105,D13)+O13*'参数'!$M$21)*(1+'参数'!$B$41*P13)</x:f>
        <x:v>104.07545706371192</x:v>
      </x:c>
      <x:c r="V13" s="19" t="n">
        <x:f>(('参数'!$K$5*(((Q13*(1+'参数'!$B$39*P13))^2/((Q13*(1+'参数'!$B$39*P13))+'参数'!$B$22*(I13)))*(1+'参数'!$B$42*P13)/'参数'!$J$5+((Q13*'参数'!$B$43*(1+'参数'!$B$39*P13))^2/((Q13*'参数'!$B$43*(1+'参数'!$B$39*P13))+'参数'!$B$22*(I13)))/'参数'!$B$44))+(((R13*(1+'参数'!$B$39*P13))^2/((R13*(1+'参数'!$B$39*P13))+'参数'!$B$22*(I13)))*(1+'参数'!$B$42*P13)/'参数'!$J$6+((R13*'参数'!$B$45*(1+'参数'!$B$39*P13))^2/((R13*'参数'!$B$45*(1+'参数'!$B$39*P13))+'参数'!$B$22*(I13)))/'参数'!$B$46)+((S13*(1+'参数'!$B$39*P13))^2/((S13*(1+'参数'!$B$39*P13))+'参数'!$B$22*(I13)))*(1+'参数'!$B$42*P13)/'参数'!$J$7)*(1+'参数'!$B$37*('参数'!$B$38-1))*'参数'!$B$25</x:f>
        <x:v>1017.953835296993</x:v>
      </x:c>
      <x:c r="W13" s="19" t="n">
        <x:f>(('参数'!$K$5*(((Q13*(1+'参数'!$B$39*P13))^2/((Q13*(1+'参数'!$B$39*P13))+'参数'!$B$22*(M13)))*(1+'参数'!$B$42*P13)/'参数'!$J$5+((Q13*'参数'!$B$43*(1+'参数'!$B$39*P13))^2/((Q13*'参数'!$B$43*(1+'参数'!$B$39*P13))+'参数'!$B$22*(M13)))/'参数'!$B$44))+(((R13*(1+'参数'!$B$39*P13))^2/((R13*(1+'参数'!$B$39*P13))+'参数'!$B$22*(M13)))*(1+'参数'!$B$42*P13)/'参数'!$J$6+((R13*'参数'!$B$45*(1+'参数'!$B$39*P13))^2/((R13*'参数'!$B$45*(1+'参数'!$B$39*P13))+'参数'!$B$22*(M13)))/'参数'!$B$46)+((S13*(1+'参数'!$B$39*P13))^2/((S13*(1+'参数'!$B$39*P13))+'参数'!$B$22*(M13)))*(1+'参数'!$B$42*P13)/'参数'!$J$7)*(1+'参数'!$B$37*('参数'!$B$38-1))</x:f>
        <x:v>778.8446326878876</x:v>
      </x:c>
      <x:c r="X13" s="26" t="n">
        <x:f>('参数'!$B$26+'参数'!$B$27*(D13-1)/99)*'参数'!$K$26*AD13</x:f>
        <x:v>12.363636363636363</x:v>
      </x:c>
      <x:c r="Y13" s="26" t="n">
        <x:f>('参数'!$B$28+'参数'!$B$29*(D13-1)/99)*'参数'!$K$26*AD13*IF(AE13=1,'参数'!$B$51,1)</x:f>
        <x:v>31.21212121212121</x:v>
      </x:c>
      <x:c r="Z13" s="22" t="n">
        <x:f>MIN('参数'!$B$36,U13/(U13+'参数'!$B$35))</x:f>
        <x:v>0.025359050571203044</x:v>
      </x:c>
      <x:c r="AA13" s="19" t="n">
        <x:f>T13*'参数'!$B$30/('参数'!$B$32*'参数'!$B$33)/(1-Z13)*AC13</x:f>
        <x:v>56.09617567263085</x:v>
      </x:c>
      <x:c r="AB13" s="19" t="n">
        <x:f>T13*'参数'!$B$31/'参数'!$B$34/(1-Z13)*AC13</x:f>
        <x:v>112.1923513452617</x:v>
      </x:c>
      <x:c r="AC13" s="20" t="n">
        <x:f>'参数'!$L$26*1</x:f>
        <x:v>1</x:v>
      </x:c>
      <x:c r="AD13" s="20" t="n">
        <x:f>1</x:f>
        <x:v>1</x:v>
      </x:c>
      <x:c r="AE13" s="19" t="n">
        <x:f>IF(MOD(B13,12)=0,1,0)</x:f>
        <x:v>0</x:v>
      </x:c>
    </x:row>
    <x:row r="14" ht="22" customHeight="1">
      <x:c r="A14" s="18" t="str">
        <x:v>简单</x:v>
      </x:c>
      <x:c r="B14" s="18" t="n">
        <x:v>9</x:v>
      </x:c>
      <x:c r="C14" s="18" t="n">
        <x:f>ROUNDUP(B14/12,0)</x:f>
        <x:v>1</x:v>
      </x:c>
      <x:c r="D14" s="18" t="n">
        <x:f>ROUND(MAX('参数'!$G$26,E14)+(IF(C14&lt;10,INDEX('参数'!$G$34:$P$34,1,MIN(10,C14+1)),'参数'!$H$26)-MAX('参数'!$G$26,E14))*MOD(B14-1,12)/11,0)</x:f>
        <x:v>8</x:v>
      </x:c>
      <x:c r="E14" s="18" t="n">
        <x:f>INDEX('参数'!$G$34:$P$34,1,C14)</x:f>
        <x:v>1</x:v>
      </x:c>
      <x:c r="F14" s="15" t="n">
        <x:f>'参数'!$I$26</x:f>
        <x:v>1.05</x:v>
      </x:c>
      <x:c r="G14" s="18" t="n">
        <x:f>ROUND((ROUND(V14*X14/'参数'!$B$56,0))*0.6,0)</x:f>
        <x:v>1775</x:v>
      </x:c>
      <x:c r="H14" s="18" t="n">
        <x:f>ROUND((ROUND((AA14+SQRT(AA14^2+4*AA14*'参数'!$B$22*U14))/2,0))*0.6,0)</x:f>
        <x:v>75</x:v>
      </x:c>
      <x:c r="I14" s="18" t="n">
        <x:f>ROUND(Q14*'参数'!$B$23/'参数'!$B$22,0)</x:f>
        <x:v>40</x:v>
      </x:c>
      <x:c r="J14" s="18" t="n">
        <x:f>ROUND(G14*'参数'!$B$50,0)</x:f>
        <x:v>5325</x:v>
      </x:c>
      <x:c r="K14" s="18" t="n">
        <x:f>ROUND((ROUND(W14*Y14,0))*0.6,0)</x:f>
        <x:v>15839</x:v>
      </x:c>
      <x:c r="L14" s="18" t="n">
        <x:f>ROUND((ROUND((AB14+SQRT(AB14^2+4*AB14*'参数'!$B$22*U14))/2,0))*0.6,0)</x:f>
        <x:v>121</x:v>
      </x:c>
      <x:c r="M14" s="18" t="n">
        <x:f>ROUND(I14*'参数'!$B$24,0)</x:f>
        <x:v>50</x:v>
      </x:c>
      <x:c r="N14" s="18" t="n">
        <x:f>'参数'!$B$9*'参数'!$B$10^(D14-1)</x:f>
        <x:v>737.9243192549221</x:v>
      </x:c>
      <x:c r="O14" s="18" t="n">
        <x:f>'参数'!$B$18*'参数'!$B$19^(MIN(E14,MAX(1,5*INT(D14/5)))-1)*F14*'参数'!$J$26*P14</x:f>
        <x:v>13.926315789473685</x:v>
      </x:c>
      <x:c r="P14" s="21" t="n">
        <x:f>MIN(1,(D14-1)/19)</x:f>
        <x:v>0.3684210526315789</x:v>
      </x:c>
      <x:c r="Q14" s="18" t="n">
        <x:f>INDEX('角色成长'!$F$6:$F$105,D14)+O14*'参数'!$K$21</x:f>
        <x:v>198.69</x:v>
      </x:c>
      <x:c r="R14" s="18" t="n">
        <x:f>INDEX('角色成长'!$I$6:$I$105,D14)+O14*'参数'!$K$21</x:f>
        <x:v>154.69</x:v>
      </x:c>
      <x:c r="S14" s="18" t="n">
        <x:f>INDEX('角色成长'!$L$6:$L$105,D14)+O14*'参数'!$K$21</x:f>
        <x:v>128.69</x:v>
      </x:c>
      <x:c r="T14" s="18" t="n">
        <x:f>(INDEX('角色成长'!$J$6:$J$105,D14)+O14*'参数'!$L$21)*(1+'参数'!$B$40*P14)</x:f>
        <x:v>2312.3281551246537</x:v>
      </x:c>
      <x:c r="U14" s="18" t="n">
        <x:f>(INDEX('角色成长'!$K$6:$K$105,D14)+O14*'参数'!$M$21)*(1+'参数'!$B$41*P14)</x:f>
        <x:v>111.32682825484764</x:v>
      </x:c>
      <x:c r="V14" s="18" t="n">
        <x:f>(('参数'!$K$5*(((Q14*(1+'参数'!$B$39*P14))^2/((Q14*(1+'参数'!$B$39*P14))+'参数'!$B$22*(I14)))*(1+'参数'!$B$42*P14)/'参数'!$J$5+((Q14*'参数'!$B$43*(1+'参数'!$B$39*P14))^2/((Q14*'参数'!$B$43*(1+'参数'!$B$39*P14))+'参数'!$B$22*(I14)))/'参数'!$B$44))+(((R14*(1+'参数'!$B$39*P14))^2/((R14*(1+'参数'!$B$39*P14))+'参数'!$B$22*(I14)))*(1+'参数'!$B$42*P14)/'参数'!$J$6+((R14*'参数'!$B$45*(1+'参数'!$B$39*P14))^2/((R14*'参数'!$B$45*(1+'参数'!$B$39*P14))+'参数'!$B$22*(I14)))/'参数'!$B$46)+((S14*(1+'参数'!$B$39*P14))^2/((S14*(1+'参数'!$B$39*P14))+'参数'!$B$22*(I14)))*(1+'参数'!$B$42*P14)/'参数'!$J$7)*(1+'参数'!$B$37*('参数'!$B$38-1))*'参数'!$B$25</x:f>
        <x:v>1095.3843722692648</x:v>
      </x:c>
      <x:c r="W14" s="18" t="n">
        <x:f>(('参数'!$K$5*(((Q14*(1+'参数'!$B$39*P14))^2/((Q14*(1+'参数'!$B$39*P14))+'参数'!$B$22*(M14)))*(1+'参数'!$B$42*P14)/'参数'!$J$5+((Q14*'参数'!$B$43*(1+'参数'!$B$39*P14))^2/((Q14*'参数'!$B$43*(1+'参数'!$B$39*P14))+'参数'!$B$22*(M14)))/'参数'!$B$44))+(((R14*(1+'参数'!$B$39*P14))^2/((R14*(1+'参数'!$B$39*P14))+'参数'!$B$22*(M14)))*(1+'参数'!$B$42*P14)/'参数'!$J$6+((R14*'参数'!$B$45*(1+'参数'!$B$39*P14))^2/((R14*'参数'!$B$45*(1+'参数'!$B$39*P14))+'参数'!$B$22*(M14)))/'参数'!$B$46)+((S14*(1+'参数'!$B$39*P14))^2/((S14*(1+'参数'!$B$39*P14))+'参数'!$B$22*(M14)))*(1+'参数'!$B$42*P14)/'参数'!$J$7)*(1+'参数'!$B$37*('参数'!$B$38-1))</x:f>
        <x:v>840.3111358998182</x:v>
      </x:c>
      <x:c r="X14" s="25" t="n">
        <x:f>('参数'!$B$26+'参数'!$B$27*(D14-1)/99)*'参数'!$K$26*AD14</x:f>
        <x:v>12.424242424242424</x:v>
      </x:c>
      <x:c r="Y14" s="25" t="n">
        <x:f>('参数'!$B$28+'参数'!$B$29*(D14-1)/99)*'参数'!$K$26*AD14*IF(AE14=1,'参数'!$B$51,1)</x:f>
        <x:v>31.414141414141415</x:v>
      </x:c>
      <x:c r="Z14" s="21" t="n">
        <x:f>MIN('参数'!$B$36,U14/(U14+'参数'!$B$35))</x:f>
        <x:v>0.02707807793089099</x:v>
      </x:c>
      <x:c r="AA14" s="18" t="n">
        <x:f>T14*'参数'!$B$30/('参数'!$B$32*'参数'!$B$33)/(1-Z14)*AC14</x:f>
        <x:v>59.417104874331415</x:v>
      </x:c>
      <x:c r="AB14" s="18" t="n">
        <x:f>T14*'参数'!$B$31/'参数'!$B$34/(1-Z14)*AC14</x:f>
        <x:v>118.83420974866283</x:v>
      </x:c>
      <x:c r="AC14" s="15" t="n">
        <x:f>'参数'!$L$26*1</x:f>
        <x:v>1</x:v>
      </x:c>
      <x:c r="AD14" s="15" t="n">
        <x:f>1</x:f>
        <x:v>1</x:v>
      </x:c>
      <x:c r="AE14" s="18" t="n">
        <x:f>IF(MOD(B14,12)=0,1,0)</x:f>
        <x:v>0</x:v>
      </x:c>
    </x:row>
    <x:row r="15" ht="22" customHeight="1">
      <x:c r="A15" s="19" t="str">
        <x:v>简单</x:v>
      </x:c>
      <x:c r="B15" s="19" t="n">
        <x:v>10</x:v>
      </x:c>
      <x:c r="C15" s="19" t="n">
        <x:f>ROUNDUP(B15/12,0)</x:f>
        <x:v>1</x:v>
      </x:c>
      <x:c r="D15" s="19" t="n">
        <x:f>ROUND(MAX('参数'!$G$26,E15)+(IF(C15&lt;10,INDEX('参数'!$G$34:$P$34,1,MIN(10,C15+1)),'参数'!$H$26)-MAX('参数'!$G$26,E15))*MOD(B15-1,12)/11,0)</x:f>
        <x:v>8</x:v>
      </x:c>
      <x:c r="E15" s="19" t="n">
        <x:f>INDEX('参数'!$G$34:$P$34,1,C15)</x:f>
        <x:v>1</x:v>
      </x:c>
      <x:c r="F15" s="20" t="n">
        <x:f>'参数'!$I$26</x:f>
        <x:v>1.05</x:v>
      </x:c>
      <x:c r="G15" s="19" t="n">
        <x:f>ROUND((ROUND(V15*X15/'参数'!$B$56,0))*0.8,0)</x:f>
        <x:v>2367</x:v>
      </x:c>
      <x:c r="H15" s="19" t="n">
        <x:f>ROUND((ROUND((AA15+SQRT(AA15^2+4*AA15*'参数'!$B$22*U15))/2,0))*0.8,0)</x:f>
        <x:v>100</x:v>
      </x:c>
      <x:c r="I15" s="19" t="n">
        <x:f>ROUND(Q15*'参数'!$B$23/'参数'!$B$22,0)</x:f>
        <x:v>40</x:v>
      </x:c>
      <x:c r="J15" s="19" t="n">
        <x:f>ROUND(G15*'参数'!$B$50,0)</x:f>
        <x:v>7101</x:v>
      </x:c>
      <x:c r="K15" s="19" t="n">
        <x:f>ROUND((ROUND(W15*Y15,0))*0.8,0)</x:f>
        <x:v>21118</x:v>
      </x:c>
      <x:c r="L15" s="19" t="n">
        <x:f>ROUND((ROUND((AB15+SQRT(AB15^2+4*AB15*'参数'!$B$22*U15))/2,0))*0.8,0)</x:f>
        <x:v>161</x:v>
      </x:c>
      <x:c r="M15" s="19" t="n">
        <x:f>ROUND(I15*'参数'!$B$24,0)</x:f>
        <x:v>50</x:v>
      </x:c>
      <x:c r="N15" s="19" t="n">
        <x:f>'参数'!$B$9*'参数'!$B$10^(D15-1)</x:f>
        <x:v>737.9243192549221</x:v>
      </x:c>
      <x:c r="O15" s="19" t="n">
        <x:f>'参数'!$B$18*'参数'!$B$19^(MIN(E15,MAX(1,5*INT(D15/5)))-1)*F15*'参数'!$J$26*P15</x:f>
        <x:v>13.926315789473685</x:v>
      </x:c>
      <x:c r="P15" s="22" t="n">
        <x:f>MIN(1,(D15-1)/19)</x:f>
        <x:v>0.3684210526315789</x:v>
      </x:c>
      <x:c r="Q15" s="19" t="n">
        <x:f>INDEX('角色成长'!$F$6:$F$105,D15)+O15*'参数'!$K$21</x:f>
        <x:v>198.69</x:v>
      </x:c>
      <x:c r="R15" s="19" t="n">
        <x:f>INDEX('角色成长'!$I$6:$I$105,D15)+O15*'参数'!$K$21</x:f>
        <x:v>154.69</x:v>
      </x:c>
      <x:c r="S15" s="19" t="n">
        <x:f>INDEX('角色成长'!$L$6:$L$105,D15)+O15*'参数'!$K$21</x:f>
        <x:v>128.69</x:v>
      </x:c>
      <x:c r="T15" s="19" t="n">
        <x:f>(INDEX('角色成长'!$J$6:$J$105,D15)+O15*'参数'!$L$21)*(1+'参数'!$B$40*P15)</x:f>
        <x:v>2312.3281551246537</x:v>
      </x:c>
      <x:c r="U15" s="19" t="n">
        <x:f>(INDEX('角色成长'!$K$6:$K$105,D15)+O15*'参数'!$M$21)*(1+'参数'!$B$41*P15)</x:f>
        <x:v>111.32682825484764</x:v>
      </x:c>
      <x:c r="V15" s="19" t="n">
        <x:f>(('参数'!$K$5*(((Q15*(1+'参数'!$B$39*P15))^2/((Q15*(1+'参数'!$B$39*P15))+'参数'!$B$22*(I15)))*(1+'参数'!$B$42*P15)/'参数'!$J$5+((Q15*'参数'!$B$43*(1+'参数'!$B$39*P15))^2/((Q15*'参数'!$B$43*(1+'参数'!$B$39*P15))+'参数'!$B$22*(I15)))/'参数'!$B$44))+(((R15*(1+'参数'!$B$39*P15))^2/((R15*(1+'参数'!$B$39*P15))+'参数'!$B$22*(I15)))*(1+'参数'!$B$42*P15)/'参数'!$J$6+((R15*'参数'!$B$45*(1+'参数'!$B$39*P15))^2/((R15*'参数'!$B$45*(1+'参数'!$B$39*P15))+'参数'!$B$22*(I15)))/'参数'!$B$46)+((S15*(1+'参数'!$B$39*P15))^2/((S15*(1+'参数'!$B$39*P15))+'参数'!$B$22*(I15)))*(1+'参数'!$B$42*P15)/'参数'!$J$7)*(1+'参数'!$B$37*('参数'!$B$38-1))*'参数'!$B$25</x:f>
        <x:v>1095.3843722692648</x:v>
      </x:c>
      <x:c r="W15" s="19" t="n">
        <x:f>(('参数'!$K$5*(((Q15*(1+'参数'!$B$39*P15))^2/((Q15*(1+'参数'!$B$39*P15))+'参数'!$B$22*(M15)))*(1+'参数'!$B$42*P15)/'参数'!$J$5+((Q15*'参数'!$B$43*(1+'参数'!$B$39*P15))^2/((Q15*'参数'!$B$43*(1+'参数'!$B$39*P15))+'参数'!$B$22*(M15)))/'参数'!$B$44))+(((R15*(1+'参数'!$B$39*P15))^2/((R15*(1+'参数'!$B$39*P15))+'参数'!$B$22*(M15)))*(1+'参数'!$B$42*P15)/'参数'!$J$6+((R15*'参数'!$B$45*(1+'参数'!$B$39*P15))^2/((R15*'参数'!$B$45*(1+'参数'!$B$39*P15))+'参数'!$B$22*(M15)))/'参数'!$B$46)+((S15*(1+'参数'!$B$39*P15))^2/((S15*(1+'参数'!$B$39*P15))+'参数'!$B$22*(M15)))*(1+'参数'!$B$42*P15)/'参数'!$J$7)*(1+'参数'!$B$37*('参数'!$B$38-1))</x:f>
        <x:v>840.3111358998182</x:v>
      </x:c>
      <x:c r="X15" s="26" t="n">
        <x:f>('参数'!$B$26+'参数'!$B$27*(D15-1)/99)*'参数'!$K$26*AD15</x:f>
        <x:v>12.424242424242424</x:v>
      </x:c>
      <x:c r="Y15" s="26" t="n">
        <x:f>('参数'!$B$28+'参数'!$B$29*(D15-1)/99)*'参数'!$K$26*AD15*IF(AE15=1,'参数'!$B$51,1)</x:f>
        <x:v>31.414141414141415</x:v>
      </x:c>
      <x:c r="Z15" s="22" t="n">
        <x:f>MIN('参数'!$B$36,U15/(U15+'参数'!$B$35))</x:f>
        <x:v>0.02707807793089099</x:v>
      </x:c>
      <x:c r="AA15" s="19" t="n">
        <x:f>T15*'参数'!$B$30/('参数'!$B$32*'参数'!$B$33)/(1-Z15)*AC15</x:f>
        <x:v>59.417104874331415</x:v>
      </x:c>
      <x:c r="AB15" s="19" t="n">
        <x:f>T15*'参数'!$B$31/'参数'!$B$34/(1-Z15)*AC15</x:f>
        <x:v>118.83420974866283</x:v>
      </x:c>
      <x:c r="AC15" s="20" t="n">
        <x:f>'参数'!$L$26*1</x:f>
        <x:v>1</x:v>
      </x:c>
      <x:c r="AD15" s="20" t="n">
        <x:f>1</x:f>
        <x:v>1</x:v>
      </x:c>
      <x:c r="AE15" s="19" t="n">
        <x:f>IF(MOD(B15,12)=0,1,0)</x:f>
        <x:v>0</x:v>
      </x:c>
    </x:row>
    <x:row r="16" ht="22" customHeight="1">
      <x:c r="A16" s="18" t="str">
        <x:v>简单</x:v>
      </x:c>
      <x:c r="B16" s="18" t="n">
        <x:v>11</x:v>
      </x:c>
      <x:c r="C16" s="18" t="n">
        <x:f>ROUNDUP(B16/12,0)</x:f>
        <x:v>1</x:v>
      </x:c>
      <x:c r="D16" s="18" t="n">
        <x:f>ROUND(MAX('参数'!$G$26,E16)+(IF(C16&lt;10,INDEX('参数'!$G$34:$P$34,1,MIN(10,C16+1)),'参数'!$H$26)-MAX('参数'!$G$26,E16))*MOD(B16-1,12)/11,0)</x:f>
        <x:v>9</x:v>
      </x:c>
      <x:c r="E16" s="18" t="n">
        <x:f>INDEX('参数'!$G$34:$P$34,1,C16)</x:f>
        <x:v>1</x:v>
      </x:c>
      <x:c r="F16" s="15" t="n">
        <x:f>'参数'!$I$26</x:f>
        <x:v>1.05</x:v>
      </x:c>
      <x:c r="G16" s="18" t="n">
        <x:f>ROUND((ROUND(V16*X16/'参数'!$B$56,0))*0.8,0)</x:f>
        <x:v>2562</x:v>
      </x:c>
      <x:c r="H16" s="18" t="n">
        <x:f>ROUND((ROUND((AA16+SQRT(AA16^2+4*AA16*'参数'!$B$22*U16))/2,0))*0.8,0)</x:f>
        <x:v>106</x:v>
      </x:c>
      <x:c r="I16" s="18" t="n">
        <x:f>ROUND(Q16*'参数'!$B$23/'参数'!$B$22,0)</x:f>
        <x:v>42</x:v>
      </x:c>
      <x:c r="J16" s="18" t="n">
        <x:f>ROUND(G16*'参数'!$B$50,0)</x:f>
        <x:v>7686</x:v>
      </x:c>
      <x:c r="K16" s="18" t="n">
        <x:f>ROUND((ROUND(W16*Y16,0))*0.8,0)</x:f>
        <x:v>22860</x:v>
      </x:c>
      <x:c r="L16" s="18" t="n">
        <x:f>ROUND((ROUND((AB16+SQRT(AB16^2+4*AB16*'参数'!$B$22*U16))/2,0))*0.8,0)</x:f>
        <x:v>170</x:v>
      </x:c>
      <x:c r="M16" s="18" t="n">
        <x:f>ROUND(I16*'参数'!$B$24,0)</x:f>
        <x:v>53</x:v>
      </x:c>
      <x:c r="N16" s="18" t="n">
        <x:f>'参数'!$B$9*'参数'!$B$10^(D16-1)</x:f>
        <x:v>760.0620488325699</x:v>
      </x:c>
      <x:c r="O16" s="18" t="n">
        <x:f>'参数'!$B$18*'参数'!$B$19^(MIN(E16,MAX(1,5*INT(D16/5)))-1)*F16*'参数'!$J$26*P16</x:f>
        <x:v>15.915789473684212</x:v>
      </x:c>
      <x:c r="P16" s="21" t="n">
        <x:f>MIN(1,(D16-1)/19)</x:f>
        <x:v>0.42105263157894735</x:v>
      </x:c>
      <x:c r="Q16" s="18" t="n">
        <x:f>INDEX('角色成长'!$F$6:$F$105,D16)+O16*'参数'!$K$21</x:f>
        <x:v>210.36</x:v>
      </x:c>
      <x:c r="R16" s="18" t="n">
        <x:f>INDEX('角色成长'!$I$6:$I$105,D16)+O16*'参数'!$K$21</x:f>
        <x:v>164.36</x:v>
      </x:c>
      <x:c r="S16" s="18" t="n">
        <x:f>INDEX('角色成长'!$L$6:$L$105,D16)+O16*'参数'!$K$21</x:f>
        <x:v>137.36</x:v>
      </x:c>
      <x:c r="T16" s="18" t="n">
        <x:f>(INDEX('角色成长'!$J$6:$J$105,D16)+O16*'参数'!$L$21)*(1+'参数'!$B$40*P16)</x:f>
        <x:v>2443.0391800554016</x:v>
      </x:c>
      <x:c r="U16" s="18" t="n">
        <x:f>(INDEX('角色成长'!$K$6:$K$105,D16)+O16*'参数'!$M$21)*(1+'参数'!$B$41*P16)</x:f>
        <x:v>118.64642659279777</x:v>
      </x:c>
      <x:c r="V16" s="18" t="n">
        <x:f>(('参数'!$K$5*(((Q16*(1+'参数'!$B$39*P16))^2/((Q16*(1+'参数'!$B$39*P16))+'参数'!$B$22*(I16)))*(1+'参数'!$B$42*P16)/'参数'!$J$5+((Q16*'参数'!$B$43*(1+'参数'!$B$39*P16))^2/((Q16*'参数'!$B$43*(1+'参数'!$B$39*P16))+'参数'!$B$22*(I16)))/'参数'!$B$44))+(((R16*(1+'参数'!$B$39*P16))^2/((R16*(1+'参数'!$B$39*P16))+'参数'!$B$22*(I16)))*(1+'参数'!$B$42*P16)/'参数'!$J$6+((R16*'参数'!$B$45*(1+'参数'!$B$39*P16))^2/((R16*'参数'!$B$45*(1+'参数'!$B$39*P16))+'参数'!$B$22*(I16)))/'参数'!$B$46)+((S16*(1+'参数'!$B$39*P16))^2/((S16*(1+'参数'!$B$39*P16))+'参数'!$B$22*(I16)))*(1+'参数'!$B$42*P16)/'参数'!$J$7)*(1+'参数'!$B$37*('参数'!$B$38-1))*'参数'!$B$25</x:f>
        <x:v>1179.748902170706</x:v>
      </x:c>
      <x:c r="W16" s="18" t="n">
        <x:f>(('参数'!$K$5*(((Q16*(1+'参数'!$B$39*P16))^2/((Q16*(1+'参数'!$B$39*P16))+'参数'!$B$22*(M16)))*(1+'参数'!$B$42*P16)/'参数'!$J$5+((Q16*'参数'!$B$43*(1+'参数'!$B$39*P16))^2/((Q16*'参数'!$B$43*(1+'参数'!$B$39*P16))+'参数'!$B$22*(M16)))/'参数'!$B$44))+(((R16*(1+'参数'!$B$39*P16))^2/((R16*(1+'参数'!$B$39*P16))+'参数'!$B$22*(M16)))*(1+'参数'!$B$42*P16)/'参数'!$J$6+((R16*'参数'!$B$45*(1+'参数'!$B$39*P16))^2/((R16*'参数'!$B$45*(1+'参数'!$B$39*P16))+'参数'!$B$22*(M16)))/'参数'!$B$46)+((S16*(1+'参数'!$B$39*P16))^2/((S16*(1+'参数'!$B$39*P16))+'参数'!$B$22*(M16)))*(1+'参数'!$B$42*P16)/'参数'!$J$7)*(1+'参数'!$B$37*('参数'!$B$38-1))</x:f>
        <x:v>903.8216905076243</x:v>
      </x:c>
      <x:c r="X16" s="25" t="n">
        <x:f>('参数'!$B$26+'参数'!$B$27*(D16-1)/99)*'参数'!$K$26*AD16</x:f>
        <x:v>12.484848484848484</x:v>
      </x:c>
      <x:c r="Y16" s="25" t="n">
        <x:f>('参数'!$B$28+'参数'!$B$29*(D16-1)/99)*'参数'!$K$26*AD16*IF(AE16=1,'参数'!$B$51,1)</x:f>
        <x:v>31.616161616161616</x:v>
      </x:c>
      <x:c r="Z16" s="21" t="n">
        <x:f>MIN('参数'!$B$36,U16/(U16+'参数'!$B$35))</x:f>
        <x:v>0.02880714057578123</x:v>
      </x:c>
      <x:c r="AA16" s="18" t="n">
        <x:f>T16*'参数'!$B$30/('参数'!$B$32*'参数'!$B$33)/(1-Z16)*AC16</x:f>
        <x:v>62.88759118100862</x:v>
      </x:c>
      <x:c r="AB16" s="18" t="n">
        <x:f>T16*'参数'!$B$31/'参数'!$B$34/(1-Z16)*AC16</x:f>
        <x:v>125.77518236201723</x:v>
      </x:c>
      <x:c r="AC16" s="15" t="n">
        <x:f>'参数'!$L$26*1</x:f>
        <x:v>1</x:v>
      </x:c>
      <x:c r="AD16" s="15" t="n">
        <x:f>1</x:f>
        <x:v>1</x:v>
      </x:c>
      <x:c r="AE16" s="18" t="n">
        <x:f>IF(MOD(B16,12)=0,1,0)</x:f>
        <x:v>0</x:v>
      </x:c>
    </x:row>
    <x:row r="17" ht="22" customHeight="1">
      <x:c r="A17" s="19" t="str">
        <x:v>简单</x:v>
      </x:c>
      <x:c r="B17" s="19" t="n">
        <x:v>12</x:v>
      </x:c>
      <x:c r="C17" s="19" t="n">
        <x:f>ROUNDUP(B17/12,0)</x:f>
        <x:v>1</x:v>
      </x:c>
      <x:c r="D17" s="19" t="n">
        <x:f>ROUND(MAX('参数'!$G$26,E17)+(IF(C17&lt;10,INDEX('参数'!$G$34:$P$34,1,MIN(10,C17+1)),'参数'!$H$26)-MAX('参数'!$G$26,E17))*MOD(B17-1,12)/11,0)</x:f>
        <x:v>10</x:v>
      </x:c>
      <x:c r="E17" s="19" t="n">
        <x:f>INDEX('参数'!$G$34:$P$34,1,C17)</x:f>
        <x:v>1</x:v>
      </x:c>
      <x:c r="F17" s="20" t="n">
        <x:f>'参数'!$I$26</x:f>
        <x:v>1.05</x:v>
      </x:c>
      <x:c r="G17" s="19" t="n">
        <x:f>ROUND((ROUND(V17*X17/'参数'!$B$56,0))*0.8,0)</x:f>
        <x:v>2751</x:v>
      </x:c>
      <x:c r="H17" s="19" t="n">
        <x:f>ROUND((ROUND((AA17+SQRT(AA17^2+4*AA17*'参数'!$B$22*U17))/2,0))*0.8,0)</x:f>
        <x:v>113</x:v>
      </x:c>
      <x:c r="I17" s="19" t="n">
        <x:f>ROUND(Q17*'参数'!$B$23/'参数'!$B$22,0)</x:f>
        <x:v>44</x:v>
      </x:c>
      <x:c r="J17" s="19" t="n">
        <x:f>ROUND(G17*'参数'!$B$50,0)</x:f>
        <x:v>8253</x:v>
      </x:c>
      <x:c r="K17" s="19" t="n">
        <x:f>ROUND((ROUND(W17*Y17,0))*0.8,0)</x:f>
        <x:v>28346</x:v>
      </x:c>
      <x:c r="L17" s="19" t="n">
        <x:f>ROUND((ROUND((AB17+SQRT(AB17^2+4*AB17*'参数'!$B$22*U17))/2,0))*0.8,0)</x:f>
        <x:v>181</x:v>
      </x:c>
      <x:c r="M17" s="19" t="n">
        <x:f>ROUND(I17*'参数'!$B$24,0)</x:f>
        <x:v>55</x:v>
      </x:c>
      <x:c r="N17" s="19" t="n">
        <x:f>'参数'!$B$9*'参数'!$B$10^(D17-1)</x:f>
        <x:v>782.8639102975469</x:v>
      </x:c>
      <x:c r="O17" s="19" t="n">
        <x:f>'参数'!$B$18*'参数'!$B$19^(MIN(E17,MAX(1,5*INT(D17/5)))-1)*F17*'参数'!$J$26*P17</x:f>
        <x:v>17.905263157894737</x:v>
      </x:c>
      <x:c r="P17" s="22" t="n">
        <x:f>MIN(1,(D17-1)/19)</x:f>
        <x:v>0.47368421052631576</x:v>
      </x:c>
      <x:c r="Q17" s="19" t="n">
        <x:f>INDEX('角色成长'!$F$6:$F$105,D17)+O17*'参数'!$K$21</x:f>
        <x:v>221.03</x:v>
      </x:c>
      <x:c r="R17" s="19" t="n">
        <x:f>INDEX('角色成长'!$I$6:$I$105,D17)+O17*'参数'!$K$21</x:f>
        <x:v>174.03</x:v>
      </x:c>
      <x:c r="S17" s="19" t="n">
        <x:f>INDEX('角色成长'!$L$6:$L$105,D17)+O17*'参数'!$K$21</x:f>
        <x:v>146.03</x:v>
      </x:c>
      <x:c r="T17" s="19" t="n">
        <x:f>(INDEX('角色成长'!$J$6:$J$105,D17)+O17*'参数'!$L$21)*(1+'参数'!$B$40*P17)</x:f>
        <x:v>2575.999324099723</x:v>
      </x:c>
      <x:c r="U17" s="19" t="n">
        <x:f>(INDEX('角色成长'!$K$6:$K$105,D17)+O17*'参数'!$M$21)*(1+'参数'!$B$41*P17)</x:f>
        <x:v>126.03425207756231</x:v>
      </x:c>
      <x:c r="V17" s="19" t="n">
        <x:f>(('参数'!$K$5*(((Q17*(1+'参数'!$B$39*P17))^2/((Q17*(1+'参数'!$B$39*P17))+'参数'!$B$22*(I17)))*(1+'参数'!$B$42*P17)/'参数'!$J$5+((Q17*'参数'!$B$43*(1+'参数'!$B$39*P17))^2/((Q17*'参数'!$B$43*(1+'参数'!$B$39*P17))+'参数'!$B$22*(I17)))/'参数'!$B$44))+(((R17*(1+'参数'!$B$39*P17))^2/((R17*(1+'参数'!$B$39*P17))+'参数'!$B$22*(I17)))*(1+'参数'!$B$42*P17)/'参数'!$J$6+((R17*'参数'!$B$45*(1+'参数'!$B$39*P17))^2/((R17*'参数'!$B$45*(1+'参数'!$B$39*P17))+'参数'!$B$22*(I17)))/'参数'!$B$46)+((S17*(1+'参数'!$B$39*P17))^2/((S17*(1+'参数'!$B$39*P17))+'参数'!$B$22*(I17)))*(1+'参数'!$B$42*P17)/'参数'!$J$7)*(1+'参数'!$B$37*('参数'!$B$38-1))*'参数'!$B$25</x:f>
        <x:v>1261.01615906097</x:v>
      </x:c>
      <x:c r="W17" s="19" t="n">
        <x:f>(('参数'!$K$5*(((Q17*(1+'参数'!$B$39*P17))^2/((Q17*(1+'参数'!$B$39*P17))+'参数'!$B$22*(M17)))*(1+'参数'!$B$42*P17)/'参数'!$J$5+((Q17*'参数'!$B$43*(1+'参数'!$B$39*P17))^2/((Q17*'参数'!$B$43*(1+'参数'!$B$39*P17))+'参数'!$B$22*(M17)))/'参数'!$B$44))+(((R17*(1+'参数'!$B$39*P17))^2/((R17*(1+'参数'!$B$39*P17))+'参数'!$B$22*(M17)))*(1+'参数'!$B$42*P17)/'参数'!$J$6+((R17*'参数'!$B$45*(1+'参数'!$B$39*P17))^2/((R17*'参数'!$B$45*(1+'参数'!$B$39*P17))+'参数'!$B$22*(M17)))/'参数'!$B$46)+((S17*(1+'参数'!$B$39*P17))^2/((S17*(1+'参数'!$B$39*P17))+'参数'!$B$22*(M17)))*(1+'参数'!$B$42*P17)/'参数'!$J$7)*(1+'参数'!$B$37*('参数'!$B$38-1))</x:f>
        <x:v>968.3495203143337</x:v>
      </x:c>
      <x:c r="X17" s="26" t="n">
        <x:f>('参数'!$B$26+'参数'!$B$27*(D17-1)/99)*'参数'!$K$26*AD17</x:f>
        <x:v>12.545454545454545</x:v>
      </x:c>
      <x:c r="Y17" s="26" t="n">
        <x:f>('参数'!$B$28+'参数'!$B$29*(D17-1)/99)*'参数'!$K$26*AD17*IF(AE17=1,'参数'!$B$51,1)</x:f>
        <x:v>36.590909090909086</x:v>
      </x:c>
      <x:c r="Z17" s="22" t="n">
        <x:f>MIN('参数'!$B$36,U17/(U17+'参数'!$B$35))</x:f>
        <x:v>0.030546099323848535</x:v>
      </x:c>
      <x:c r="AA17" s="19" t="n">
        <x:f>T17*'参数'!$B$30/('参数'!$B$32*'参数'!$B$33)/(1-Z17)*AC17</x:f>
        <x:v>66.42913402852567</x:v>
      </x:c>
      <x:c r="AB17" s="19" t="n">
        <x:f>T17*'参数'!$B$31/'参数'!$B$34/(1-Z17)*AC17</x:f>
        <x:v>132.85826805705133</x:v>
      </x:c>
      <x:c r="AC17" s="20" t="n">
        <x:f>'参数'!$L$26*1</x:f>
        <x:v>1</x:v>
      </x:c>
      <x:c r="AD17" s="20" t="n">
        <x:f>1</x:f>
        <x:v>1</x:v>
      </x:c>
      <x:c r="AE17" s="19" t="n">
        <x:f>IF(MOD(B17,12)=0,1,0)</x:f>
        <x:v>1</x:v>
      </x:c>
    </x:row>
    <x:row r="18" ht="22" customHeight="1">
      <x:c r="A18" s="18" t="str">
        <x:v>简单</x:v>
      </x:c>
      <x:c r="B18" s="18" t="n">
        <x:v>13</x:v>
      </x:c>
      <x:c r="C18" s="18" t="n">
        <x:f>ROUNDUP(B18/12,0)</x:f>
        <x:v>2</x:v>
      </x:c>
      <x:c r="D18" s="18" t="n">
        <x:f>ROUND(MAX('参数'!$G$26,E18)+(IF(C18&lt;10,INDEX('参数'!$G$34:$P$34,1,MIN(10,C18+1)),'参数'!$H$26)-MAX('参数'!$G$26,E18))*MOD(B18-1,12)/11,0)</x:f>
        <x:v>10</x:v>
      </x:c>
      <x:c r="E18" s="18" t="n">
        <x:f>INDEX('参数'!$G$34:$P$34,1,C18)</x:f>
        <x:v>10</x:v>
      </x:c>
      <x:c r="F18" s="15" t="n">
        <x:f>'参数'!$I$26</x:f>
        <x:v>1.05</x:v>
      </x:c>
      <x:c r="G18" s="18" t="n">
        <x:f>ROUND((ROUND(V18*X18/'参数'!$B$56,0))*0.8,0)</x:f>
        <x:v>3020</x:v>
      </x:c>
      <x:c r="H18" s="18" t="n">
        <x:f>ROUND((ROUND((AA18+SQRT(AA18^2+4*AA18*'参数'!$B$22*U18))/2,0))*0.8,0)</x:f>
        <x:v>122</x:v>
      </x:c>
      <x:c r="I18" s="18" t="n">
        <x:f>ROUND(Q18*'参数'!$B$23/'参数'!$B$22,0)</x:f>
        <x:v>48</x:v>
      </x:c>
      <x:c r="J18" s="18" t="n">
        <x:f>ROUND(G18*'参数'!$B$50,0)</x:f>
        <x:v>9060</x:v>
      </x:c>
      <x:c r="K18" s="18" t="n">
        <x:f>ROUND((ROUND(W18*Y18,0))*0.8,0)</x:f>
        <x:v>27059</x:v>
      </x:c>
      <x:c r="L18" s="18" t="n">
        <x:f>ROUND((ROUND((AB18+SQRT(AB18^2+4*AB18*'参数'!$B$22*U18))/2,0))*0.8,0)</x:f>
        <x:v>194</x:v>
      </x:c>
      <x:c r="M18" s="18" t="n">
        <x:f>ROUND(I18*'参数'!$B$24,0)</x:f>
        <x:v>60</x:v>
      </x:c>
      <x:c r="N18" s="18" t="n">
        <x:f>'参数'!$B$9*'参数'!$B$10^(D18-1)</x:f>
        <x:v>782.8639102975469</x:v>
      </x:c>
      <x:c r="O18" s="18" t="n">
        <x:f>'参数'!$B$18*'参数'!$B$19^(MIN(E18,MAX(1,5*INT(D18/5)))-1)*F18*'参数'!$J$26*P18</x:f>
        <x:v>24.83073161435691</x:v>
      </x:c>
      <x:c r="P18" s="21" t="n">
        <x:f>MIN(1,(D18-1)/19)</x:f>
        <x:v>0.47368421052631576</x:v>
      </x:c>
      <x:c r="Q18" s="18" t="n">
        <x:f>INDEX('角色成长'!$F$6:$F$105,D18)+O18*'参数'!$K$21</x:f>
        <x:v>240.7675851009172</x:v>
      </x:c>
      <x:c r="R18" s="18" t="n">
        <x:f>INDEX('角色成长'!$I$6:$I$105,D18)+O18*'参数'!$K$21</x:f>
        <x:v>193.7675851009172</x:v>
      </x:c>
      <x:c r="S18" s="18" t="n">
        <x:f>INDEX('角色成长'!$L$6:$L$105,D18)+O18*'参数'!$K$21</x:f>
        <x:v>165.7675851009172</x:v>
      </x:c>
      <x:c r="T18" s="18" t="n">
        <x:f>(INDEX('角色成长'!$J$6:$J$105,D18)+O18*'参数'!$L$21)*(1+'参数'!$B$40*P18)</x:f>
        <x:v>2737.0274006626623</x:v>
      </x:c>
      <x:c r="U18" s="18" t="n">
        <x:f>(INDEX('角色成长'!$K$6:$K$105,D18)+O18*'参数'!$M$21)*(1+'参数'!$B$41*P18)</x:f>
        <x:v>138.72790676157786</x:v>
      </x:c>
      <x:c r="V18" s="18" t="n">
        <x:f>(('参数'!$K$5*(((Q18*(1+'参数'!$B$39*P18))^2/((Q18*(1+'参数'!$B$39*P18))+'参数'!$B$22*(I18)))*(1+'参数'!$B$42*P18)/'参数'!$J$5+((Q18*'参数'!$B$43*(1+'参数'!$B$39*P18))^2/((Q18*'参数'!$B$43*(1+'参数'!$B$39*P18))+'参数'!$B$22*(I18)))/'参数'!$B$44))+(((R18*(1+'参数'!$B$39*P18))^2/((R18*(1+'参数'!$B$39*P18))+'参数'!$B$22*(I18)))*(1+'参数'!$B$42*P18)/'参数'!$J$6+((R18*'参数'!$B$45*(1+'参数'!$B$39*P18))^2/((R18*'参数'!$B$45*(1+'参数'!$B$39*P18))+'参数'!$B$22*(I18)))/'参数'!$B$46)+((S18*(1+'参数'!$B$39*P18))^2/((S18*(1+'参数'!$B$39*P18))+'参数'!$B$22*(I18)))*(1+'参数'!$B$42*P18)/'参数'!$J$7)*(1+'参数'!$B$37*('参数'!$B$38-1))*'参数'!$B$25</x:f>
        <x:v>1384.2113818105622</x:v>
      </x:c>
      <x:c r="W18" s="18" t="n">
        <x:f>(('参数'!$K$5*(((Q18*(1+'参数'!$B$39*P18))^2/((Q18*(1+'参数'!$B$39*P18))+'参数'!$B$22*(M18)))*(1+'参数'!$B$42*P18)/'参数'!$J$5+((Q18*'参数'!$B$43*(1+'参数'!$B$39*P18))^2/((Q18*'参数'!$B$43*(1+'参数'!$B$39*P18))+'参数'!$B$22*(M18)))/'参数'!$B$44))+(((R18*(1+'参数'!$B$39*P18))^2/((R18*(1+'参数'!$B$39*P18))+'参数'!$B$22*(M18)))*(1+'参数'!$B$42*P18)/'参数'!$J$6+((R18*'参数'!$B$45*(1+'参数'!$B$39*P18))^2/((R18*'参数'!$B$45*(1+'参数'!$B$39*P18))+'参数'!$B$22*(M18)))/'参数'!$B$46)+((S18*(1+'参数'!$B$39*P18))^2/((S18*(1+'参数'!$B$39*P18))+'参数'!$B$22*(M18)))*(1+'参数'!$B$42*P18)/'参数'!$J$7)*(1+'参数'!$B$37*('参数'!$B$38-1))</x:f>
        <x:v>1063.0554119318454</x:v>
      </x:c>
      <x:c r="X18" s="25" t="n">
        <x:f>('参数'!$B$26+'参数'!$B$27*(D18-1)/99)*'参数'!$K$26*AD18</x:f>
        <x:v>12.545454545454545</x:v>
      </x:c>
      <x:c r="Y18" s="25" t="n">
        <x:f>('参数'!$B$28+'参数'!$B$29*(D18-1)/99)*'参数'!$K$26*AD18*IF(AE18=1,'参数'!$B$51,1)</x:f>
        <x:v>31.818181818181817</x:v>
      </x:c>
      <x:c r="Z18" s="21" t="n">
        <x:f>MIN('参数'!$B$36,U18/(U18+'参数'!$B$35))</x:f>
        <x:v>0.03351945570882624</x:v>
      </x:c>
      <x:c r="AA18" s="18" t="n">
        <x:f>T18*'参数'!$B$30/('参数'!$B$32*'参数'!$B$33)/(1-Z18)*AC18</x:f>
        <x:v>70.7988230293354</x:v>
      </x:c>
      <x:c r="AB18" s="18" t="n">
        <x:f>T18*'参数'!$B$31/'参数'!$B$34/(1-Z18)*AC18</x:f>
        <x:v>141.5976460586708</x:v>
      </x:c>
      <x:c r="AC18" s="15" t="n">
        <x:f>'参数'!$L$26*1</x:f>
        <x:v>1</x:v>
      </x:c>
      <x:c r="AD18" s="15" t="n">
        <x:f>1</x:f>
        <x:v>1</x:v>
      </x:c>
      <x:c r="AE18" s="18" t="n">
        <x:f>IF(MOD(B18,12)=0,1,0)</x:f>
        <x:v>0</x:v>
      </x:c>
    </x:row>
    <x:row r="19" ht="22" customHeight="1">
      <x:c r="A19" s="19" t="str">
        <x:v>简单</x:v>
      </x:c>
      <x:c r="B19" s="19" t="n">
        <x:v>14</x:v>
      </x:c>
      <x:c r="C19" s="19" t="n">
        <x:f>ROUNDUP(B19/12,0)</x:f>
        <x:v>2</x:v>
      </x:c>
      <x:c r="D19" s="19" t="n">
        <x:f>ROUND(MAX('参数'!$G$26,E19)+(IF(C19&lt;10,INDEX('参数'!$G$34:$P$34,1,MIN(10,C19+1)),'参数'!$H$26)-MAX('参数'!$G$26,E19))*MOD(B19-1,12)/11,0)</x:f>
        <x:v>11</x:v>
      </x:c>
      <x:c r="E19" s="19" t="n">
        <x:f>INDEX('参数'!$G$34:$P$34,1,C19)</x:f>
        <x:v>10</x:v>
      </x:c>
      <x:c r="F19" s="20" t="n">
        <x:f>'参数'!$I$26</x:f>
        <x:v>1.05</x:v>
      </x:c>
      <x:c r="G19" s="19" t="n">
        <x:f>ROUND((ROUND(V19*X19/'参数'!$B$56,0))*0.8,0)</x:f>
        <x:v>3258</x:v>
      </x:c>
      <x:c r="H19" s="19" t="n">
        <x:f>ROUND((ROUND((AA19+SQRT(AA19^2+4*AA19*'参数'!$B$22*U19))/2,0))*0.8,0)</x:f>
        <x:v>129</x:v>
      </x:c>
      <x:c r="I19" s="19" t="n">
        <x:f>ROUND(Q19*'参数'!$B$23/'参数'!$B$22,0)</x:f>
        <x:v>51</x:v>
      </x:c>
      <x:c r="J19" s="19" t="n">
        <x:f>ROUND(G19*'参数'!$B$50,0)</x:f>
        <x:v>9774</x:v>
      </x:c>
      <x:c r="K19" s="19" t="n">
        <x:f>ROUND((ROUND(W19*Y19,0))*0.8,0)</x:f>
        <x:v>29223</x:v>
      </x:c>
      <x:c r="L19" s="19" t="n">
        <x:f>ROUND((ROUND((AB19+SQRT(AB19^2+4*AB19*'参数'!$B$22*U19))/2,0))*0.8,0)</x:f>
        <x:v>206</x:v>
      </x:c>
      <x:c r="M19" s="19" t="n">
        <x:f>ROUND(I19*'参数'!$B$24,0)</x:f>
        <x:v>64</x:v>
      </x:c>
      <x:c r="N19" s="19" t="n">
        <x:f>'参数'!$B$9*'参数'!$B$10^(D19-1)</x:f>
        <x:v>806.3498276064734</x:v>
      </x:c>
      <x:c r="O19" s="19" t="n">
        <x:f>'参数'!$B$18*'参数'!$B$19^(MIN(E19,MAX(1,5*INT(D19/5)))-1)*F19*'参数'!$J$26*P19</x:f>
        <x:v>27.5897017937299</x:v>
      </x:c>
      <x:c r="P19" s="22" t="n">
        <x:f>MIN(1,(D19-1)/19)</x:f>
        <x:v>0.5263157894736842</x:v>
      </x:c>
      <x:c r="Q19" s="19" t="n">
        <x:f>INDEX('角色成长'!$F$6:$F$105,D19)+O19*'参数'!$K$21</x:f>
        <x:v>254.63065011213024</x:v>
      </x:c>
      <x:c r="R19" s="19" t="n">
        <x:f>INDEX('角色成长'!$I$6:$I$105,D19)+O19*'参数'!$K$21</x:f>
        <x:v>205.63065011213024</x:v>
      </x:c>
      <x:c r="S19" s="19" t="n">
        <x:f>INDEX('角色成长'!$L$6:$L$105,D19)+O19*'参数'!$K$21</x:f>
        <x:v>177.63065011213024</x:v>
      </x:c>
      <x:c r="T19" s="19" t="n">
        <x:f>(INDEX('角色成长'!$J$6:$J$105,D19)+O19*'参数'!$L$21)*(1+'参数'!$B$40*P19)</x:f>
        <x:v>2893.1488208640035</x:v>
      </x:c>
      <x:c r="U19" s="19" t="n">
        <x:f>(INDEX('角色成长'!$K$6:$K$105,D19)+O19*'参数'!$M$21)*(1+'参数'!$B$41*P19)</x:f>
        <x:v>147.66524014634456</x:v>
      </x:c>
      <x:c r="V19" s="19" t="n">
        <x:f>(('参数'!$K$5*(((Q19*(1+'参数'!$B$39*P19))^2/((Q19*(1+'参数'!$B$39*P19))+'参数'!$B$22*(I19)))*(1+'参数'!$B$42*P19)/'参数'!$J$5+((Q19*'参数'!$B$43*(1+'参数'!$B$39*P19))^2/((Q19*'参数'!$B$43*(1+'参数'!$B$39*P19))+'参数'!$B$22*(I19)))/'参数'!$B$44))+(((R19*(1+'参数'!$B$39*P19))^2/((R19*(1+'参数'!$B$39*P19))+'参数'!$B$22*(I19)))*(1+'参数'!$B$42*P19)/'参数'!$J$6+((R19*'参数'!$B$45*(1+'参数'!$B$39*P19))^2/((R19*'参数'!$B$45*(1+'参数'!$B$39*P19))+'参数'!$B$22*(I19)))/'参数'!$B$46)+((S19*(1+'参数'!$B$39*P19))^2/((S19*(1+'参数'!$B$39*P19))+'参数'!$B$22*(I19)))*(1+'参数'!$B$42*P19)/'参数'!$J$7)*(1+'参数'!$B$37*('参数'!$B$38-1))*'参数'!$B$25</x:f>
        <x:v>1486.3730702492721</x:v>
      </x:c>
      <x:c r="W19" s="19" t="n">
        <x:f>(('参数'!$K$5*(((Q19*(1+'参数'!$B$39*P19))^2/((Q19*(1+'参数'!$B$39*P19))+'参数'!$B$22*(M19)))*(1+'参数'!$B$42*P19)/'参数'!$J$5+((Q19*'参数'!$B$43*(1+'参数'!$B$39*P19))^2/((Q19*'参数'!$B$43*(1+'参数'!$B$39*P19))+'参数'!$B$22*(M19)))/'参数'!$B$44))+(((R19*(1+'参数'!$B$39*P19))^2/((R19*(1+'参数'!$B$39*P19))+'参数'!$B$22*(M19)))*(1+'参数'!$B$42*P19)/'参数'!$J$6+((R19*'参数'!$B$45*(1+'参数'!$B$39*P19))^2/((R19*'参数'!$B$45*(1+'参数'!$B$39*P19))+'参数'!$B$22*(M19)))/'参数'!$B$46)+((S19*(1+'参数'!$B$39*P19))^2/((S19*(1+'参数'!$B$39*P19))+'参数'!$B$22*(M19)))*(1+'参数'!$B$42*P19)/'参数'!$J$7)*(1+'参数'!$B$37*('参数'!$B$38-1))</x:f>
        <x:v>1140.8198707683032</x:v>
      </x:c>
      <x:c r="X19" s="26" t="n">
        <x:f>('参数'!$B$26+'参数'!$B$27*(D19-1)/99)*'参数'!$K$26*AD19</x:f>
        <x:v>12.606060606060606</x:v>
      </x:c>
      <x:c r="Y19" s="26" t="n">
        <x:f>('参数'!$B$28+'参数'!$B$29*(D19-1)/99)*'参数'!$K$26*AD19*IF(AE19=1,'参数'!$B$51,1)</x:f>
        <x:v>32.02020202020202</x:v>
      </x:c>
      <x:c r="Z19" s="22" t="n">
        <x:f>MIN('参数'!$B$36,U19/(U19+'参数'!$B$35))</x:f>
        <x:v>0.035602015012459014</x:v>
      </x:c>
      <x:c r="AA19" s="19" t="n">
        <x:f>T19*'参数'!$B$30/('参数'!$B$32*'参数'!$B$33)/(1-Z19)*AC19</x:f>
        <x:v>74.99882999292507</x:v>
      </x:c>
      <x:c r="AB19" s="19" t="n">
        <x:f>T19*'参数'!$B$31/'参数'!$B$34/(1-Z19)*AC19</x:f>
        <x:v>149.99765998585013</x:v>
      </x:c>
      <x:c r="AC19" s="20" t="n">
        <x:f>'参数'!$L$26*1</x:f>
        <x:v>1</x:v>
      </x:c>
      <x:c r="AD19" s="20" t="n">
        <x:f>1</x:f>
        <x:v>1</x:v>
      </x:c>
      <x:c r="AE19" s="19" t="n">
        <x:f>IF(MOD(B19,12)=0,1,0)</x:f>
        <x:v>0</x:v>
      </x:c>
    </x:row>
    <x:row r="20" ht="22" customHeight="1">
      <x:c r="A20" s="18" t="str">
        <x:v>简单</x:v>
      </x:c>
      <x:c r="B20" s="18" t="n">
        <x:v>15</x:v>
      </x:c>
      <x:c r="C20" s="18" t="n">
        <x:f>ROUNDUP(B20/12,0)</x:f>
        <x:v>2</x:v>
      </x:c>
      <x:c r="D20" s="18" t="n">
        <x:f>ROUND(MAX('参数'!$G$26,E20)+(IF(C20&lt;10,INDEX('参数'!$G$34:$P$34,1,MIN(10,C20+1)),'参数'!$H$26)-MAX('参数'!$G$26,E20))*MOD(B20-1,12)/11,0)</x:f>
        <x:v>12</x:v>
      </x:c>
      <x:c r="E20" s="18" t="n">
        <x:f>INDEX('参数'!$G$34:$P$34,1,C20)</x:f>
        <x:v>10</x:v>
      </x:c>
      <x:c r="F20" s="15" t="n">
        <x:f>'参数'!$I$26</x:f>
        <x:v>1.05</x:v>
      </x:c>
      <x:c r="G20" s="18" t="n">
        <x:f>ROUND((ROUND(V20*X20/'参数'!$B$56,0))*0.8,0)</x:f>
        <x:v>3503</x:v>
      </x:c>
      <x:c r="H20" s="18" t="n">
        <x:f>ROUND((ROUND((AA20+SQRT(AA20^2+4*AA20*'参数'!$B$22*U20))/2,0))*0.8,0)</x:f>
        <x:v>136</x:v>
      </x:c>
      <x:c r="I20" s="18" t="n">
        <x:f>ROUND(Q20*'参数'!$B$23/'参数'!$B$22,0)</x:f>
        <x:v>54</x:v>
      </x:c>
      <x:c r="J20" s="18" t="n">
        <x:f>ROUND(G20*'参数'!$B$50,0)</x:f>
        <x:v>10509</x:v>
      </x:c>
      <x:c r="K20" s="18" t="n">
        <x:f>ROUND((ROUND(W20*Y20,0))*0.8,0)</x:f>
        <x:v>31444</x:v>
      </x:c>
      <x:c r="L20" s="18" t="n">
        <x:f>ROUND((ROUND((AB20+SQRT(AB20^2+4*AB20*'参数'!$B$22*U20))/2,0))*0.8,0)</x:f>
        <x:v>218</x:v>
      </x:c>
      <x:c r="M20" s="18" t="n">
        <x:f>ROUND(I20*'参数'!$B$24,0)</x:f>
        <x:v>68</x:v>
      </x:c>
      <x:c r="N20" s="18" t="n">
        <x:f>'参数'!$B$9*'参数'!$B$10^(D20-1)</x:f>
        <x:v>830.5403224346676</x:v>
      </x:c>
      <x:c r="O20" s="18" t="n">
        <x:f>'参数'!$B$18*'参数'!$B$19^(MIN(E20,MAX(1,5*INT(D20/5)))-1)*F20*'参数'!$J$26*P20</x:f>
        <x:v>30.348671973102896</x:v>
      </x:c>
      <x:c r="P20" s="21" t="n">
        <x:f>MIN(1,(D20-1)/19)</x:f>
        <x:v>0.5789473684210527</x:v>
      </x:c>
      <x:c r="Q20" s="18" t="n">
        <x:f>INDEX('角色成长'!$F$6:$F$105,D20)+O20*'参数'!$K$21</x:f>
        <x:v>268.49371512334324</x:v>
      </x:c>
      <x:c r="R20" s="18" t="n">
        <x:f>INDEX('角色成长'!$I$6:$I$105,D20)+O20*'参数'!$K$21</x:f>
        <x:v>217.49371512334324</x:v>
      </x:c>
      <x:c r="S20" s="18" t="n">
        <x:f>INDEX('角色成长'!$L$6:$L$105,D20)+O20*'参数'!$K$21</x:f>
        <x:v>188.49371512334324</x:v>
      </x:c>
      <x:c r="T20" s="18" t="n">
        <x:f>(INDEX('角色成长'!$J$6:$J$105,D20)+O20*'参数'!$L$21)*(1+'参数'!$B$40*P20)</x:f>
        <x:v>3053.867600412525</x:v>
      </x:c>
      <x:c r="U20" s="18" t="n">
        <x:f>(INDEX('角色成长'!$K$6:$K$105,D20)+O20*'参数'!$M$21)*(1+'参数'!$B$41*P20)</x:f>
        <x:v>156.68497561336284</x:v>
      </x:c>
      <x:c r="V20" s="18" t="n">
        <x:f>(('参数'!$K$5*(((Q20*(1+'参数'!$B$39*P20))^2/((Q20*(1+'参数'!$B$39*P20))+'参数'!$B$22*(I20)))*(1+'参数'!$B$42*P20)/'参数'!$J$5+((Q20*'参数'!$B$43*(1+'参数'!$B$39*P20))^2/((Q20*'参数'!$B$43*(1+'参数'!$B$39*P20))+'参数'!$B$22*(I20)))/'参数'!$B$44))+(((R20*(1+'参数'!$B$39*P20))^2/((R20*(1+'参数'!$B$39*P20))+'参数'!$B$22*(I20)))*(1+'参数'!$B$42*P20)/'参数'!$J$6+((R20*'参数'!$B$45*(1+'参数'!$B$39*P20))^2/((R20*'参数'!$B$45*(1+'参数'!$B$39*P20))+'参数'!$B$22*(I20)))/'参数'!$B$46)+((S20*(1+'参数'!$B$39*P20))^2/((S20*(1+'参数'!$B$39*P20))+'参数'!$B$22*(I20)))*(1+'参数'!$B$42*P20)/'参数'!$J$7)*(1+'参数'!$B$37*('参数'!$B$38-1))*'参数'!$B$25</x:f>
        <x:v>1590.0896422616713</x:v>
      </x:c>
      <x:c r="W20" s="18" t="n">
        <x:f>(('参数'!$K$5*(((Q20*(1+'参数'!$B$39*P20))^2/((Q20*(1+'参数'!$B$39*P20))+'参数'!$B$22*(M20)))*(1+'参数'!$B$42*P20)/'参数'!$J$5+((Q20*'参数'!$B$43*(1+'参数'!$B$39*P20))^2/((Q20*'参数'!$B$43*(1+'参数'!$B$39*P20))+'参数'!$B$22*(M20)))/'参数'!$B$44))+(((R20*(1+'参数'!$B$39*P20))^2/((R20*(1+'参数'!$B$39*P20))+'参数'!$B$22*(M20)))*(1+'参数'!$B$42*P20)/'参数'!$J$6+((R20*'参数'!$B$45*(1+'参数'!$B$39*P20))^2/((R20*'参数'!$B$45*(1+'参数'!$B$39*P20))+'参数'!$B$22*(M20)))/'参数'!$B$46)+((S20*(1+'参数'!$B$39*P20))^2/((S20*(1+'参数'!$B$39*P20))+'参数'!$B$22*(M20)))*(1+'参数'!$B$42*P20)/'参数'!$J$7)*(1+'参数'!$B$37*('参数'!$B$38-1))</x:f>
        <x:v>1219.7965276862203</x:v>
      </x:c>
      <x:c r="X20" s="25" t="n">
        <x:f>('参数'!$B$26+'参数'!$B$27*(D20-1)/99)*'参数'!$K$26*AD20</x:f>
        <x:v>12.666666666666666</x:v>
      </x:c>
      <x:c r="Y20" s="25" t="n">
        <x:f>('参数'!$B$28+'参数'!$B$29*(D20-1)/99)*'参数'!$K$26*AD20*IF(AE20=1,'参数'!$B$51,1)</x:f>
        <x:v>32.22222222222222</x:v>
      </x:c>
      <x:c r="Z20" s="21" t="n">
        <x:f>MIN('参数'!$B$36,U20/(U20+'参数'!$B$35))</x:f>
        <x:v>0.03769469578103939</x:v>
      </x:c>
      <x:c r="AA20" s="18" t="n">
        <x:f>T20*'参数'!$B$30/('参数'!$B$32*'参数'!$B$33)/(1-Z20)*AC20</x:f>
        <x:v>79.33728482591984</x:v>
      </x:c>
      <x:c r="AB20" s="18" t="n">
        <x:f>T20*'参数'!$B$31/'参数'!$B$34/(1-Z20)*AC20</x:f>
        <x:v>158.67456965183968</x:v>
      </x:c>
      <x:c r="AC20" s="15" t="n">
        <x:f>'参数'!$L$26*1</x:f>
        <x:v>1</x:v>
      </x:c>
      <x:c r="AD20" s="15" t="n">
        <x:f>1</x:f>
        <x:v>1</x:v>
      </x:c>
      <x:c r="AE20" s="18" t="n">
        <x:f>IF(MOD(B20,12)=0,1,0)</x:f>
        <x:v>0</x:v>
      </x:c>
    </x:row>
    <x:row r="21" ht="22" customHeight="1">
      <x:c r="A21" s="19" t="str">
        <x:v>简单</x:v>
      </x:c>
      <x:c r="B21" s="19" t="n">
        <x:v>16</x:v>
      </x:c>
      <x:c r="C21" s="19" t="n">
        <x:f>ROUNDUP(B21/12,0)</x:f>
        <x:v>2</x:v>
      </x:c>
      <x:c r="D21" s="19" t="n">
        <x:f>ROUND(MAX('参数'!$G$26,E21)+(IF(C21&lt;10,INDEX('参数'!$G$34:$P$34,1,MIN(10,C21+1)),'参数'!$H$26)-MAX('参数'!$G$26,E21))*MOD(B21-1,12)/11,0)</x:f>
        <x:v>13</x:v>
      </x:c>
      <x:c r="E21" s="19" t="n">
        <x:f>INDEX('参数'!$G$34:$P$34,1,C21)</x:f>
        <x:v>10</x:v>
      </x:c>
      <x:c r="F21" s="20" t="n">
        <x:f>'参数'!$I$26</x:f>
        <x:v>1.05</x:v>
      </x:c>
      <x:c r="G21" s="19" t="n">
        <x:f>ROUND((ROUND(V21*X21/'参数'!$B$56,0))*0.8,0)</x:f>
        <x:v>3771</x:v>
      </x:c>
      <x:c r="H21" s="19" t="n">
        <x:f>ROUND((ROUND((AA21+SQRT(AA21^2+4*AA21*'参数'!$B$22*U21))/2,0))*0.8,0)</x:f>
        <x:v>144</x:v>
      </x:c>
      <x:c r="I21" s="19" t="n">
        <x:f>ROUND(Q21*'参数'!$B$23/'参数'!$B$22,0)</x:f>
        <x:v>57</x:v>
      </x:c>
      <x:c r="J21" s="19" t="n">
        <x:f>ROUND(G21*'参数'!$B$50,0)</x:f>
        <x:v>11313</x:v>
      </x:c>
      <x:c r="K21" s="19" t="n">
        <x:f>ROUND((ROUND(W21*Y21,0))*0.8,0)</x:f>
        <x:v>33986</x:v>
      </x:c>
      <x:c r="L21" s="19" t="n">
        <x:f>ROUND((ROUND((AB21+SQRT(AB21^2+4*AB21*'参数'!$B$22*U21))/2,0))*0.8,0)</x:f>
        <x:v>230</x:v>
      </x:c>
      <x:c r="M21" s="19" t="n">
        <x:f>ROUND(I21*'参数'!$B$24,0)</x:f>
        <x:v>71</x:v>
      </x:c>
      <x:c r="N21" s="19" t="n">
        <x:f>'参数'!$B$9*'参数'!$B$10^(D21-1)</x:f>
        <x:v>855.4565321077076</x:v>
      </x:c>
      <x:c r="O21" s="19" t="n">
        <x:f>'参数'!$B$18*'参数'!$B$19^(MIN(E21,MAX(1,5*INT(D21/5)))-1)*F21*'参数'!$J$26*P21</x:f>
        <x:v>33.10764215247588</x:v>
      </x:c>
      <x:c r="P21" s="22" t="n">
        <x:f>MIN(1,(D21-1)/19)</x:f>
        <x:v>0.631578947368421</x:v>
      </x:c>
      <x:c r="Q21" s="19" t="n">
        <x:f>INDEX('角色成长'!$F$6:$F$105,D21)+O21*'参数'!$K$21</x:f>
        <x:v>283.3567801345563</x:v>
      </x:c>
      <x:c r="R21" s="19" t="n">
        <x:f>INDEX('角色成长'!$I$6:$I$105,D21)+O21*'参数'!$K$21</x:f>
        <x:v>230.3567801345563</x:v>
      </x:c>
      <x:c r="S21" s="19" t="n">
        <x:f>INDEX('角色成长'!$L$6:$L$105,D21)+O21*'参数'!$K$21</x:f>
        <x:v>200.3567801345563</x:v>
      </x:c>
      <x:c r="T21" s="19" t="n">
        <x:f>(INDEX('角色成长'!$J$6:$J$105,D21)+O21*'参数'!$L$21)*(1+'参数'!$B$40*P21)</x:f>
        <x:v>3219.2311077292784</x:v>
      </x:c>
      <x:c r="U21" s="19" t="n">
        <x:f>(INDEX('角色成长'!$K$6:$K$105,D21)+O21*'参数'!$M$21)*(1+'参数'!$B$41*P21)</x:f>
        <x:v>165.78711316263275</x:v>
      </x:c>
      <x:c r="V21" s="19" t="n">
        <x:f>(('参数'!$K$5*(((Q21*(1+'参数'!$B$39*P21))^2/((Q21*(1+'参数'!$B$39*P21))+'参数'!$B$22*(I21)))*(1+'参数'!$B$42*P21)/'参数'!$J$5+((Q21*'参数'!$B$43*(1+'参数'!$B$39*P21))^2/((Q21*'参数'!$B$43*(1+'参数'!$B$39*P21))+'参数'!$B$22*(I21)))/'参数'!$B$44))+(((R21*(1+'参数'!$B$39*P21))^2/((R21*(1+'参数'!$B$39*P21))+'参数'!$B$22*(I21)))*(1+'参数'!$B$42*P21)/'参数'!$J$6+((R21*'参数'!$B$45*(1+'参数'!$B$39*P21))^2/((R21*'参数'!$B$45*(1+'参数'!$B$39*P21))+'参数'!$B$22*(I21)))/'参数'!$B$46)+((S21*(1+'参数'!$B$39*P21))^2/((S21*(1+'参数'!$B$39*P21))+'参数'!$B$22*(I21)))*(1+'参数'!$B$42*P21)/'参数'!$J$7)*(1+'参数'!$B$37*('参数'!$B$38-1))*'参数'!$B$25</x:f>
        <x:v>1703.7390426427564</x:v>
      </x:c>
      <x:c r="W21" s="19" t="n">
        <x:f>(('参数'!$K$5*(((Q21*(1+'参数'!$B$39*P21))^2/((Q21*(1+'参数'!$B$39*P21))+'参数'!$B$22*(M21)))*(1+'参数'!$B$42*P21)/'参数'!$J$5+((Q21*'参数'!$B$43*(1+'参数'!$B$39*P21))^2/((Q21*'参数'!$B$43*(1+'参数'!$B$39*P21))+'参数'!$B$22*(M21)))/'参数'!$B$44))+(((R21*(1+'参数'!$B$39*P21))^2/((R21*(1+'参数'!$B$39*P21))+'参数'!$B$22*(M21)))*(1+'参数'!$B$42*P21)/'参数'!$J$6+((R21*'参数'!$B$45*(1+'参数'!$B$39*P21))^2/((R21*'参数'!$B$45*(1+'参数'!$B$39*P21))+'参数'!$B$22*(M21)))/'参数'!$B$46)+((S21*(1+'参数'!$B$39*P21))^2/((S21*(1+'参数'!$B$39*P21))+'参数'!$B$22*(M21)))*(1+'参数'!$B$42*P21)/'参数'!$J$7)*(1+'参数'!$B$37*('参数'!$B$38-1))</x:f>
        <x:v>1310.1831233317448</x:v>
      </x:c>
      <x:c r="X21" s="26" t="n">
        <x:f>('参数'!$B$26+'参数'!$B$27*(D21-1)/99)*'参数'!$K$26*AD21</x:f>
        <x:v>12.727272727272727</x:v>
      </x:c>
      <x:c r="Y21" s="26" t="n">
        <x:f>('参数'!$B$28+'参数'!$B$29*(D21-1)/99)*'参数'!$K$26*AD21*IF(AE21=1,'参数'!$B$51,1)</x:f>
        <x:v>32.42424242424242</x:v>
      </x:c>
      <x:c r="Z21" s="22" t="n">
        <x:f>MIN('参数'!$B$36,U21/(U21+'参数'!$B$35))</x:f>
        <x:v>0.03979730808585859</x:v>
      </x:c>
      <x:c r="AA21" s="19" t="n">
        <x:f>T21*'参数'!$B$30/('参数'!$B$32*'参数'!$B$33)/(1-Z21)*AC21</x:f>
        <x:v>83.81644664294309</x:v>
      </x:c>
      <x:c r="AB21" s="19" t="n">
        <x:f>T21*'参数'!$B$31/'参数'!$B$34/(1-Z21)*AC21</x:f>
        <x:v>167.63289328588618</x:v>
      </x:c>
      <x:c r="AC21" s="20" t="n">
        <x:f>'参数'!$L$26*1</x:f>
        <x:v>1</x:v>
      </x:c>
      <x:c r="AD21" s="20" t="n">
        <x:f>1</x:f>
        <x:v>1</x:v>
      </x:c>
      <x:c r="AE21" s="19" t="n">
        <x:f>IF(MOD(B21,12)=0,1,0)</x:f>
        <x:v>0</x:v>
      </x:c>
    </x:row>
    <x:row r="22" ht="22" customHeight="1">
      <x:c r="A22" s="18" t="str">
        <x:v>简单</x:v>
      </x:c>
      <x:c r="B22" s="18" t="n">
        <x:v>17</x:v>
      </x:c>
      <x:c r="C22" s="18" t="n">
        <x:f>ROUNDUP(B22/12,0)</x:f>
        <x:v>2</x:v>
      </x:c>
      <x:c r="D22" s="18" t="n">
        <x:f>ROUND(MAX('参数'!$G$26,E22)+(IF(C22&lt;10,INDEX('参数'!$G$34:$P$34,1,MIN(10,C22+1)),'参数'!$H$26)-MAX('参数'!$G$26,E22))*MOD(B22-1,12)/11,0)</x:f>
        <x:v>14</x:v>
      </x:c>
      <x:c r="E22" s="18" t="n">
        <x:f>INDEX('参数'!$G$34:$P$34,1,C22)</x:f>
        <x:v>10</x:v>
      </x:c>
      <x:c r="F22" s="15" t="n">
        <x:f>'参数'!$I$26</x:f>
        <x:v>1.05</x:v>
      </x:c>
      <x:c r="G22" s="18" t="n">
        <x:f>ROUND((ROUND(V22*X22/'参数'!$B$56,0))*0.8,0)</x:f>
        <x:v>4045</x:v>
      </x:c>
      <x:c r="H22" s="18" t="n">
        <x:f>ROUND((ROUND((AA22+SQRT(AA22^2+4*AA22*'参数'!$B$22*U22))/2,0))*0.8,0)</x:f>
        <x:v>153</x:v>
      </x:c>
      <x:c r="I22" s="18" t="n">
        <x:f>ROUND(Q22*'参数'!$B$23/'参数'!$B$22,0)</x:f>
        <x:v>59</x:v>
      </x:c>
      <x:c r="J22" s="18" t="n">
        <x:f>ROUND(G22*'参数'!$B$50,0)</x:f>
        <x:v>12135</x:v>
      </x:c>
      <x:c r="K22" s="18" t="n">
        <x:f>ROUND((ROUND(W22*Y22,0))*0.8,0)</x:f>
        <x:v>36482</x:v>
      </x:c>
      <x:c r="L22" s="18" t="n">
        <x:f>ROUND((ROUND((AB22+SQRT(AB22^2+4*AB22*'参数'!$B$22*U22))/2,0))*0.8,0)</x:f>
        <x:v>244</x:v>
      </x:c>
      <x:c r="M22" s="18" t="n">
        <x:f>ROUND(I22*'参数'!$B$24,0)</x:f>
        <x:v>74</x:v>
      </x:c>
      <x:c r="N22" s="18" t="n">
        <x:f>'参数'!$B$9*'参数'!$B$10^(D22-1)</x:f>
        <x:v>881.1202280709389</x:v>
      </x:c>
      <x:c r="O22" s="18" t="n">
        <x:f>'参数'!$B$18*'参数'!$B$19^(MIN(E22,MAX(1,5*INT(D22/5)))-1)*F22*'参数'!$J$26*P22</x:f>
        <x:v>35.86661233184888</x:v>
      </x:c>
      <x:c r="P22" s="21" t="n">
        <x:f>MIN(1,(D22-1)/19)</x:f>
        <x:v>0.6842105263157895</x:v>
      </x:c>
      <x:c r="Q22" s="18" t="n">
        <x:f>INDEX('角色成长'!$F$6:$F$105,D22)+O22*'参数'!$K$21</x:f>
        <x:v>297.2198451457693</x:v>
      </x:c>
      <x:c r="R22" s="18" t="n">
        <x:f>INDEX('角色成长'!$I$6:$I$105,D22)+O22*'参数'!$K$21</x:f>
        <x:v>243.21984514576928</x:v>
      </x:c>
      <x:c r="S22" s="18" t="n">
        <x:f>INDEX('角色成长'!$L$6:$L$105,D22)+O22*'参数'!$K$21</x:f>
        <x:v>211.21984514576928</x:v>
      </x:c>
      <x:c r="T22" s="18" t="n">
        <x:f>(INDEX('角色成长'!$J$6:$J$105,D22)+O22*'参数'!$L$21)*(1+'参数'!$B$40*P22)</x:f>
        <x:v>3389.2867112353165</x:v>
      </x:c>
      <x:c r="U22" s="18" t="n">
        <x:f>(INDEX('角色成长'!$K$6:$K$105,D22)+O22*'参数'!$M$21)*(1+'参数'!$B$41*P22)</x:f>
        <x:v>176.04007384678584</x:v>
      </x:c>
      <x:c r="V22" s="18" t="n">
        <x:f>(('参数'!$K$5*(((Q22*(1+'参数'!$B$39*P22))^2/((Q22*(1+'参数'!$B$39*P22))+'参数'!$B$22*(I22)))*(1+'参数'!$B$42*P22)/'参数'!$J$5+((Q22*'参数'!$B$43*(1+'参数'!$B$39*P22))^2/((Q22*'参数'!$B$43*(1+'参数'!$B$39*P22))+'参数'!$B$22*(I22)))/'参数'!$B$44))+(((R22*(1+'参数'!$B$39*P22))^2/((R22*(1+'参数'!$B$39*P22))+'参数'!$B$22*(I22)))*(1+'参数'!$B$42*P22)/'参数'!$J$6+((R22*'参数'!$B$45*(1+'参数'!$B$39*P22))^2/((R22*'参数'!$B$45*(1+'参数'!$B$39*P22))+'参数'!$B$22*(I22)))/'参数'!$B$46)+((S22*(1+'参数'!$B$39*P22))^2/((S22*(1+'参数'!$B$39*P22))+'参数'!$B$22*(I22)))*(1+'参数'!$B$42*P22)/'参数'!$J$7)*(1+'参数'!$B$37*('参数'!$B$38-1))*'参数'!$B$25</x:f>
        <x:v>1818.7052872203508</x:v>
      </x:c>
      <x:c r="W22" s="18" t="n">
        <x:f>(('参数'!$K$5*(((Q22*(1+'参数'!$B$39*P22))^2/((Q22*(1+'参数'!$B$39*P22))+'参数'!$B$22*(M22)))*(1+'参数'!$B$42*P22)/'参数'!$J$5+((Q22*'参数'!$B$43*(1+'参数'!$B$39*P22))^2/((Q22*'参数'!$B$43*(1+'参数'!$B$39*P22))+'参数'!$B$22*(M22)))/'参数'!$B$44))+(((R22*(1+'参数'!$B$39*P22))^2/((R22*(1+'参数'!$B$39*P22))+'参数'!$B$22*(M22)))*(1+'参数'!$B$42*P22)/'参数'!$J$6+((R22*'参数'!$B$45*(1+'参数'!$B$39*P22))^2/((R22*'参数'!$B$45*(1+'参数'!$B$39*P22))+'参数'!$B$22*(M22)))/'参数'!$B$46)+((S22*(1+'参数'!$B$39*P22))^2/((S22*(1+'参数'!$B$39*P22))+'参数'!$B$22*(M22)))*(1+'参数'!$B$42*P22)/'参数'!$J$7)*(1+'参数'!$B$37*('参数'!$B$38-1))</x:f>
        <x:v>1397.7243189692147</x:v>
      </x:c>
      <x:c r="X22" s="25" t="n">
        <x:f>('参数'!$B$26+'参数'!$B$27*(D22-1)/99)*'参数'!$K$26*AD22</x:f>
        <x:v>12.787878787878787</x:v>
      </x:c>
      <x:c r="Y22" s="25" t="n">
        <x:f>('参数'!$B$28+'参数'!$B$29*(D22-1)/99)*'参数'!$K$26*AD22*IF(AE22=1,'参数'!$B$51,1)</x:f>
        <x:v>32.62626262626263</x:v>
      </x:c>
      <x:c r="Z22" s="21" t="n">
        <x:f>MIN('参数'!$B$36,U22/(U22+'参数'!$B$35))</x:f>
        <x:v>0.04215478557049032</x:v>
      </x:c>
      <x:c r="AA22" s="18" t="n">
        <x:f>T22*'参数'!$B$30/('参数'!$B$32*'参数'!$B$33)/(1-Z22)*AC22</x:f>
        <x:v>88.46123204921913</x:v>
      </x:c>
      <x:c r="AB22" s="18" t="n">
        <x:f>T22*'参数'!$B$31/'参数'!$B$34/(1-Z22)*AC22</x:f>
        <x:v>176.92246409843827</x:v>
      </x:c>
      <x:c r="AC22" s="15" t="n">
        <x:f>'参数'!$L$26*1</x:f>
        <x:v>1</x:v>
      </x:c>
      <x:c r="AD22" s="15" t="n">
        <x:f>1</x:f>
        <x:v>1</x:v>
      </x:c>
      <x:c r="AE22" s="18" t="n">
        <x:f>IF(MOD(B22,12)=0,1,0)</x:f>
        <x:v>0</x:v>
      </x:c>
    </x:row>
    <x:row r="23" ht="22" customHeight="1">
      <x:c r="A23" s="19" t="str">
        <x:v>简单</x:v>
      </x:c>
      <x:c r="B23" s="19" t="n">
        <x:v>18</x:v>
      </x:c>
      <x:c r="C23" s="19" t="n">
        <x:f>ROUNDUP(B23/12,0)</x:f>
        <x:v>2</x:v>
      </x:c>
      <x:c r="D23" s="19" t="n">
        <x:f>ROUND(MAX('参数'!$G$26,E23)+(IF(C23&lt;10,INDEX('参数'!$G$34:$P$34,1,MIN(10,C23+1)),'参数'!$H$26)-MAX('参数'!$G$26,E23))*MOD(B23-1,12)/11,0)</x:f>
        <x:v>15</x:v>
      </x:c>
      <x:c r="E23" s="19" t="n">
        <x:f>INDEX('参数'!$G$34:$P$34,1,C23)</x:f>
        <x:v>10</x:v>
      </x:c>
      <x:c r="F23" s="20" t="n">
        <x:f>'参数'!$I$26</x:f>
        <x:v>1.05</x:v>
      </x:c>
      <x:c r="G23" s="19" t="n">
        <x:f>ROUND(V23*X23/'参数'!$B$56,0)</x:f>
        <x:v>5412</x:v>
      </x:c>
      <x:c r="H23" s="19" t="n">
        <x:f>ROUND((AA23+SQRT(AA23^2+4*AA23*'参数'!$B$22*U23))/2,0)</x:f>
        <x:v>201</x:v>
      </x:c>
      <x:c r="I23" s="19" t="n">
        <x:f>ROUND(Q23*'参数'!$B$23/'参数'!$B$22,0)</x:f>
        <x:v>62</x:v>
      </x:c>
      <x:c r="J23" s="19" t="n">
        <x:f>ROUND(G23*'参数'!$B$50,0)</x:f>
        <x:v>16236</x:v>
      </x:c>
      <x:c r="K23" s="19" t="n">
        <x:f>ROUND(W23*Y23,0)</x:f>
        <x:v>48869</x:v>
      </x:c>
      <x:c r="L23" s="19" t="n">
        <x:f>ROUND((AB23+SQRT(AB23^2+4*AB23*'参数'!$B$22*U23))/2,0)</x:f>
        <x:v>321</x:v>
      </x:c>
      <x:c r="M23" s="19" t="n">
        <x:f>ROUND(I23*'参数'!$B$24,0)</x:f>
        <x:v>78</x:v>
      </x:c>
      <x:c r="N23" s="19" t="n">
        <x:f>'参数'!$B$9*'参数'!$B$10^(D23-1)</x:f>
        <x:v>907.5538349130671</x:v>
      </x:c>
      <x:c r="O23" s="19" t="n">
        <x:f>'参数'!$B$18*'参数'!$B$19^(MIN(E23,MAX(1,5*INT(D23/5)))-1)*F23*'参数'!$J$26*P23</x:f>
        <x:v>38.625582511221864</x:v>
      </x:c>
      <x:c r="P23" s="22" t="n">
        <x:f>MIN(1,(D23-1)/19)</x:f>
        <x:v>0.7368421052631579</x:v>
      </x:c>
      <x:c r="Q23" s="19" t="n">
        <x:f>INDEX('角色成长'!$F$6:$F$105,D23)+O23*'参数'!$K$21</x:f>
        <x:v>312.08291015698234</x:v>
      </x:c>
      <x:c r="R23" s="19" t="n">
        <x:f>INDEX('角色成长'!$I$6:$I$105,D23)+O23*'参数'!$K$21</x:f>
        <x:v>256.08291015698234</x:v>
      </x:c>
      <x:c r="S23" s="19" t="n">
        <x:f>INDEX('角色成长'!$L$6:$L$105,D23)+O23*'参数'!$K$21</x:f>
        <x:v>223.08291015698234</x:v>
      </x:c>
      <x:c r="T23" s="19" t="n">
        <x:f>(INDEX('角色成长'!$J$6:$J$105,D23)+O23*'参数'!$L$21)*(1+'参数'!$B$40*P23)</x:f>
        <x:v>3563.0080951411665</x:v>
      </x:c>
      <x:c r="U23" s="19" t="n">
        <x:f>(INDEX('角色成长'!$K$6:$K$105,D23)+O23*'参数'!$M$21)*(1+'参数'!$B$41*P23)</x:f>
        <x:v>185.3122787184537</x:v>
      </x:c>
      <x:c r="V23" s="19" t="n">
        <x:f>(('参数'!$K$5*(((Q23*(1+'参数'!$B$39*P23))^2/((Q23*(1+'参数'!$B$39*P23))+'参数'!$B$22*(I23)))*(1+'参数'!$B$42*P23)/'参数'!$J$5+((Q23*'参数'!$B$43*(1+'参数'!$B$39*P23))^2/((Q23*'参数'!$B$43*(1+'参数'!$B$39*P23))+'参数'!$B$22*(I23)))/'参数'!$B$44))+(((R23*(1+'参数'!$B$39*P23))^2/((R23*(1+'参数'!$B$39*P23))+'参数'!$B$22*(I23)))*(1+'参数'!$B$42*P23)/'参数'!$J$6+((R23*'参数'!$B$45*(1+'参数'!$B$39*P23))^2/((R23*'参数'!$B$45*(1+'参数'!$B$39*P23))+'参数'!$B$22*(I23)))/'参数'!$B$46)+((S23*(1+'参数'!$B$39*P23))^2/((S23*(1+'参数'!$B$39*P23))+'参数'!$B$22*(I23)))*(1+'参数'!$B$42*P23)/'参数'!$J$7)*(1+'参数'!$B$37*('参数'!$B$38-1))*'参数'!$B$25</x:f>
        <x:v>1937.602206051954</x:v>
      </x:c>
      <x:c r="W23" s="19" t="n">
        <x:f>(('参数'!$K$5*(((Q23*(1+'参数'!$B$39*P23))^2/((Q23*(1+'参数'!$B$39*P23))+'参数'!$B$22*(M23)))*(1+'参数'!$B$42*P23)/'参数'!$J$5+((Q23*'参数'!$B$43*(1+'参数'!$B$39*P23))^2/((Q23*'参数'!$B$43*(1+'参数'!$B$39*P23))+'参数'!$B$22*(M23)))/'参数'!$B$44))+(((R23*(1+'参数'!$B$39*P23))^2/((R23*(1+'参数'!$B$39*P23))+'参数'!$B$22*(M23)))*(1+'参数'!$B$42*P23)/'参数'!$J$6+((R23*'参数'!$B$45*(1+'参数'!$B$39*P23))^2/((R23*'参数'!$B$45*(1+'参数'!$B$39*P23))+'参数'!$B$22*(M23)))/'参数'!$B$46)+((S23*(1+'参数'!$B$39*P23))^2/((S23*(1+'参数'!$B$39*P23))+'参数'!$B$22*(M23)))*(1+'参数'!$B$42*P23)/'参数'!$J$7)*(1+'参数'!$B$37*('参数'!$B$38-1))</x:f>
        <x:v>1488.6239978288402</x:v>
      </x:c>
      <x:c r="X23" s="26" t="n">
        <x:f>('参数'!$B$26+'参数'!$B$27*(D23-1)/99)*'参数'!$K$26*AD23</x:f>
        <x:v>12.848484848484848</x:v>
      </x:c>
      <x:c r="Y23" s="26" t="n">
        <x:f>('参数'!$B$28+'参数'!$B$29*(D23-1)/99)*'参数'!$K$26*AD23*IF(AE23=1,'参数'!$B$51,1)</x:f>
        <x:v>32.82828282828283</x:v>
      </x:c>
      <x:c r="Z23" s="22" t="n">
        <x:f>MIN('参数'!$B$36,U23/(U23+'参数'!$B$35))</x:f>
        <x:v>0.044276810516800075</x:v>
      </x:c>
      <x:c r="AA23" s="19" t="n">
        <x:f>T23*'参数'!$B$30/('参数'!$B$32*'参数'!$B$33)/(1-Z23)*AC23</x:f>
        <x:v>93.20188456104734</x:v>
      </x:c>
      <x:c r="AB23" s="19" t="n">
        <x:f>T23*'参数'!$B$31/'参数'!$B$34/(1-Z23)*AC23</x:f>
        <x:v>186.40376912209464</x:v>
      </x:c>
      <x:c r="AC23" s="20" t="n">
        <x:f>'参数'!$L$26*1</x:f>
        <x:v>1</x:v>
      </x:c>
      <x:c r="AD23" s="20" t="n">
        <x:f>1</x:f>
        <x:v>1</x:v>
      </x:c>
      <x:c r="AE23" s="19" t="n">
        <x:f>IF(MOD(B23,12)=0,1,0)</x:f>
        <x:v>0</x:v>
      </x:c>
    </x:row>
    <x:row r="24" ht="22" customHeight="1">
      <x:c r="A24" s="18" t="str">
        <x:v>简单</x:v>
      </x:c>
      <x:c r="B24" s="18" t="n">
        <x:v>19</x:v>
      </x:c>
      <x:c r="C24" s="18" t="n">
        <x:f>ROUNDUP(B24/12,0)</x:f>
        <x:v>2</x:v>
      </x:c>
      <x:c r="D24" s="18" t="n">
        <x:f>ROUND(MAX('参数'!$G$26,E24)+(IF(C24&lt;10,INDEX('参数'!$G$34:$P$34,1,MIN(10,C24+1)),'参数'!$H$26)-MAX('参数'!$G$26,E24))*MOD(B24-1,12)/11,0)</x:f>
        <x:v>15</x:v>
      </x:c>
      <x:c r="E24" s="18" t="n">
        <x:f>INDEX('参数'!$G$34:$P$34,1,C24)</x:f>
        <x:v>10</x:v>
      </x:c>
      <x:c r="F24" s="15" t="n">
        <x:f>'参数'!$I$26</x:f>
        <x:v>1.05</x:v>
      </x:c>
      <x:c r="G24" s="18" t="n">
        <x:f>ROUND(V24*X24/'参数'!$B$56,0)</x:f>
        <x:v>5412</x:v>
      </x:c>
      <x:c r="H24" s="18" t="n">
        <x:f>ROUND((AA24+SQRT(AA24^2+4*AA24*'参数'!$B$22*U24))/2,0)</x:f>
        <x:v>201</x:v>
      </x:c>
      <x:c r="I24" s="18" t="n">
        <x:f>ROUND(Q24*'参数'!$B$23/'参数'!$B$22,0)</x:f>
        <x:v>62</x:v>
      </x:c>
      <x:c r="J24" s="18" t="n">
        <x:f>ROUND(G24*'参数'!$B$50,0)</x:f>
        <x:v>16236</x:v>
      </x:c>
      <x:c r="K24" s="18" t="n">
        <x:f>ROUND(W24*Y24,0)</x:f>
        <x:v>48869</x:v>
      </x:c>
      <x:c r="L24" s="18" t="n">
        <x:f>ROUND((AB24+SQRT(AB24^2+4*AB24*'参数'!$B$22*U24))/2,0)</x:f>
        <x:v>321</x:v>
      </x:c>
      <x:c r="M24" s="18" t="n">
        <x:f>ROUND(I24*'参数'!$B$24,0)</x:f>
        <x:v>78</x:v>
      </x:c>
      <x:c r="N24" s="18" t="n">
        <x:f>'参数'!$B$9*'参数'!$B$10^(D24-1)</x:f>
        <x:v>907.5538349130671</x:v>
      </x:c>
      <x:c r="O24" s="18" t="n">
        <x:f>'参数'!$B$18*'参数'!$B$19^(MIN(E24,MAX(1,5*INT(D24/5)))-1)*F24*'参数'!$J$26*P24</x:f>
        <x:v>38.625582511221864</x:v>
      </x:c>
      <x:c r="P24" s="21" t="n">
        <x:f>MIN(1,(D24-1)/19)</x:f>
        <x:v>0.7368421052631579</x:v>
      </x:c>
      <x:c r="Q24" s="18" t="n">
        <x:f>INDEX('角色成长'!$F$6:$F$105,D24)+O24*'参数'!$K$21</x:f>
        <x:v>312.08291015698234</x:v>
      </x:c>
      <x:c r="R24" s="18" t="n">
        <x:f>INDEX('角色成长'!$I$6:$I$105,D24)+O24*'参数'!$K$21</x:f>
        <x:v>256.08291015698234</x:v>
      </x:c>
      <x:c r="S24" s="18" t="n">
        <x:f>INDEX('角色成长'!$L$6:$L$105,D24)+O24*'参数'!$K$21</x:f>
        <x:v>223.08291015698234</x:v>
      </x:c>
      <x:c r="T24" s="18" t="n">
        <x:f>(INDEX('角色成长'!$J$6:$J$105,D24)+O24*'参数'!$L$21)*(1+'参数'!$B$40*P24)</x:f>
        <x:v>3563.0080951411665</x:v>
      </x:c>
      <x:c r="U24" s="18" t="n">
        <x:f>(INDEX('角色成长'!$K$6:$K$105,D24)+O24*'参数'!$M$21)*(1+'参数'!$B$41*P24)</x:f>
        <x:v>185.3122787184537</x:v>
      </x:c>
      <x:c r="V24" s="18" t="n">
        <x:f>(('参数'!$K$5*(((Q24*(1+'参数'!$B$39*P24))^2/((Q24*(1+'参数'!$B$39*P24))+'参数'!$B$22*(I24)))*(1+'参数'!$B$42*P24)/'参数'!$J$5+((Q24*'参数'!$B$43*(1+'参数'!$B$39*P24))^2/((Q24*'参数'!$B$43*(1+'参数'!$B$39*P24))+'参数'!$B$22*(I24)))/'参数'!$B$44))+(((R24*(1+'参数'!$B$39*P24))^2/((R24*(1+'参数'!$B$39*P24))+'参数'!$B$22*(I24)))*(1+'参数'!$B$42*P24)/'参数'!$J$6+((R24*'参数'!$B$45*(1+'参数'!$B$39*P24))^2/((R24*'参数'!$B$45*(1+'参数'!$B$39*P24))+'参数'!$B$22*(I24)))/'参数'!$B$46)+((S24*(1+'参数'!$B$39*P24))^2/((S24*(1+'参数'!$B$39*P24))+'参数'!$B$22*(I24)))*(1+'参数'!$B$42*P24)/'参数'!$J$7)*(1+'参数'!$B$37*('参数'!$B$38-1))*'参数'!$B$25</x:f>
        <x:v>1937.602206051954</x:v>
      </x:c>
      <x:c r="W24" s="18" t="n">
        <x:f>(('参数'!$K$5*(((Q24*(1+'参数'!$B$39*P24))^2/((Q24*(1+'参数'!$B$39*P24))+'参数'!$B$22*(M24)))*(1+'参数'!$B$42*P24)/'参数'!$J$5+((Q24*'参数'!$B$43*(1+'参数'!$B$39*P24))^2/((Q24*'参数'!$B$43*(1+'参数'!$B$39*P24))+'参数'!$B$22*(M24)))/'参数'!$B$44))+(((R24*(1+'参数'!$B$39*P24))^2/((R24*(1+'参数'!$B$39*P24))+'参数'!$B$22*(M24)))*(1+'参数'!$B$42*P24)/'参数'!$J$6+((R24*'参数'!$B$45*(1+'参数'!$B$39*P24))^2/((R24*'参数'!$B$45*(1+'参数'!$B$39*P24))+'参数'!$B$22*(M24)))/'参数'!$B$46)+((S24*(1+'参数'!$B$39*P24))^2/((S24*(1+'参数'!$B$39*P24))+'参数'!$B$22*(M24)))*(1+'参数'!$B$42*P24)/'参数'!$J$7)*(1+'参数'!$B$37*('参数'!$B$38-1))</x:f>
        <x:v>1488.6239978288402</x:v>
      </x:c>
      <x:c r="X24" s="25" t="n">
        <x:f>('参数'!$B$26+'参数'!$B$27*(D24-1)/99)*'参数'!$K$26*AD24</x:f>
        <x:v>12.848484848484848</x:v>
      </x:c>
      <x:c r="Y24" s="25" t="n">
        <x:f>('参数'!$B$28+'参数'!$B$29*(D24-1)/99)*'参数'!$K$26*AD24*IF(AE24=1,'参数'!$B$51,1)</x:f>
        <x:v>32.82828282828283</x:v>
      </x:c>
      <x:c r="Z24" s="21" t="n">
        <x:f>MIN('参数'!$B$36,U24/(U24+'参数'!$B$35))</x:f>
        <x:v>0.044276810516800075</x:v>
      </x:c>
      <x:c r="AA24" s="18" t="n">
        <x:f>T24*'参数'!$B$30/('参数'!$B$32*'参数'!$B$33)/(1-Z24)*AC24</x:f>
        <x:v>93.20188456104734</x:v>
      </x:c>
      <x:c r="AB24" s="18" t="n">
        <x:f>T24*'参数'!$B$31/'参数'!$B$34/(1-Z24)*AC24</x:f>
        <x:v>186.40376912209464</x:v>
      </x:c>
      <x:c r="AC24" s="15" t="n">
        <x:f>'参数'!$L$26*1</x:f>
        <x:v>1</x:v>
      </x:c>
      <x:c r="AD24" s="15" t="n">
        <x:f>1</x:f>
        <x:v>1</x:v>
      </x:c>
      <x:c r="AE24" s="18" t="n">
        <x:f>IF(MOD(B24,12)=0,1,0)</x:f>
        <x:v>0</x:v>
      </x:c>
    </x:row>
    <x:row r="25" ht="22" customHeight="1">
      <x:c r="A25" s="19" t="str">
        <x:v>简单</x:v>
      </x:c>
      <x:c r="B25" s="19" t="n">
        <x:v>20</x:v>
      </x:c>
      <x:c r="C25" s="19" t="n">
        <x:f>ROUNDUP(B25/12,0)</x:f>
        <x:v>2</x:v>
      </x:c>
      <x:c r="D25" s="19" t="n">
        <x:f>ROUND(MAX('参数'!$G$26,E25)+(IF(C25&lt;10,INDEX('参数'!$G$34:$P$34,1,MIN(10,C25+1)),'参数'!$H$26)-MAX('参数'!$G$26,E25))*MOD(B25-1,12)/11,0)</x:f>
        <x:v>16</x:v>
      </x:c>
      <x:c r="E25" s="19" t="n">
        <x:f>INDEX('参数'!$G$34:$P$34,1,C25)</x:f>
        <x:v>10</x:v>
      </x:c>
      <x:c r="F25" s="20" t="n">
        <x:f>'参数'!$I$26</x:f>
        <x:v>1.05</x:v>
      </x:c>
      <x:c r="G25" s="19" t="n">
        <x:f>ROUND(V25*X25/'参数'!$B$56,0)</x:f>
        <x:v>5779</x:v>
      </x:c>
      <x:c r="H25" s="19" t="n">
        <x:f>ROUND((AA25+SQRT(AA25^2+4*AA25*'参数'!$B$22*U25))/2,0)</x:f>
        <x:v>212</x:v>
      </x:c>
      <x:c r="I25" s="19" t="n">
        <x:f>ROUND(Q25*'参数'!$B$23/'参数'!$B$22,0)</x:f>
        <x:v>65</x:v>
      </x:c>
      <x:c r="J25" s="19" t="n">
        <x:f>ROUND(G25*'参数'!$B$50,0)</x:f>
        <x:v>17337</x:v>
      </x:c>
      <x:c r="K25" s="19" t="n">
        <x:f>ROUND(W25*Y25,0)</x:f>
        <x:v>52364</x:v>
      </x:c>
      <x:c r="L25" s="19" t="n">
        <x:f>ROUND((AB25+SQRT(AB25^2+4*AB25*'参数'!$B$22*U25))/2,0)</x:f>
        <x:v>338</x:v>
      </x:c>
      <x:c r="M25" s="19" t="n">
        <x:f>ROUND(I25*'参数'!$B$24,0)</x:f>
        <x:v>81</x:v>
      </x:c>
      <x:c r="N25" s="19" t="n">
        <x:f>'参数'!$B$9*'参数'!$B$10^(D25-1)</x:f>
        <x:v>934.780449960459</x:v>
      </x:c>
      <x:c r="O25" s="19" t="n">
        <x:f>'参数'!$B$18*'参数'!$B$19^(MIN(E25,MAX(1,5*INT(D25/5)))-1)*F25*'参数'!$J$26*P25</x:f>
        <x:v>41.38455269059485</x:v>
      </x:c>
      <x:c r="P25" s="22" t="n">
        <x:f>MIN(1,(D25-1)/19)</x:f>
        <x:v>0.7894736842105263</x:v>
      </x:c>
      <x:c r="Q25" s="19" t="n">
        <x:f>INDEX('角色成长'!$F$6:$F$105,D25)+O25*'参数'!$K$21</x:f>
        <x:v>326.94597516819533</x:v>
      </x:c>
      <x:c r="R25" s="19" t="n">
        <x:f>INDEX('角色成长'!$I$6:$I$105,D25)+O25*'参数'!$K$21</x:f>
        <x:v>268.94597516819533</x:v>
      </x:c>
      <x:c r="S25" s="19" t="n">
        <x:f>INDEX('角色成长'!$L$6:$L$105,D25)+O25*'参数'!$K$21</x:f>
        <x:v>234.94597516819533</x:v>
      </x:c>
      <x:c r="T25" s="19" t="n">
        <x:f>(INDEX('角色成长'!$J$6:$J$105,D25)+O25*'参数'!$L$21)*(1+'参数'!$B$40*P25)</x:f>
        <x:v>3742.584733131038</x:v>
      </x:c>
      <x:c r="U25" s="19" t="n">
        <x:f>(INDEX('角色成长'!$K$6:$K$105,D25)+O25*'参数'!$M$21)*(1+'参数'!$B$41*P25)</x:f>
        <x:v>195.74583304079422</x:v>
      </x:c>
      <x:c r="V25" s="19" t="n">
        <x:f>(('参数'!$K$5*(((Q25*(1+'参数'!$B$39*P25))^2/((Q25*(1+'参数'!$B$39*P25))+'参数'!$B$22*(I25)))*(1+'参数'!$B$42*P25)/'参数'!$J$5+((Q25*'参数'!$B$43*(1+'参数'!$B$39*P25))^2/((Q25*'参数'!$B$43*(1+'参数'!$B$39*P25))+'参数'!$B$22*(I25)))/'参数'!$B$44))+(((R25*(1+'参数'!$B$39*P25))^2/((R25*(1+'参数'!$B$39*P25))+'参数'!$B$22*(I25)))*(1+'参数'!$B$42*P25)/'参数'!$J$6+((R25*'参数'!$B$45*(1+'参数'!$B$39*P25))^2/((R25*'参数'!$B$45*(1+'参数'!$B$39*P25))+'参数'!$B$22*(I25)))/'参数'!$B$46)+((S25*(1+'参数'!$B$39*P25))^2/((S25*(1+'参数'!$B$39*P25))+'参数'!$B$22*(I25)))*(1+'参数'!$B$42*P25)/'参数'!$J$7)*(1+'参数'!$B$37*('参数'!$B$38-1))*'参数'!$B$25</x:f>
        <x:v>2059.172970560149</x:v>
      </x:c>
      <x:c r="W25" s="19" t="n">
        <x:f>(('参数'!$K$5*(((Q25*(1+'参数'!$B$39*P25))^2/((Q25*(1+'参数'!$B$39*P25))+'参数'!$B$22*(M25)))*(1+'参数'!$B$42*P25)/'参数'!$J$5+((Q25*'参数'!$B$43*(1+'参数'!$B$39*P25))^2/((Q25*'参数'!$B$43*(1+'参数'!$B$39*P25))+'参数'!$B$22*(M25)))/'参数'!$B$44))+(((R25*(1+'参数'!$B$39*P25))^2/((R25*(1+'参数'!$B$39*P25))+'参数'!$B$22*(M25)))*(1+'参数'!$B$42*P25)/'参数'!$J$6+((R25*'参数'!$B$45*(1+'参数'!$B$39*P25))^2/((R25*'参数'!$B$45*(1+'参数'!$B$39*P25))+'参数'!$B$22*(M25)))/'参数'!$B$46)+((S25*(1+'参数'!$B$39*P25))^2/((S25*(1+'参数'!$B$39*P25))+'参数'!$B$22*(M25)))*(1+'参数'!$B$42*P25)/'参数'!$J$7)*(1+'参数'!$B$37*('参数'!$B$38-1))</x:f>
        <x:v>1585.3189042051608</x:v>
      </x:c>
      <x:c r="X25" s="26" t="n">
        <x:f>('参数'!$B$26+'参数'!$B$27*(D25-1)/99)*'参数'!$K$26*AD25</x:f>
        <x:v>12.909090909090908</x:v>
      </x:c>
      <x:c r="Y25" s="26" t="n">
        <x:f>('参数'!$B$28+'参数'!$B$29*(D25-1)/99)*'参数'!$K$26*AD25*IF(AE25=1,'参数'!$B$51,1)</x:f>
        <x:v>33.03030303030303</x:v>
      </x:c>
      <x:c r="Z25" s="22" t="n">
        <x:f>MIN('参数'!$B$36,U25/(U25+'参数'!$B$35))</x:f>
        <x:v>0.04665340581389097</x:v>
      </x:c>
      <x:c r="AA25" s="19" t="n">
        <x:f>T25*'参数'!$B$30/('参数'!$B$32*'参数'!$B$33)/(1-Z25)*AC25</x:f>
        <x:v>98.14333936772903</x:v>
      </x:c>
      <x:c r="AB25" s="19" t="n">
        <x:f>T25*'参数'!$B$31/'参数'!$B$34/(1-Z25)*AC25</x:f>
        <x:v>196.28667873545805</x:v>
      </x:c>
      <x:c r="AC25" s="20" t="n">
        <x:f>'参数'!$L$26*1</x:f>
        <x:v>1</x:v>
      </x:c>
      <x:c r="AD25" s="20" t="n">
        <x:f>1</x:f>
        <x:v>1</x:v>
      </x:c>
      <x:c r="AE25" s="19" t="n">
        <x:f>IF(MOD(B25,12)=0,1,0)</x:f>
        <x:v>0</x:v>
      </x:c>
    </x:row>
    <x:row r="26" ht="22" customHeight="1">
      <x:c r="A26" s="18" t="str">
        <x:v>简单</x:v>
      </x:c>
      <x:c r="B26" s="18" t="n">
        <x:v>21</x:v>
      </x:c>
      <x:c r="C26" s="18" t="n">
        <x:f>ROUNDUP(B26/12,0)</x:f>
        <x:v>2</x:v>
      </x:c>
      <x:c r="D26" s="18" t="n">
        <x:f>ROUND(MAX('参数'!$G$26,E26)+(IF(C26&lt;10,INDEX('参数'!$G$34:$P$34,1,MIN(10,C26+1)),'参数'!$H$26)-MAX('参数'!$G$26,E26))*MOD(B26-1,12)/11,0)</x:f>
        <x:v>17</x:v>
      </x:c>
      <x:c r="E26" s="18" t="n">
        <x:f>INDEX('参数'!$G$34:$P$34,1,C26)</x:f>
        <x:v>10</x:v>
      </x:c>
      <x:c r="F26" s="15" t="n">
        <x:f>'参数'!$I$26</x:f>
        <x:v>1.05</x:v>
      </x:c>
      <x:c r="G26" s="18" t="n">
        <x:f>ROUND(V26*X26/'参数'!$B$56,0)</x:f>
        <x:v>6158</x:v>
      </x:c>
      <x:c r="H26" s="18" t="n">
        <x:f>ROUND((AA26+SQRT(AA26^2+4*AA26*'参数'!$B$22*U26))/2,0)</x:f>
        <x:v>223</x:v>
      </x:c>
      <x:c r="I26" s="18" t="n">
        <x:f>ROUND(Q26*'参数'!$B$23/'参数'!$B$22,0)</x:f>
        <x:v>69</x:v>
      </x:c>
      <x:c r="J26" s="18" t="n">
        <x:f>ROUND(G26*'参数'!$B$50,0)</x:f>
        <x:v>18474</x:v>
      </x:c>
      <x:c r="K26" s="18" t="n">
        <x:f>ROUND(W26*Y26,0)</x:f>
        <x:v>55868</x:v>
      </x:c>
      <x:c r="L26" s="18" t="n">
        <x:f>ROUND((AB26+SQRT(AB26^2+4*AB26*'参数'!$B$22*U26))/2,0)</x:f>
        <x:v>356</x:v>
      </x:c>
      <x:c r="M26" s="18" t="n">
        <x:f>ROUND(I26*'参数'!$B$24,0)</x:f>
        <x:v>86</x:v>
      </x:c>
      <x:c r="N26" s="18" t="n">
        <x:f>'参数'!$B$9*'参数'!$B$10^(D26-1)</x:f>
        <x:v>962.823863459273</x:v>
      </x:c>
      <x:c r="O26" s="18" t="n">
        <x:f>'参数'!$B$18*'参数'!$B$19^(MIN(E26,MAX(1,5*INT(D26/5)))-1)*F26*'参数'!$J$26*P26</x:f>
        <x:v>44.14352286996784</x:v>
      </x:c>
      <x:c r="P26" s="21" t="n">
        <x:f>MIN(1,(D26-1)/19)</x:f>
        <x:v>0.8421052631578947</x:v>
      </x:c>
      <x:c r="Q26" s="18" t="n">
        <x:f>INDEX('角色成长'!$F$6:$F$105,D26)+O26*'参数'!$K$21</x:f>
        <x:v>342.8090401794083</x:v>
      </x:c>
      <x:c r="R26" s="18" t="n">
        <x:f>INDEX('角色成长'!$I$6:$I$105,D26)+O26*'参数'!$K$21</x:f>
        <x:v>281.8090401794083</x:v>
      </x:c>
      <x:c r="S26" s="18" t="n">
        <x:f>INDEX('角色成长'!$L$6:$L$105,D26)+O26*'参数'!$K$21</x:f>
        <x:v>246.80904017940833</x:v>
      </x:c>
      <x:c r="T26" s="18" t="n">
        <x:f>(INDEX('角色成长'!$J$6:$J$105,D26)+O26*'参数'!$L$21)*(1+'参数'!$B$40*P26)</x:f>
        <x:v>3925.9113620470366</x:v>
      </x:c>
      <x:c r="U26" s="18" t="n">
        <x:f>(INDEX('角色成长'!$K$6:$K$105,D26)+O26*'参数'!$M$21)*(1+'参数'!$B$41*P26)</x:f>
        <x:v>206.27231576117583</x:v>
      </x:c>
      <x:c r="V26" s="18" t="n">
        <x:f>(('参数'!$K$5*(((Q26*(1+'参数'!$B$39*P26))^2/((Q26*(1+'参数'!$B$39*P26))+'参数'!$B$22*(I26)))*(1+'参数'!$B$42*P26)/'参数'!$J$5+((Q26*'参数'!$B$43*(1+'参数'!$B$39*P26))^2/((Q26*'参数'!$B$43*(1+'参数'!$B$39*P26))+'参数'!$B$22*(I26)))/'参数'!$B$44))+(((R26*(1+'参数'!$B$39*P26))^2/((R26*(1+'参数'!$B$39*P26))+'参数'!$B$22*(I26)))*(1+'参数'!$B$42*P26)/'参数'!$J$6+((R26*'参数'!$B$45*(1+'参数'!$B$39*P26))^2/((R26*'参数'!$B$45*(1+'参数'!$B$39*P26))+'参数'!$B$22*(I26)))/'参数'!$B$46)+((S26*(1+'参数'!$B$39*P26))^2/((S26*(1+'参数'!$B$39*P26))+'参数'!$B$22*(I26)))*(1+'参数'!$B$42*P26)/'参数'!$J$7)*(1+'参数'!$B$37*('参数'!$B$38-1))*'参数'!$B$25</x:f>
        <x:v>2183.947315079477</x:v>
      </x:c>
      <x:c r="W26" s="18" t="n">
        <x:f>(('参数'!$K$5*(((Q26*(1+'参数'!$B$39*P26))^2/((Q26*(1+'参数'!$B$39*P26))+'参数'!$B$22*(M26)))*(1+'参数'!$B$42*P26)/'参数'!$J$5+((Q26*'参数'!$B$43*(1+'参数'!$B$39*P26))^2/((Q26*'参数'!$B$43*(1+'参数'!$B$39*P26))+'参数'!$B$22*(M26)))/'参数'!$B$44))+(((R26*(1+'参数'!$B$39*P26))^2/((R26*(1+'参数'!$B$39*P26))+'参数'!$B$22*(M26)))*(1+'参数'!$B$42*P26)/'参数'!$J$6+((R26*'参数'!$B$45*(1+'参数'!$B$39*P26))^2/((R26*'参数'!$B$45*(1+'参数'!$B$39*P26))+'参数'!$B$22*(M26)))/'参数'!$B$46)+((S26*(1+'参数'!$B$39*P26))^2/((S26*(1+'参数'!$B$39*P26))+'参数'!$B$22*(M26)))*(1+'参数'!$B$42*P26)/'参数'!$J$7)*(1+'参数'!$B$37*('参数'!$B$38-1))</x:f>
        <x:v>1681.1233621714703</x:v>
      </x:c>
      <x:c r="X26" s="25" t="n">
        <x:f>('参数'!$B$26+'参数'!$B$27*(D26-1)/99)*'参数'!$K$26*AD26</x:f>
        <x:v>12.969696969696969</x:v>
      </x:c>
      <x:c r="Y26" s="25" t="n">
        <x:f>('参数'!$B$28+'参数'!$B$29*(D26-1)/99)*'参数'!$K$26*AD26*IF(AE26=1,'参数'!$B$51,1)</x:f>
        <x:v>33.23232323232323</x:v>
      </x:c>
      <x:c r="Z26" s="21" t="n">
        <x:f>MIN('参数'!$B$36,U26/(U26+'参数'!$B$35))</x:f>
        <x:v>0.04903922054410506</x:v>
      </x:c>
      <x:c r="AA26" s="18" t="n">
        <x:f>T26*'参数'!$B$30/('参数'!$B$32*'参数'!$B$33)/(1-Z26)*AC26</x:f>
        <x:v>103.20907672694187</x:v>
      </x:c>
      <x:c r="AB26" s="18" t="n">
        <x:f>T26*'参数'!$B$31/'参数'!$B$34/(1-Z26)*AC26</x:f>
        <x:v>206.41815345388375</x:v>
      </x:c>
      <x:c r="AC26" s="15" t="n">
        <x:f>'参数'!$L$26*1</x:f>
        <x:v>1</x:v>
      </x:c>
      <x:c r="AD26" s="15" t="n">
        <x:f>1</x:f>
        <x:v>1</x:v>
      </x:c>
      <x:c r="AE26" s="18" t="n">
        <x:f>IF(MOD(B26,12)=0,1,0)</x:f>
        <x:v>0</x:v>
      </x:c>
    </x:row>
    <x:row r="27" ht="22" customHeight="1">
      <x:c r="A27" s="19" t="str">
        <x:v>简单</x:v>
      </x:c>
      <x:c r="B27" s="19" t="n">
        <x:v>22</x:v>
      </x:c>
      <x:c r="C27" s="19" t="n">
        <x:f>ROUNDUP(B27/12,0)</x:f>
        <x:v>2</x:v>
      </x:c>
      <x:c r="D27" s="19" t="n">
        <x:f>ROUND(MAX('参数'!$G$26,E27)+(IF(C27&lt;10,INDEX('参数'!$G$34:$P$34,1,MIN(10,C27+1)),'参数'!$H$26)-MAX('参数'!$G$26,E27))*MOD(B27-1,12)/11,0)</x:f>
        <x:v>18</x:v>
      </x:c>
      <x:c r="E27" s="19" t="n">
        <x:f>INDEX('参数'!$G$34:$P$34,1,C27)</x:f>
        <x:v>10</x:v>
      </x:c>
      <x:c r="F27" s="20" t="n">
        <x:f>'参数'!$I$26</x:f>
        <x:v>1.05</x:v>
      </x:c>
      <x:c r="G27" s="19" t="n">
        <x:f>ROUND(V27*X27/'参数'!$B$56,0)</x:f>
        <x:v>6553</x:v>
      </x:c>
      <x:c r="H27" s="19" t="n">
        <x:f>ROUND((AA27+SQRT(AA27^2+4*AA27*'参数'!$B$22*U27))/2,0)</x:f>
        <x:v>234</x:v>
      </x:c>
      <x:c r="I27" s="19" t="n">
        <x:f>ROUND(Q27*'参数'!$B$23/'参数'!$B$22,0)</x:f>
        <x:v>72</x:v>
      </x:c>
      <x:c r="J27" s="19" t="n">
        <x:f>ROUND(G27*'参数'!$B$50,0)</x:f>
        <x:v>19659</x:v>
      </x:c>
      <x:c r="K27" s="19" t="n">
        <x:f>ROUND(W27*Y27,0)</x:f>
        <x:v>59521</x:v>
      </x:c>
      <x:c r="L27" s="19" t="n">
        <x:f>ROUND((AB27+SQRT(AB27^2+4*AB27*'参数'!$B$22*U27))/2,0)</x:f>
        <x:v>374</x:v>
      </x:c>
      <x:c r="M27" s="19" t="n">
        <x:f>ROUND(I27*'参数'!$B$24,0)</x:f>
        <x:v>90</x:v>
      </x:c>
      <x:c r="N27" s="19" t="n">
        <x:f>'参数'!$B$9*'参数'!$B$10^(D27-1)</x:f>
        <x:v>991.7085793630511</x:v>
      </x:c>
      <x:c r="O27" s="19" t="n">
        <x:f>'参数'!$B$18*'参数'!$B$19^(MIN(E27,MAX(1,5*INT(D27/5)))-1)*F27*'参数'!$J$26*P27</x:f>
        <x:v>46.90249304934083</x:v>
      </x:c>
      <x:c r="P27" s="22" t="n">
        <x:f>MIN(1,(D27-1)/19)</x:f>
        <x:v>0.8947368421052632</x:v>
      </x:c>
      <x:c r="Q27" s="19" t="n">
        <x:f>INDEX('角色成长'!$F$6:$F$105,D27)+O27*'参数'!$K$21</x:f>
        <x:v>357.6721051906214</x:v>
      </x:c>
      <x:c r="R27" s="19" t="n">
        <x:f>INDEX('角色成长'!$I$6:$I$105,D27)+O27*'参数'!$K$21</x:f>
        <x:v>295.6721051906214</x:v>
      </x:c>
      <x:c r="S27" s="19" t="n">
        <x:f>INDEX('角色成长'!$L$6:$L$105,D27)+O27*'参数'!$K$21</x:f>
        <x:v>259.6721051906214</x:v>
      </x:c>
      <x:c r="T27" s="19" t="n">
        <x:f>(INDEX('角色成长'!$J$6:$J$105,D27)+O27*'参数'!$L$21)*(1+'参数'!$B$40*P27)</x:f>
        <x:v>4116.287981889162</x:v>
      </x:c>
      <x:c r="U27" s="19" t="n">
        <x:f>(INDEX('角色成长'!$K$6:$K$105,D27)+O27*'参数'!$M$21)*(1+'参数'!$B$41*P27)</x:f>
        <x:v>216.89172687959854</x:v>
      </x:c>
      <x:c r="V27" s="19" t="n">
        <x:f>(('参数'!$K$5*(((Q27*(1+'参数'!$B$39*P27))^2/((Q27*(1+'参数'!$B$39*P27))+'参数'!$B$22*(I27)))*(1+'参数'!$B$42*P27)/'参数'!$J$5+((Q27*'参数'!$B$43*(1+'参数'!$B$39*P27))^2/((Q27*'参数'!$B$43*(1+'参数'!$B$39*P27))+'参数'!$B$22*(I27)))/'参数'!$B$44))+(((R27*(1+'参数'!$B$39*P27))^2/((R27*(1+'参数'!$B$39*P27))+'参数'!$B$22*(I27)))*(1+'参数'!$B$42*P27)/'参数'!$J$6+((R27*'参数'!$B$45*(1+'参数'!$B$39*P27))^2/((R27*'参数'!$B$45*(1+'参数'!$B$39*P27))+'参数'!$B$22*(I27)))/'参数'!$B$46)+((S27*(1+'参数'!$B$39*P27))^2/((S27*(1+'参数'!$B$39*P27))+'参数'!$B$22*(I27)))*(1+'参数'!$B$42*P27)/'参数'!$J$7)*(1+'参数'!$B$37*('参数'!$B$38-1))*'参数'!$B$25</x:f>
        <x:v>2313.299294964705</x:v>
      </x:c>
      <x:c r="W27" s="19" t="n">
        <x:f>(('参数'!$K$5*(((Q27*(1+'参数'!$B$39*P27))^2/((Q27*(1+'参数'!$B$39*P27))+'参数'!$B$22*(M27)))*(1+'参数'!$B$42*P27)/'参数'!$J$5+((Q27*'参数'!$B$43*(1+'参数'!$B$39*P27))^2/((Q27*'参数'!$B$43*(1+'参数'!$B$39*P27))+'参数'!$B$22*(M27)))/'参数'!$B$44))+(((R27*(1+'参数'!$B$39*P27))^2/((R27*(1+'参数'!$B$39*P27))+'参数'!$B$22*(M27)))*(1+'参数'!$B$42*P27)/'参数'!$J$6+((R27*'参数'!$B$45*(1+'参数'!$B$39*P27))^2/((R27*'参数'!$B$45*(1+'参数'!$B$39*P27))+'参数'!$B$22*(M27)))/'参数'!$B$46)+((S27*(1+'参数'!$B$39*P27))^2/((S27*(1+'参数'!$B$39*P27))+'参数'!$B$22*(M27)))*(1+'参数'!$B$42*P27)/'参数'!$J$7)*(1+'参数'!$B$37*('参数'!$B$38-1))</x:f>
        <x:v>1780.2255280537875</x:v>
      </x:c>
      <x:c r="X27" s="26" t="n">
        <x:f>('参数'!$B$26+'参数'!$B$27*(D27-1)/99)*'参数'!$K$26*AD27</x:f>
        <x:v>13.030303030303031</x:v>
      </x:c>
      <x:c r="Y27" s="26" t="n">
        <x:f>('参数'!$B$28+'参数'!$B$29*(D27-1)/99)*'参数'!$K$26*AD27*IF(AE27=1,'参数'!$B$51,1)</x:f>
        <x:v>33.43434343434343</x:v>
      </x:c>
      <x:c r="Z27" s="22" t="n">
        <x:f>MIN('参数'!$B$36,U27/(U27+'参数'!$B$35))</x:f>
        <x:v>0.051434027935095536</x:v>
      </x:c>
      <x:c r="AA27" s="19" t="n">
        <x:f>T27*'参数'!$B$30/('参数'!$B$32*'参数'!$B$33)/(1-Z27)*AC27</x:f>
        <x:v>108.48712960176455</x:v>
      </x:c>
      <x:c r="AB27" s="19" t="n">
        <x:f>T27*'参数'!$B$31/'参数'!$B$34/(1-Z27)*AC27</x:f>
        <x:v>216.9742592035291</x:v>
      </x:c>
      <x:c r="AC27" s="20" t="n">
        <x:f>'参数'!$L$26*1</x:f>
        <x:v>1</x:v>
      </x:c>
      <x:c r="AD27" s="20" t="n">
        <x:f>1</x:f>
        <x:v>1</x:v>
      </x:c>
      <x:c r="AE27" s="19" t="n">
        <x:f>IF(MOD(B27,12)=0,1,0)</x:f>
        <x:v>0</x:v>
      </x:c>
    </x:row>
    <x:row r="28" ht="22" customHeight="1">
      <x:c r="A28" s="18" t="str">
        <x:v>简单</x:v>
      </x:c>
      <x:c r="B28" s="18" t="n">
        <x:v>23</x:v>
      </x:c>
      <x:c r="C28" s="18" t="n">
        <x:f>ROUNDUP(B28/12,0)</x:f>
        <x:v>2</x:v>
      </x:c>
      <x:c r="D28" s="18" t="n">
        <x:f>ROUND(MAX('参数'!$G$26,E28)+(IF(C28&lt;10,INDEX('参数'!$G$34:$P$34,1,MIN(10,C28+1)),'参数'!$H$26)-MAX('参数'!$G$26,E28))*MOD(B28-1,12)/11,0)</x:f>
        <x:v>19</x:v>
      </x:c>
      <x:c r="E28" s="18" t="n">
        <x:f>INDEX('参数'!$G$34:$P$34,1,C28)</x:f>
        <x:v>10</x:v>
      </x:c>
      <x:c r="F28" s="15" t="n">
        <x:f>'参数'!$I$26</x:f>
        <x:v>1.05</x:v>
      </x:c>
      <x:c r="G28" s="18" t="n">
        <x:f>ROUND(V28*X28/'参数'!$B$56,0)</x:f>
        <x:v>6969</x:v>
      </x:c>
      <x:c r="H28" s="18" t="n">
        <x:f>ROUND((AA28+SQRT(AA28^2+4*AA28*'参数'!$B$22*U28))/2,0)</x:f>
        <x:v>246</x:v>
      </x:c>
      <x:c r="I28" s="18" t="n">
        <x:f>ROUND(Q28*'参数'!$B$23/'参数'!$B$22,0)</x:f>
        <x:v>75</x:v>
      </x:c>
      <x:c r="J28" s="18" t="n">
        <x:f>ROUND(G28*'参数'!$B$50,0)</x:f>
        <x:v>20907</x:v>
      </x:c>
      <x:c r="K28" s="18" t="n">
        <x:f>ROUND(W28*Y28,0)</x:f>
        <x:v>63377</x:v>
      </x:c>
      <x:c r="L28" s="18" t="n">
        <x:f>ROUND((AB28+SQRT(AB28^2+4*AB28*'参数'!$B$22*U28))/2,0)</x:f>
        <x:v>393</x:v>
      </x:c>
      <x:c r="M28" s="18" t="n">
        <x:f>ROUND(I28*'参数'!$B$24,0)</x:f>
        <x:v>94</x:v>
      </x:c>
      <x:c r="N28" s="18" t="n">
        <x:f>'参数'!$B$9*'参数'!$B$10^(D28-1)</x:f>
        <x:v>1021.4598367439428</x:v>
      </x:c>
      <x:c r="O28" s="18" t="n">
        <x:f>'参数'!$B$18*'参数'!$B$19^(MIN(E28,MAX(1,5*INT(D28/5)))-1)*F28*'参数'!$J$26*P28</x:f>
        <x:v>49.66146322871382</x:v>
      </x:c>
      <x:c r="P28" s="21" t="n">
        <x:f>MIN(1,(D28-1)/19)</x:f>
        <x:v>0.9473684210526315</x:v>
      </x:c>
      <x:c r="Q28" s="18" t="n">
        <x:f>INDEX('角色成长'!$F$6:$F$105,D28)+O28*'参数'!$K$21</x:f>
        <x:v>373.5351702018344</x:v>
      </x:c>
      <x:c r="R28" s="18" t="n">
        <x:f>INDEX('角色成长'!$I$6:$I$105,D28)+O28*'参数'!$K$21</x:f>
        <x:v>308.5351702018344</x:v>
      </x:c>
      <x:c r="S28" s="18" t="n">
        <x:f>INDEX('角色成长'!$L$6:$L$105,D28)+O28*'参数'!$K$21</x:f>
        <x:v>271.5351702018344</x:v>
      </x:c>
      <x:c r="T28" s="18" t="n">
        <x:f>(INDEX('角色成长'!$J$6:$J$105,D28)+O28*'参数'!$L$21)*(1+'参数'!$B$40*P28)</x:f>
        <x:v>4310.509329499521</x:v>
      </x:c>
      <x:c r="U28" s="18" t="n">
        <x:f>(INDEX('角色成长'!$K$6:$K$105,D28)+O28*'参数'!$M$21)*(1+'参数'!$B$41*P28)</x:f>
        <x:v>227.60406639606228</x:v>
      </x:c>
      <x:c r="V28" s="18" t="n">
        <x:f>(('参数'!$K$5*(((Q28*(1+'参数'!$B$39*P28))^2/((Q28*(1+'参数'!$B$39*P28))+'参数'!$B$22*(I28)))*(1+'参数'!$B$42*P28)/'参数'!$J$5+((Q28*'参数'!$B$43*(1+'参数'!$B$39*P28))^2/((Q28*'参数'!$B$43*(1+'参数'!$B$39*P28))+'参数'!$B$22*(I28)))/'参数'!$B$44))+(((R28*(1+'参数'!$B$39*P28))^2/((R28*(1+'参数'!$B$39*P28))+'参数'!$B$22*(I28)))*(1+'参数'!$B$42*P28)/'参数'!$J$6+((R28*'参数'!$B$45*(1+'参数'!$B$39*P28))^2/((R28*'参数'!$B$45*(1+'参数'!$B$39*P28))+'参数'!$B$22*(I28)))/'参数'!$B$46)+((S28*(1+'参数'!$B$39*P28))^2/((S28*(1+'参数'!$B$39*P28))+'参数'!$B$22*(I28)))*(1+'参数'!$B$42*P28)/'参数'!$J$7)*(1+'参数'!$B$37*('参数'!$B$38-1))*'参数'!$B$25</x:f>
        <x:v>2448.7912832008815</x:v>
      </x:c>
      <x:c r="W28" s="18" t="n">
        <x:f>(('参数'!$K$5*(((Q28*(1+'参数'!$B$39*P28))^2/((Q28*(1+'参数'!$B$39*P28))+'参数'!$B$22*(M28)))*(1+'参数'!$B$42*P28)/'参数'!$J$5+((Q28*'参数'!$B$43*(1+'参数'!$B$39*P28))^2/((Q28*'参数'!$B$43*(1+'参数'!$B$39*P28))+'参数'!$B$22*(M28)))/'参数'!$B$44))+(((R28*(1+'参数'!$B$39*P28))^2/((R28*(1+'参数'!$B$39*P28))+'参数'!$B$22*(M28)))*(1+'参数'!$B$42*P28)/'参数'!$J$6+((R28*'参数'!$B$45*(1+'参数'!$B$39*P28))^2/((R28*'参数'!$B$45*(1+'参数'!$B$39*P28))+'参数'!$B$22*(M28)))/'参数'!$B$46)+((S28*(1+'参数'!$B$39*P28))^2/((S28*(1+'参数'!$B$39*P28))+'参数'!$B$22*(M28)))*(1+'参数'!$B$42*P28)/'参数'!$J$7)*(1+'参数'!$B$37*('参数'!$B$38-1))</x:f>
        <x:v>1884.1750959708866</x:v>
      </x:c>
      <x:c r="X28" s="25" t="n">
        <x:f>('参数'!$B$26+'参数'!$B$27*(D28-1)/99)*'参数'!$K$26*AD28</x:f>
        <x:v>13.09090909090909</x:v>
      </x:c>
      <x:c r="Y28" s="25" t="n">
        <x:f>('参数'!$B$28+'参数'!$B$29*(D28-1)/99)*'参数'!$K$26*AD28*IF(AE28=1,'参数'!$B$51,1)</x:f>
        <x:v>33.63636363636363</x:v>
      </x:c>
      <x:c r="Z28" s="21" t="n">
        <x:f>MIN('参数'!$B$36,U28/(U28+'参数'!$B$35))</x:f>
        <x:v>0.053837602297059396</x:v>
      </x:c>
      <x:c r="AA28" s="18" t="n">
        <x:f>T28*'参数'!$B$30/('参数'!$B$32*'参数'!$B$33)/(1-Z28)*AC28</x:f>
        <x:v>113.89454231018962</x:v>
      </x:c>
      <x:c r="AB28" s="18" t="n">
        <x:f>T28*'参数'!$B$31/'参数'!$B$34/(1-Z28)*AC28</x:f>
        <x:v>227.78908462037924</x:v>
      </x:c>
      <x:c r="AC28" s="15" t="n">
        <x:f>'参数'!$L$26*1</x:f>
        <x:v>1</x:v>
      </x:c>
      <x:c r="AD28" s="15" t="n">
        <x:f>1</x:f>
        <x:v>1</x:v>
      </x:c>
      <x:c r="AE28" s="18" t="n">
        <x:f>IF(MOD(B28,12)=0,1,0)</x:f>
        <x:v>0</x:v>
      </x:c>
    </x:row>
    <x:row r="29" ht="22" customHeight="1">
      <x:c r="A29" s="19" t="str">
        <x:v>简单</x:v>
      </x:c>
      <x:c r="B29" s="19" t="n">
        <x:v>24</x:v>
      </x:c>
      <x:c r="C29" s="19" t="n">
        <x:f>ROUNDUP(B29/12,0)</x:f>
        <x:v>2</x:v>
      </x:c>
      <x:c r="D29" s="19" t="n">
        <x:f>ROUND(MAX('参数'!$G$26,E29)+(IF(C29&lt;10,INDEX('参数'!$G$34:$P$34,1,MIN(10,C29+1)),'参数'!$H$26)-MAX('参数'!$G$26,E29))*MOD(B29-1,12)/11,0)</x:f>
        <x:v>20</x:v>
      </x:c>
      <x:c r="E29" s="19" t="n">
        <x:f>INDEX('参数'!$G$34:$P$34,1,C29)</x:f>
        <x:v>10</x:v>
      </x:c>
      <x:c r="F29" s="20" t="n">
        <x:f>'参数'!$I$26</x:f>
        <x:v>1.05</x:v>
      </x:c>
      <x:c r="G29" s="19" t="n">
        <x:f>ROUND(V29*X29/'参数'!$B$56,0)</x:f>
        <x:v>7404</x:v>
      </x:c>
      <x:c r="H29" s="19" t="n">
        <x:f>ROUND((AA29+SQRT(AA29^2+4*AA29*'参数'!$B$22*U29))/2,0)</x:f>
        <x:v>258</x:v>
      </x:c>
      <x:c r="I29" s="19" t="n">
        <x:f>ROUND(Q29*'参数'!$B$23/'参数'!$B$22,0)</x:f>
        <x:v>78</x:v>
      </x:c>
      <x:c r="J29" s="19" t="n">
        <x:f>ROUND(G29*'参数'!$B$50,0)</x:f>
        <x:v>22212</x:v>
      </x:c>
      <x:c r="K29" s="19" t="n">
        <x:f>ROUND(W29*Y29,0)</x:f>
        <x:v>77528</x:v>
      </x:c>
      <x:c r="L29" s="19" t="n">
        <x:f>ROUND((AB29+SQRT(AB29^2+4*AB29*'参数'!$B$22*U29))/2,0)</x:f>
        <x:v>412</x:v>
      </x:c>
      <x:c r="M29" s="19" t="n">
        <x:f>ROUND(I29*'参数'!$B$24,0)</x:f>
        <x:v>98</x:v>
      </x:c>
      <x:c r="N29" s="19" t="n">
        <x:f>'参数'!$B$9*'参数'!$B$10^(D29-1)</x:f>
        <x:v>1052.103631846261</x:v>
      </x:c>
      <x:c r="O29" s="19" t="n">
        <x:f>'参数'!$B$18*'参数'!$B$19^(MIN(E29,MAX(1,5*INT(D29/5)))-1)*F29*'参数'!$J$26*P29</x:f>
        <x:v>52.420433408086815</x:v>
      </x:c>
      <x:c r="P29" s="22" t="n">
        <x:f>MIN(1,(D29-1)/19)</x:f>
        <x:v>1</x:v>
      </x:c>
      <x:c r="Q29" s="19" t="n">
        <x:f>INDEX('角色成长'!$F$6:$F$105,D29)+O29*'参数'!$K$21</x:f>
        <x:v>389.3982352130474</x:v>
      </x:c>
      <x:c r="R29" s="19" t="n">
        <x:f>INDEX('角色成长'!$I$6:$I$105,D29)+O29*'参数'!$K$21</x:f>
        <x:v>322.3982352130474</x:v>
      </x:c>
      <x:c r="S29" s="19" t="n">
        <x:f>INDEX('角色成长'!$L$6:$L$105,D29)+O29*'参数'!$K$21</x:f>
        <x:v>284.3982352130474</x:v>
      </x:c>
      <x:c r="T29" s="19" t="n">
        <x:f>(INDEX('角色成长'!$J$6:$J$105,D29)+O29*'参数'!$L$21)*(1+'参数'!$B$40*P29)</x:f>
        <x:v>4510.80698382548</x:v>
      </x:c>
      <x:c r="U29" s="19" t="n">
        <x:f>(INDEX('角色成长'!$K$6:$K$105,D29)+O29*'参数'!$M$21)*(1+'参数'!$B$41*P29)</x:f>
        <x:v>238.40933431056715</x:v>
      </x:c>
      <x:c r="V29" s="19" t="n">
        <x:f>(('参数'!$K$5*(((Q29*(1+'参数'!$B$39*P29))^2/((Q29*(1+'参数'!$B$39*P29))+'参数'!$B$22*(I29)))*(1+'参数'!$B$42*P29)/'参数'!$J$5+((Q29*'参数'!$B$43*(1+'参数'!$B$39*P29))^2/((Q29*'参数'!$B$43*(1+'参数'!$B$39*P29))+'参数'!$B$22*(I29)))/'参数'!$B$44))+(((R29*(1+'参数'!$B$39*P29))^2/((R29*(1+'参数'!$B$39*P29))+'参数'!$B$22*(I29)))*(1+'参数'!$B$42*P29)/'参数'!$J$6+((R29*'参数'!$B$45*(1+'参数'!$B$39*P29))^2/((R29*'参数'!$B$45*(1+'参数'!$B$39*P29))+'参数'!$B$22*(I29)))/'参数'!$B$46)+((S29*(1+'参数'!$B$39*P29))^2/((S29*(1+'参数'!$B$39*P29))+'参数'!$B$22*(I29)))*(1+'参数'!$B$42*P29)/'参数'!$J$7)*(1+'参数'!$B$37*('参数'!$B$38-1))*'参数'!$B$25</x:f>
        <x:v>2589.57670432127</x:v>
      </x:c>
      <x:c r="W29" s="19" t="n">
        <x:f>(('参数'!$K$5*(((Q29*(1+'参数'!$B$39*P29))^2/((Q29*(1+'参数'!$B$39*P29))+'参数'!$B$22*(M29)))*(1+'参数'!$B$42*P29)/'参数'!$J$5+((Q29*'参数'!$B$43*(1+'参数'!$B$39*P29))^2/((Q29*'参数'!$B$43*(1+'参数'!$B$39*P29))+'参数'!$B$22*(M29)))/'参数'!$B$44))+(((R29*(1+'参数'!$B$39*P29))^2/((R29*(1+'参数'!$B$39*P29))+'参数'!$B$22*(M29)))*(1+'参数'!$B$42*P29)/'参数'!$J$6+((R29*'参数'!$B$45*(1+'参数'!$B$39*P29))^2/((R29*'参数'!$B$45*(1+'参数'!$B$39*P29))+'参数'!$B$22*(M29)))/'参数'!$B$46)+((S29*(1+'参数'!$B$39*P29))^2/((S29*(1+'参数'!$B$39*P29))+'参数'!$B$22*(M29)))*(1+'参数'!$B$42*P29)/'参数'!$J$7)*(1+'参数'!$B$37*('参数'!$B$38-1))</x:f>
        <x:v>1992.2719033317999</x:v>
      </x:c>
      <x:c r="X29" s="26" t="n">
        <x:f>('参数'!$B$26+'参数'!$B$27*(D29-1)/99)*'参数'!$K$26*AD29</x:f>
        <x:v>13.151515151515152</x:v>
      </x:c>
      <x:c r="Y29" s="26" t="n">
        <x:f>('参数'!$B$28+'参数'!$B$29*(D29-1)/99)*'参数'!$K$26*AD29*IF(AE29=1,'参数'!$B$51,1)</x:f>
        <x:v>38.91414141414141</x:v>
      </x:c>
      <x:c r="Z29" s="22" t="n">
        <x:f>MIN('参数'!$B$36,U29/(U29+'参数'!$B$35))</x:f>
        <x:v>0.05624971905865896</x:v>
      </x:c>
      <x:c r="AA29" s="19" t="n">
        <x:f>T29*'参数'!$B$30/('参数'!$B$32*'参数'!$B$33)/(1-Z29)*AC29</x:f>
        <x:v>119.49154015949505</x:v>
      </x:c>
      <x:c r="AB29" s="19" t="n">
        <x:f>T29*'参数'!$B$31/'参数'!$B$34/(1-Z29)*AC29</x:f>
        <x:v>238.9830803189901</x:v>
      </x:c>
      <x:c r="AC29" s="20" t="n">
        <x:f>'参数'!$L$26*1</x:f>
        <x:v>1</x:v>
      </x:c>
      <x:c r="AD29" s="20" t="n">
        <x:f>1</x:f>
        <x:v>1</x:v>
      </x:c>
      <x:c r="AE29" s="19" t="n">
        <x:f>IF(MOD(B29,12)=0,1,0)</x:f>
        <x:v>1</x:v>
      </x:c>
    </x:row>
    <x:row r="30" ht="22" customHeight="1">
      <x:c r="A30" s="18" t="str">
        <x:v>简单</x:v>
      </x:c>
      <x:c r="B30" s="18" t="n">
        <x:v>25</x:v>
      </x:c>
      <x:c r="C30" s="18" t="n">
        <x:f>ROUNDUP(B30/12,0)</x:f>
        <x:v>3</x:v>
      </x:c>
      <x:c r="D30" s="18" t="n">
        <x:f>ROUND(MAX('参数'!$G$26,E30)+(IF(C30&lt;10,INDEX('参数'!$G$34:$P$34,1,MIN(10,C30+1)),'参数'!$H$26)-MAX('参数'!$G$26,E30))*MOD(B30-1,12)/11,0)</x:f>
        <x:v>20</x:v>
      </x:c>
      <x:c r="E30" s="18" t="n">
        <x:f>INDEX('参数'!$G$34:$P$34,1,C30)</x:f>
        <x:v>20</x:v>
      </x:c>
      <x:c r="F30" s="15" t="n">
        <x:f>'参数'!$I$26</x:f>
        <x:v>1.05</x:v>
      </x:c>
      <x:c r="G30" s="18" t="n">
        <x:f>ROUND(V30*X30/'参数'!$B$56,0)</x:f>
        <x:v>8745</x:v>
      </x:c>
      <x:c r="H30" s="18" t="n">
        <x:f>ROUND((AA30+SQRT(AA30^2+4*AA30*'参数'!$B$22*U30))/2,0)</x:f>
        <x:v>297</x:v>
      </x:c>
      <x:c r="I30" s="18" t="n">
        <x:f>ROUND(Q30*'参数'!$B$23/'参数'!$B$22,0)</x:f>
        <x:v>91</x:v>
      </x:c>
      <x:c r="J30" s="18" t="n">
        <x:f>ROUND(G30*'参数'!$B$50,0)</x:f>
        <x:v>26235</x:v>
      </x:c>
      <x:c r="K30" s="18" t="n">
        <x:f>ROUND(W30*Y30,0)</x:f>
        <x:v>79697</x:v>
      </x:c>
      <x:c r="L30" s="18" t="n">
        <x:f>ROUND((AB30+SQRT(AB30^2+4*AB30*'参数'!$B$22*U30))/2,0)</x:f>
        <x:v>474</x:v>
      </x:c>
      <x:c r="M30" s="18" t="n">
        <x:f>ROUND(I30*'参数'!$B$24,0)</x:f>
        <x:v>114</x:v>
      </x:c>
      <x:c r="N30" s="18" t="n">
        <x:f>'参数'!$B$9*'参数'!$B$10^(D30-1)</x:f>
        <x:v>1052.103631846261</x:v>
      </x:c>
      <x:c r="O30" s="18" t="n">
        <x:f>'参数'!$B$18*'参数'!$B$19^(MIN(E30,MAX(1,5*INT(D30/5)))-1)*F30*'参数'!$J$26*P30</x:f>
        <x:v>75.38556102442476</x:v>
      </x:c>
      <x:c r="P30" s="21" t="n">
        <x:f>MIN(1,(D30-1)/19)</x:f>
        <x:v>1</x:v>
      </x:c>
      <x:c r="Q30" s="18" t="n">
        <x:f>INDEX('角色成长'!$F$6:$F$105,D30)+O30*'参数'!$K$21</x:f>
        <x:v>454.84884891961053</x:v>
      </x:c>
      <x:c r="R30" s="18" t="n">
        <x:f>INDEX('角色成长'!$I$6:$I$105,D30)+O30*'参数'!$K$21</x:f>
        <x:v>387.84884891961053</x:v>
      </x:c>
      <x:c r="S30" s="18" t="n">
        <x:f>INDEX('角色成长'!$L$6:$L$105,D30)+O30*'参数'!$K$21</x:f>
        <x:v>349.84884891961053</x:v>
      </x:c>
      <x:c r="T30" s="18" t="n">
        <x:f>(INDEX('角色成长'!$J$6:$J$105,D30)+O30*'参数'!$L$21)*(1+'参数'!$B$40*P30)</x:f>
        <x:v>5071.615400216453</x:v>
      </x:c>
      <x:c r="U30" s="18" t="n">
        <x:f>(INDEX('角色成长'!$K$6:$K$105,D30)+O30*'参数'!$M$21)*(1+'参数'!$B$41*P30)</x:f>
        <x:v>282.6172049720177</x:v>
      </x:c>
      <x:c r="V30" s="18" t="n">
        <x:f>(('参数'!$K$5*(((Q30*(1+'参数'!$B$39*P30))^2/((Q30*(1+'参数'!$B$39*P30))+'参数'!$B$22*(I30)))*(1+'参数'!$B$42*P30)/'参数'!$J$5+((Q30*'参数'!$B$43*(1+'参数'!$B$39*P30))^2/((Q30*'参数'!$B$43*(1+'参数'!$B$39*P30))+'参数'!$B$22*(I30)))/'参数'!$B$44))+(((R30*(1+'参数'!$B$39*P30))^2/((R30*(1+'参数'!$B$39*P30))+'参数'!$B$22*(I30)))*(1+'参数'!$B$42*P30)/'参数'!$J$6+((R30*'参数'!$B$45*(1+'参数'!$B$39*P30))^2/((R30*'参数'!$B$45*(1+'参数'!$B$39*P30))+'参数'!$B$22*(I30)))/'参数'!$B$46)+((S30*(1+'参数'!$B$39*P30))^2/((S30*(1+'参数'!$B$39*P30))+'参数'!$B$22*(I30)))*(1+'参数'!$B$42*P30)/'参数'!$J$7)*(1+'参数'!$B$37*('参数'!$B$38-1))*'参数'!$B$25</x:f>
        <x:v>3058.867571153619</x:v>
      </x:c>
      <x:c r="W30" s="18" t="n">
        <x:f>(('参数'!$K$5*(((Q30*(1+'参数'!$B$39*P30))^2/((Q30*(1+'参数'!$B$39*P30))+'参数'!$B$22*(M30)))*(1+'参数'!$B$42*P30)/'参数'!$J$5+((Q30*'参数'!$B$43*(1+'参数'!$B$39*P30))^2/((Q30*'参数'!$B$43*(1+'参数'!$B$39*P30))+'参数'!$B$22*(M30)))/'参数'!$B$44))+(((R30*(1+'参数'!$B$39*P30))^2/((R30*(1+'参数'!$B$39*P30))+'参数'!$B$22*(M30)))*(1+'参数'!$B$42*P30)/'参数'!$J$6+((R30*'参数'!$B$45*(1+'参数'!$B$39*P30))^2/((R30*'参数'!$B$45*(1+'参数'!$B$39*P30))+'参数'!$B$22*(M30)))/'参数'!$B$46)+((S30*(1+'参数'!$B$39*P30))^2/((S30*(1+'参数'!$B$39*P30))+'参数'!$B$22*(M30)))*(1+'参数'!$B$42*P30)/'参数'!$J$7)*(1+'参数'!$B$37*('参数'!$B$38-1))</x:f>
        <x:v>2355.213209493429</x:v>
      </x:c>
      <x:c r="X30" s="25" t="n">
        <x:f>('参数'!$B$26+'参数'!$B$27*(D30-1)/99)*'参数'!$K$26*AD30</x:f>
        <x:v>13.151515151515152</x:v>
      </x:c>
      <x:c r="Y30" s="25" t="n">
        <x:f>('参数'!$B$28+'参数'!$B$29*(D30-1)/99)*'参数'!$K$26*AD30*IF(AE30=1,'参数'!$B$51,1)</x:f>
        <x:v>33.83838383838384</x:v>
      </x:c>
      <x:c r="Z30" s="21" t="n">
        <x:f>MIN('参数'!$B$36,U30/(U30+'参数'!$B$35))</x:f>
        <x:v>0.06599170354144791</x:v>
      </x:c>
      <x:c r="AA30" s="18" t="n">
        <x:f>T30*'参数'!$B$30/('参数'!$B$32*'参数'!$B$33)/(1-Z30)*AC30</x:f>
        <x:v>135.74867106230016</x:v>
      </x:c>
      <x:c r="AB30" s="18" t="n">
        <x:f>T30*'参数'!$B$31/'参数'!$B$34/(1-Z30)*AC30</x:f>
        <x:v>271.4973421246003</x:v>
      </x:c>
      <x:c r="AC30" s="15" t="n">
        <x:f>'参数'!$L$26*1</x:f>
        <x:v>1</x:v>
      </x:c>
      <x:c r="AD30" s="15" t="n">
        <x:f>1</x:f>
        <x:v>1</x:v>
      </x:c>
      <x:c r="AE30" s="18" t="n">
        <x:f>IF(MOD(B30,12)=0,1,0)</x:f>
        <x:v>0</x:v>
      </x:c>
    </x:row>
    <x:row r="31" ht="22" customHeight="1">
      <x:c r="A31" s="19" t="str">
        <x:v>简单</x:v>
      </x:c>
      <x:c r="B31" s="19" t="n">
        <x:v>26</x:v>
      </x:c>
      <x:c r="C31" s="19" t="n">
        <x:f>ROUNDUP(B31/12,0)</x:f>
        <x:v>3</x:v>
      </x:c>
      <x:c r="D31" s="19" t="n">
        <x:f>ROUND(MAX('参数'!$G$26,E31)+(IF(C31&lt;10,INDEX('参数'!$G$34:$P$34,1,MIN(10,C31+1)),'参数'!$H$26)-MAX('参数'!$G$26,E31))*MOD(B31-1,12)/11,0)</x:f>
        <x:v>20</x:v>
      </x:c>
      <x:c r="E31" s="19" t="n">
        <x:f>INDEX('参数'!$G$34:$P$34,1,C31)</x:f>
        <x:v>20</x:v>
      </x:c>
      <x:c r="F31" s="20" t="n">
        <x:f>'参数'!$I$26</x:f>
        <x:v>1.05</x:v>
      </x:c>
      <x:c r="G31" s="19" t="n">
        <x:f>ROUND(V31*X31/'参数'!$B$56,0)</x:f>
        <x:v>8745</x:v>
      </x:c>
      <x:c r="H31" s="19" t="n">
        <x:f>ROUND((AA31+SQRT(AA31^2+4*AA31*'参数'!$B$22*U31))/2,0)</x:f>
        <x:v>297</x:v>
      </x:c>
      <x:c r="I31" s="19" t="n">
        <x:f>ROUND(Q31*'参数'!$B$23/'参数'!$B$22,0)</x:f>
        <x:v>91</x:v>
      </x:c>
      <x:c r="J31" s="19" t="n">
        <x:f>ROUND(G31*'参数'!$B$50,0)</x:f>
        <x:v>26235</x:v>
      </x:c>
      <x:c r="K31" s="19" t="n">
        <x:f>ROUND(W31*Y31,0)</x:f>
        <x:v>79697</x:v>
      </x:c>
      <x:c r="L31" s="19" t="n">
        <x:f>ROUND((AB31+SQRT(AB31^2+4*AB31*'参数'!$B$22*U31))/2,0)</x:f>
        <x:v>474</x:v>
      </x:c>
      <x:c r="M31" s="19" t="n">
        <x:f>ROUND(I31*'参数'!$B$24,0)</x:f>
        <x:v>114</x:v>
      </x:c>
      <x:c r="N31" s="19" t="n">
        <x:f>'参数'!$B$9*'参数'!$B$10^(D31-1)</x:f>
        <x:v>1052.103631846261</x:v>
      </x:c>
      <x:c r="O31" s="19" t="n">
        <x:f>'参数'!$B$18*'参数'!$B$19^(MIN(E31,MAX(1,5*INT(D31/5)))-1)*F31*'参数'!$J$26*P31</x:f>
        <x:v>75.38556102442476</x:v>
      </x:c>
      <x:c r="P31" s="22" t="n">
        <x:f>MIN(1,(D31-1)/19)</x:f>
        <x:v>1</x:v>
      </x:c>
      <x:c r="Q31" s="19" t="n">
        <x:f>INDEX('角色成长'!$F$6:$F$105,D31)+O31*'参数'!$K$21</x:f>
        <x:v>454.84884891961053</x:v>
      </x:c>
      <x:c r="R31" s="19" t="n">
        <x:f>INDEX('角色成长'!$I$6:$I$105,D31)+O31*'参数'!$K$21</x:f>
        <x:v>387.84884891961053</x:v>
      </x:c>
      <x:c r="S31" s="19" t="n">
        <x:f>INDEX('角色成长'!$L$6:$L$105,D31)+O31*'参数'!$K$21</x:f>
        <x:v>349.84884891961053</x:v>
      </x:c>
      <x:c r="T31" s="19" t="n">
        <x:f>(INDEX('角色成长'!$J$6:$J$105,D31)+O31*'参数'!$L$21)*(1+'参数'!$B$40*P31)</x:f>
        <x:v>5071.615400216453</x:v>
      </x:c>
      <x:c r="U31" s="19" t="n">
        <x:f>(INDEX('角色成长'!$K$6:$K$105,D31)+O31*'参数'!$M$21)*(1+'参数'!$B$41*P31)</x:f>
        <x:v>282.6172049720177</x:v>
      </x:c>
      <x:c r="V31" s="19" t="n">
        <x:f>(('参数'!$K$5*(((Q31*(1+'参数'!$B$39*P31))^2/((Q31*(1+'参数'!$B$39*P31))+'参数'!$B$22*(I31)))*(1+'参数'!$B$42*P31)/'参数'!$J$5+((Q31*'参数'!$B$43*(1+'参数'!$B$39*P31))^2/((Q31*'参数'!$B$43*(1+'参数'!$B$39*P31))+'参数'!$B$22*(I31)))/'参数'!$B$44))+(((R31*(1+'参数'!$B$39*P31))^2/((R31*(1+'参数'!$B$39*P31))+'参数'!$B$22*(I31)))*(1+'参数'!$B$42*P31)/'参数'!$J$6+((R31*'参数'!$B$45*(1+'参数'!$B$39*P31))^2/((R31*'参数'!$B$45*(1+'参数'!$B$39*P31))+'参数'!$B$22*(I31)))/'参数'!$B$46)+((S31*(1+'参数'!$B$39*P31))^2/((S31*(1+'参数'!$B$39*P31))+'参数'!$B$22*(I31)))*(1+'参数'!$B$42*P31)/'参数'!$J$7)*(1+'参数'!$B$37*('参数'!$B$38-1))*'参数'!$B$25</x:f>
        <x:v>3058.867571153619</x:v>
      </x:c>
      <x:c r="W31" s="19" t="n">
        <x:f>(('参数'!$K$5*(((Q31*(1+'参数'!$B$39*P31))^2/((Q31*(1+'参数'!$B$39*P31))+'参数'!$B$22*(M31)))*(1+'参数'!$B$42*P31)/'参数'!$J$5+((Q31*'参数'!$B$43*(1+'参数'!$B$39*P31))^2/((Q31*'参数'!$B$43*(1+'参数'!$B$39*P31))+'参数'!$B$22*(M31)))/'参数'!$B$44))+(((R31*(1+'参数'!$B$39*P31))^2/((R31*(1+'参数'!$B$39*P31))+'参数'!$B$22*(M31)))*(1+'参数'!$B$42*P31)/'参数'!$J$6+((R31*'参数'!$B$45*(1+'参数'!$B$39*P31))^2/((R31*'参数'!$B$45*(1+'参数'!$B$39*P31))+'参数'!$B$22*(M31)))/'参数'!$B$46)+((S31*(1+'参数'!$B$39*P31))^2/((S31*(1+'参数'!$B$39*P31))+'参数'!$B$22*(M31)))*(1+'参数'!$B$42*P31)/'参数'!$J$7)*(1+'参数'!$B$37*('参数'!$B$38-1))</x:f>
        <x:v>2355.213209493429</x:v>
      </x:c>
      <x:c r="X31" s="26" t="n">
        <x:f>('参数'!$B$26+'参数'!$B$27*(D31-1)/99)*'参数'!$K$26*AD31</x:f>
        <x:v>13.151515151515152</x:v>
      </x:c>
      <x:c r="Y31" s="26" t="n">
        <x:f>('参数'!$B$28+'参数'!$B$29*(D31-1)/99)*'参数'!$K$26*AD31*IF(AE31=1,'参数'!$B$51,1)</x:f>
        <x:v>33.83838383838384</x:v>
      </x:c>
      <x:c r="Z31" s="22" t="n">
        <x:f>MIN('参数'!$B$36,U31/(U31+'参数'!$B$35))</x:f>
        <x:v>0.06599170354144791</x:v>
      </x:c>
      <x:c r="AA31" s="19" t="n">
        <x:f>T31*'参数'!$B$30/('参数'!$B$32*'参数'!$B$33)/(1-Z31)*AC31</x:f>
        <x:v>135.74867106230016</x:v>
      </x:c>
      <x:c r="AB31" s="19" t="n">
        <x:f>T31*'参数'!$B$31/'参数'!$B$34/(1-Z31)*AC31</x:f>
        <x:v>271.4973421246003</x:v>
      </x:c>
      <x:c r="AC31" s="20" t="n">
        <x:f>'参数'!$L$26*1</x:f>
        <x:v>1</x:v>
      </x:c>
      <x:c r="AD31" s="20" t="n">
        <x:f>1</x:f>
        <x:v>1</x:v>
      </x:c>
      <x:c r="AE31" s="19" t="n">
        <x:f>IF(MOD(B31,12)=0,1,0)</x:f>
        <x:v>0</x:v>
      </x:c>
    </x:row>
    <x:row r="32" ht="22" customHeight="1">
      <x:c r="A32" s="18" t="str">
        <x:v>简单</x:v>
      </x:c>
      <x:c r="B32" s="18" t="n">
        <x:v>27</x:v>
      </x:c>
      <x:c r="C32" s="18" t="n">
        <x:f>ROUNDUP(B32/12,0)</x:f>
        <x:v>3</x:v>
      </x:c>
      <x:c r="D32" s="18" t="n">
        <x:f>ROUND(MAX('参数'!$G$26,E32)+(IF(C32&lt;10,INDEX('参数'!$G$34:$P$34,1,MIN(10,C32+1)),'参数'!$H$26)-MAX('参数'!$G$26,E32))*MOD(B32-1,12)/11,0)</x:f>
        <x:v>21</x:v>
      </x:c>
      <x:c r="E32" s="18" t="n">
        <x:f>INDEX('参数'!$G$34:$P$34,1,C32)</x:f>
        <x:v>20</x:v>
      </x:c>
      <x:c r="F32" s="15" t="n">
        <x:f>'参数'!$I$26</x:f>
        <x:v>1.05</x:v>
      </x:c>
      <x:c r="G32" s="18" t="n">
        <x:f>ROUND(V32*X32/'参数'!$B$56,0)</x:f>
        <x:v>8941</x:v>
      </x:c>
      <x:c r="H32" s="18" t="n">
        <x:f>ROUND((AA32+SQRT(AA32^2+4*AA32*'参数'!$B$22*U32))/2,0)</x:f>
        <x:v>303</x:v>
      </x:c>
      <x:c r="I32" s="18" t="n">
        <x:f>ROUND(Q32*'参数'!$B$23/'参数'!$B$22,0)</x:f>
        <x:v>93</x:v>
      </x:c>
      <x:c r="J32" s="18" t="n">
        <x:f>ROUND(G32*'参数'!$B$50,0)</x:f>
        <x:v>26823</x:v>
      </x:c>
      <x:c r="K32" s="18" t="n">
        <x:f>ROUND(W32*Y32,0)</x:f>
        <x:v>81651</x:v>
      </x:c>
      <x:c r="L32" s="18" t="n">
        <x:f>ROUND((AB32+SQRT(AB32^2+4*AB32*'参数'!$B$22*U32))/2,0)</x:f>
        <x:v>484</x:v>
      </x:c>
      <x:c r="M32" s="18" t="n">
        <x:f>ROUND(I32*'参数'!$B$24,0)</x:f>
        <x:v>116</x:v>
      </x:c>
      <x:c r="N32" s="18" t="n">
        <x:f>'参数'!$B$9*'参数'!$B$10^(D32-1)</x:f>
        <x:v>1083.666740801649</x:v>
      </x:c>
      <x:c r="O32" s="18" t="n">
        <x:f>'参数'!$B$18*'参数'!$B$19^(MIN(E32,MAX(1,5*INT(D32/5)))-1)*F32*'参数'!$J$26*P32</x:f>
        <x:v>75.38556102442476</x:v>
      </x:c>
      <x:c r="P32" s="21" t="n">
        <x:f>MIN(1,(D32-1)/19)</x:f>
        <x:v>1</x:v>
      </x:c>
      <x:c r="Q32" s="18" t="n">
        <x:f>INDEX('角色成长'!$F$6:$F$105,D32)+O32*'参数'!$K$21</x:f>
        <x:v>463.84884891961053</x:v>
      </x:c>
      <x:c r="R32" s="18" t="n">
        <x:f>INDEX('角色成长'!$I$6:$I$105,D32)+O32*'参数'!$K$21</x:f>
        <x:v>393.84884891961053</x:v>
      </x:c>
      <x:c r="S32" s="18" t="n">
        <x:f>INDEX('角色成长'!$L$6:$L$105,D32)+O32*'参数'!$K$21</x:f>
        <x:v>353.84884891961053</x:v>
      </x:c>
      <x:c r="T32" s="18" t="n">
        <x:f>(INDEX('角色成长'!$J$6:$J$105,D32)+O32*'参数'!$L$21)*(1+'参数'!$B$40*P32)</x:f>
        <x:v>5188.215400216453</x:v>
      </x:c>
      <x:c r="U32" s="18" t="n">
        <x:f>(INDEX('角色成长'!$K$6:$K$105,D32)+O32*'参数'!$M$21)*(1+'参数'!$B$41*P32)</x:f>
        <x:v>287.0172049720177</x:v>
      </x:c>
      <x:c r="V32" s="18" t="n">
        <x:f>(('参数'!$K$5*(((Q32*(1+'参数'!$B$39*P32))^2/((Q32*(1+'参数'!$B$39*P32))+'参数'!$B$22*(I32)))*(1+'参数'!$B$42*P32)/'参数'!$J$5+((Q32*'参数'!$B$43*(1+'参数'!$B$39*P32))^2/((Q32*'参数'!$B$43*(1+'参数'!$B$39*P32))+'参数'!$B$22*(I32)))/'参数'!$B$44))+(((R32*(1+'参数'!$B$39*P32))^2/((R32*(1+'参数'!$B$39*P32))+'参数'!$B$22*(I32)))*(1+'参数'!$B$42*P32)/'参数'!$J$6+((R32*'参数'!$B$45*(1+'参数'!$B$39*P32))^2/((R32*'参数'!$B$45*(1+'参数'!$B$39*P32))+'参数'!$B$22*(I32)))/'参数'!$B$46)+((S32*(1+'参数'!$B$39*P32))^2/((S32*(1+'参数'!$B$39*P32))+'参数'!$B$22*(I32)))*(1+'参数'!$B$42*P32)/'参数'!$J$7)*(1+'参数'!$B$37*('参数'!$B$38-1))*'参数'!$B$25</x:f>
        <x:v>3113.079493534913</x:v>
      </x:c>
      <x:c r="W32" s="18" t="n">
        <x:f>(('参数'!$K$5*(((Q32*(1+'参数'!$B$39*P32))^2/((Q32*(1+'参数'!$B$39*P32))+'参数'!$B$22*(M32)))*(1+'参数'!$B$42*P32)/'参数'!$J$5+((Q32*'参数'!$B$43*(1+'参数'!$B$39*P32))^2/((Q32*'参数'!$B$43*(1+'参数'!$B$39*P32))+'参数'!$B$22*(M32)))/'参数'!$B$44))+(((R32*(1+'参数'!$B$39*P32))^2/((R32*(1+'参数'!$B$39*P32))+'参数'!$B$22*(M32)))*(1+'参数'!$B$42*P32)/'参数'!$J$6+((R32*'参数'!$B$45*(1+'参数'!$B$39*P32))^2/((R32*'参数'!$B$45*(1+'参数'!$B$39*P32))+'参数'!$B$22*(M32)))/'参数'!$B$46)+((S32*(1+'参数'!$B$39*P32))^2/((S32*(1+'参数'!$B$39*P32))+'参数'!$B$22*(M32)))*(1+'参数'!$B$42*P32)/'参数'!$J$7)*(1+'参数'!$B$37*('参数'!$B$38-1))</x:f>
        <x:v>2398.6490970796485</x:v>
      </x:c>
      <x:c r="X32" s="25" t="n">
        <x:f>('参数'!$B$26+'参数'!$B$27*(D32-1)/99)*'参数'!$K$26*AD32</x:f>
        <x:v>13.212121212121213</x:v>
      </x:c>
      <x:c r="Y32" s="25" t="n">
        <x:f>('参数'!$B$28+'参数'!$B$29*(D32-1)/99)*'参数'!$K$26*AD32*IF(AE32=1,'参数'!$B$51,1)</x:f>
        <x:v>34.04040404040404</x:v>
      </x:c>
      <x:c r="Z32" s="21" t="n">
        <x:f>MIN('参数'!$B$36,U32/(U32+'参数'!$B$35))</x:f>
        <x:v>0.0669503272902986</x:v>
      </x:c>
      <x:c r="AA32" s="18" t="n">
        <x:f>T32*'参数'!$B$30/('参数'!$B$32*'参数'!$B$33)/(1-Z32)*AC32</x:f>
        <x:v>139.0123042739295</x:v>
      </x:c>
      <x:c r="AB32" s="18" t="n">
        <x:f>T32*'参数'!$B$31/'参数'!$B$34/(1-Z32)*AC32</x:f>
        <x:v>278.024608547859</x:v>
      </x:c>
      <x:c r="AC32" s="15" t="n">
        <x:f>'参数'!$L$26*1</x:f>
        <x:v>1</x:v>
      </x:c>
      <x:c r="AD32" s="15" t="n">
        <x:f>1</x:f>
        <x:v>1</x:v>
      </x:c>
      <x:c r="AE32" s="18" t="n">
        <x:f>IF(MOD(B32,12)=0,1,0)</x:f>
        <x:v>0</x:v>
      </x:c>
    </x:row>
    <x:row r="33" ht="22" customHeight="1">
      <x:c r="A33" s="19" t="str">
        <x:v>简单</x:v>
      </x:c>
      <x:c r="B33" s="19" t="n">
        <x:v>28</x:v>
      </x:c>
      <x:c r="C33" s="19" t="n">
        <x:f>ROUNDUP(B33/12,0)</x:f>
        <x:v>3</x:v>
      </x:c>
      <x:c r="D33" s="19" t="n">
        <x:f>ROUND(MAX('参数'!$G$26,E33)+(IF(C33&lt;10,INDEX('参数'!$G$34:$P$34,1,MIN(10,C33+1)),'参数'!$H$26)-MAX('参数'!$G$26,E33))*MOD(B33-1,12)/11,0)</x:f>
        <x:v>21</x:v>
      </x:c>
      <x:c r="E33" s="19" t="n">
        <x:f>INDEX('参数'!$G$34:$P$34,1,C33)</x:f>
        <x:v>20</x:v>
      </x:c>
      <x:c r="F33" s="20" t="n">
        <x:f>'参数'!$I$26</x:f>
        <x:v>1.05</x:v>
      </x:c>
      <x:c r="G33" s="19" t="n">
        <x:f>ROUND(V33*X33/'参数'!$B$56,0)</x:f>
        <x:v>8941</x:v>
      </x:c>
      <x:c r="H33" s="19" t="n">
        <x:f>ROUND((AA33+SQRT(AA33^2+4*AA33*'参数'!$B$22*U33))/2,0)</x:f>
        <x:v>303</x:v>
      </x:c>
      <x:c r="I33" s="19" t="n">
        <x:f>ROUND(Q33*'参数'!$B$23/'参数'!$B$22,0)</x:f>
        <x:v>93</x:v>
      </x:c>
      <x:c r="J33" s="19" t="n">
        <x:f>ROUND(G33*'参数'!$B$50,0)</x:f>
        <x:v>26823</x:v>
      </x:c>
      <x:c r="K33" s="19" t="n">
        <x:f>ROUND(W33*Y33,0)</x:f>
        <x:v>81651</x:v>
      </x:c>
      <x:c r="L33" s="19" t="n">
        <x:f>ROUND((AB33+SQRT(AB33^2+4*AB33*'参数'!$B$22*U33))/2,0)</x:f>
        <x:v>484</x:v>
      </x:c>
      <x:c r="M33" s="19" t="n">
        <x:f>ROUND(I33*'参数'!$B$24,0)</x:f>
        <x:v>116</x:v>
      </x:c>
      <x:c r="N33" s="19" t="n">
        <x:f>'参数'!$B$9*'参数'!$B$10^(D33-1)</x:f>
        <x:v>1083.666740801649</x:v>
      </x:c>
      <x:c r="O33" s="19" t="n">
        <x:f>'参数'!$B$18*'参数'!$B$19^(MIN(E33,MAX(1,5*INT(D33/5)))-1)*F33*'参数'!$J$26*P33</x:f>
        <x:v>75.38556102442476</x:v>
      </x:c>
      <x:c r="P33" s="22" t="n">
        <x:f>MIN(1,(D33-1)/19)</x:f>
        <x:v>1</x:v>
      </x:c>
      <x:c r="Q33" s="19" t="n">
        <x:f>INDEX('角色成长'!$F$6:$F$105,D33)+O33*'参数'!$K$21</x:f>
        <x:v>463.84884891961053</x:v>
      </x:c>
      <x:c r="R33" s="19" t="n">
        <x:f>INDEX('角色成长'!$I$6:$I$105,D33)+O33*'参数'!$K$21</x:f>
        <x:v>393.84884891961053</x:v>
      </x:c>
      <x:c r="S33" s="19" t="n">
        <x:f>INDEX('角色成长'!$L$6:$L$105,D33)+O33*'参数'!$K$21</x:f>
        <x:v>353.84884891961053</x:v>
      </x:c>
      <x:c r="T33" s="19" t="n">
        <x:f>(INDEX('角色成长'!$J$6:$J$105,D33)+O33*'参数'!$L$21)*(1+'参数'!$B$40*P33)</x:f>
        <x:v>5188.215400216453</x:v>
      </x:c>
      <x:c r="U33" s="19" t="n">
        <x:f>(INDEX('角色成长'!$K$6:$K$105,D33)+O33*'参数'!$M$21)*(1+'参数'!$B$41*P33)</x:f>
        <x:v>287.0172049720177</x:v>
      </x:c>
      <x:c r="V33" s="19" t="n">
        <x:f>(('参数'!$K$5*(((Q33*(1+'参数'!$B$39*P33))^2/((Q33*(1+'参数'!$B$39*P33))+'参数'!$B$22*(I33)))*(1+'参数'!$B$42*P33)/'参数'!$J$5+((Q33*'参数'!$B$43*(1+'参数'!$B$39*P33))^2/((Q33*'参数'!$B$43*(1+'参数'!$B$39*P33))+'参数'!$B$22*(I33)))/'参数'!$B$44))+(((R33*(1+'参数'!$B$39*P33))^2/((R33*(1+'参数'!$B$39*P33))+'参数'!$B$22*(I33)))*(1+'参数'!$B$42*P33)/'参数'!$J$6+((R33*'参数'!$B$45*(1+'参数'!$B$39*P33))^2/((R33*'参数'!$B$45*(1+'参数'!$B$39*P33))+'参数'!$B$22*(I33)))/'参数'!$B$46)+((S33*(1+'参数'!$B$39*P33))^2/((S33*(1+'参数'!$B$39*P33))+'参数'!$B$22*(I33)))*(1+'参数'!$B$42*P33)/'参数'!$J$7)*(1+'参数'!$B$37*('参数'!$B$38-1))*'参数'!$B$25</x:f>
        <x:v>3113.079493534913</x:v>
      </x:c>
      <x:c r="W33" s="19" t="n">
        <x:f>(('参数'!$K$5*(((Q33*(1+'参数'!$B$39*P33))^2/((Q33*(1+'参数'!$B$39*P33))+'参数'!$B$22*(M33)))*(1+'参数'!$B$42*P33)/'参数'!$J$5+((Q33*'参数'!$B$43*(1+'参数'!$B$39*P33))^2/((Q33*'参数'!$B$43*(1+'参数'!$B$39*P33))+'参数'!$B$22*(M33)))/'参数'!$B$44))+(((R33*(1+'参数'!$B$39*P33))^2/((R33*(1+'参数'!$B$39*P33))+'参数'!$B$22*(M33)))*(1+'参数'!$B$42*P33)/'参数'!$J$6+((R33*'参数'!$B$45*(1+'参数'!$B$39*P33))^2/((R33*'参数'!$B$45*(1+'参数'!$B$39*P33))+'参数'!$B$22*(M33)))/'参数'!$B$46)+((S33*(1+'参数'!$B$39*P33))^2/((S33*(1+'参数'!$B$39*P33))+'参数'!$B$22*(M33)))*(1+'参数'!$B$42*P33)/'参数'!$J$7)*(1+'参数'!$B$37*('参数'!$B$38-1))</x:f>
        <x:v>2398.6490970796485</x:v>
      </x:c>
      <x:c r="X33" s="26" t="n">
        <x:f>('参数'!$B$26+'参数'!$B$27*(D33-1)/99)*'参数'!$K$26*AD33</x:f>
        <x:v>13.212121212121213</x:v>
      </x:c>
      <x:c r="Y33" s="26" t="n">
        <x:f>('参数'!$B$28+'参数'!$B$29*(D33-1)/99)*'参数'!$K$26*AD33*IF(AE33=1,'参数'!$B$51,1)</x:f>
        <x:v>34.04040404040404</x:v>
      </x:c>
      <x:c r="Z33" s="22" t="n">
        <x:f>MIN('参数'!$B$36,U33/(U33+'参数'!$B$35))</x:f>
        <x:v>0.0669503272902986</x:v>
      </x:c>
      <x:c r="AA33" s="19" t="n">
        <x:f>T33*'参数'!$B$30/('参数'!$B$32*'参数'!$B$33)/(1-Z33)*AC33</x:f>
        <x:v>139.0123042739295</x:v>
      </x:c>
      <x:c r="AB33" s="19" t="n">
        <x:f>T33*'参数'!$B$31/'参数'!$B$34/(1-Z33)*AC33</x:f>
        <x:v>278.024608547859</x:v>
      </x:c>
      <x:c r="AC33" s="20" t="n">
        <x:f>'参数'!$L$26*1</x:f>
        <x:v>1</x:v>
      </x:c>
      <x:c r="AD33" s="20" t="n">
        <x:f>1</x:f>
        <x:v>1</x:v>
      </x:c>
      <x:c r="AE33" s="19" t="n">
        <x:f>IF(MOD(B33,12)=0,1,0)</x:f>
        <x:v>0</x:v>
      </x:c>
    </x:row>
    <x:row r="34" ht="22" customHeight="1">
      <x:c r="A34" s="18" t="str">
        <x:v>简单</x:v>
      </x:c>
      <x:c r="B34" s="18" t="n">
        <x:v>29</x:v>
      </x:c>
      <x:c r="C34" s="18" t="n">
        <x:f>ROUNDUP(B34/12,0)</x:f>
        <x:v>3</x:v>
      </x:c>
      <x:c r="D34" s="18" t="n">
        <x:f>ROUND(MAX('参数'!$G$26,E34)+(IF(C34&lt;10,INDEX('参数'!$G$34:$P$34,1,MIN(10,C34+1)),'参数'!$H$26)-MAX('参数'!$G$26,E34))*MOD(B34-1,12)/11,0)</x:f>
        <x:v>22</x:v>
      </x:c>
      <x:c r="E34" s="18" t="n">
        <x:f>INDEX('参数'!$G$34:$P$34,1,C34)</x:f>
        <x:v>20</x:v>
      </x:c>
      <x:c r="F34" s="15" t="n">
        <x:f>'参数'!$I$26</x:f>
        <x:v>1.05</x:v>
      </x:c>
      <x:c r="G34" s="18" t="n">
        <x:f>ROUND(V34*X34/'参数'!$B$56,0)</x:f>
        <x:v>9140</x:v>
      </x:c>
      <x:c r="H34" s="18" t="n">
        <x:f>ROUND((AA34+SQRT(AA34^2+4*AA34*'参数'!$B$22*U34))/2,0)</x:f>
        <x:v>310</x:v>
      </x:c>
      <x:c r="I34" s="18" t="n">
        <x:f>ROUND(Q34*'参数'!$B$23/'参数'!$B$22,0)</x:f>
        <x:v>94</x:v>
      </x:c>
      <x:c r="J34" s="18" t="n">
        <x:f>ROUND(G34*'参数'!$B$50,0)</x:f>
        <x:v>27420</x:v>
      </x:c>
      <x:c r="K34" s="18" t="n">
        <x:f>ROUND(W34*Y34,0)</x:f>
        <x:v>83493</x:v>
      </x:c>
      <x:c r="L34" s="18" t="n">
        <x:f>ROUND((AB34+SQRT(AB34^2+4*AB34*'参数'!$B$22*U34))/2,0)</x:f>
        <x:v>495</x:v>
      </x:c>
      <x:c r="M34" s="18" t="n">
        <x:f>ROUND(I34*'参数'!$B$24,0)</x:f>
        <x:v>118</x:v>
      </x:c>
      <x:c r="N34" s="18" t="n">
        <x:f>'参数'!$B$9*'参数'!$B$10^(D34-1)</x:f>
        <x:v>1116.1767430256982</x:v>
      </x:c>
      <x:c r="O34" s="18" t="n">
        <x:f>'参数'!$B$18*'参数'!$B$19^(MIN(E34,MAX(1,5*INT(D34/5)))-1)*F34*'参数'!$J$26*P34</x:f>
        <x:v>75.38556102442476</x:v>
      </x:c>
      <x:c r="P34" s="21" t="n">
        <x:f>MIN(1,(D34-1)/19)</x:f>
        <x:v>1</x:v>
      </x:c>
      <x:c r="Q34" s="18" t="n">
        <x:f>INDEX('角色成长'!$F$6:$F$105,D34)+O34*'参数'!$K$21</x:f>
        <x:v>471.84884891961053</x:v>
      </x:c>
      <x:c r="R34" s="18" t="n">
        <x:f>INDEX('角色成长'!$I$6:$I$105,D34)+O34*'参数'!$K$21</x:f>
        <x:v>399.84884891961053</x:v>
      </x:c>
      <x:c r="S34" s="18" t="n">
        <x:f>INDEX('角色成长'!$L$6:$L$105,D34)+O34*'参数'!$K$21</x:f>
        <x:v>358.84884891961053</x:v>
      </x:c>
      <x:c r="T34" s="18" t="n">
        <x:f>(INDEX('角色成长'!$J$6:$J$105,D34)+O34*'参数'!$L$21)*(1+'参数'!$B$40*P34)</x:f>
        <x:v>5308.115400216453</x:v>
      </x:c>
      <x:c r="U34" s="18" t="n">
        <x:f>(INDEX('角色成长'!$K$6:$K$105,D34)+O34*'参数'!$M$21)*(1+'参数'!$B$41*P34)</x:f>
        <x:v>292.5172049720177</x:v>
      </x:c>
      <x:c r="V34" s="18" t="n">
        <x:f>(('参数'!$K$5*(((Q34*(1+'参数'!$B$39*P34))^2/((Q34*(1+'参数'!$B$39*P34))+'参数'!$B$22*(I34)))*(1+'参数'!$B$42*P34)/'参数'!$J$5+((Q34*'参数'!$B$43*(1+'参数'!$B$39*P34))^2/((Q34*'参数'!$B$43*(1+'参数'!$B$39*P34))+'参数'!$B$22*(I34)))/'参数'!$B$44))+(((R34*(1+'参数'!$B$39*P34))^2/((R34*(1+'参数'!$B$39*P34))+'参数'!$B$22*(I34)))*(1+'参数'!$B$42*P34)/'参数'!$J$6+((R34*'参数'!$B$45*(1+'参数'!$B$39*P34))^2/((R34*'参数'!$B$45*(1+'参数'!$B$39*P34))+'参数'!$B$22*(I34)))/'参数'!$B$46)+((S34*(1+'参数'!$B$39*P34))^2/((S34*(1+'参数'!$B$39*P34))+'参数'!$B$22*(I34)))*(1+'参数'!$B$42*P34)/'参数'!$J$7)*(1+'参数'!$B$37*('参数'!$B$38-1))*'参数'!$B$25</x:f>
        <x:v>3167.69399528245</x:v>
      </x:c>
      <x:c r="W34" s="18" t="n">
        <x:f>(('参数'!$K$5*(((Q34*(1+'参数'!$B$39*P34))^2/((Q34*(1+'参数'!$B$39*P34))+'参数'!$B$22*(M34)))*(1+'参数'!$B$42*P34)/'参数'!$J$5+((Q34*'参数'!$B$43*(1+'参数'!$B$39*P34))^2/((Q34*'参数'!$B$43*(1+'参数'!$B$39*P34))+'参数'!$B$22*(M34)))/'参数'!$B$44))+(((R34*(1+'参数'!$B$39*P34))^2/((R34*(1+'参数'!$B$39*P34))+'参数'!$B$22*(M34)))*(1+'参数'!$B$42*P34)/'参数'!$J$6+((R34*'参数'!$B$45*(1+'参数'!$B$39*P34))^2/((R34*'参数'!$B$45*(1+'参数'!$B$39*P34))+'参数'!$B$22*(M34)))/'参数'!$B$46)+((S34*(1+'参数'!$B$39*P34))^2/((S34*(1+'参数'!$B$39*P34))+'参数'!$B$22*(M34)))*(1+'参数'!$B$42*P34)/'参数'!$J$7)*(1+'参数'!$B$37*('参数'!$B$38-1))</x:f>
        <x:v>2438.276744912986</x:v>
      </x:c>
      <x:c r="X34" s="25" t="n">
        <x:f>('参数'!$B$26+'参数'!$B$27*(D34-1)/99)*'参数'!$K$26*AD34</x:f>
        <x:v>13.272727272727273</x:v>
      </x:c>
      <x:c r="Y34" s="25" t="n">
        <x:f>('参数'!$B$28+'参数'!$B$29*(D34-1)/99)*'参数'!$K$26*AD34*IF(AE34=1,'参数'!$B$51,1)</x:f>
        <x:v>34.24242424242424</x:v>
      </x:c>
      <x:c r="Z34" s="21" t="n">
        <x:f>MIN('参数'!$B$36,U34/(U34+'参数'!$B$35))</x:f>
        <x:v>0.06814584333714384</x:v>
      </x:c>
      <x:c r="AA34" s="18" t="n">
        <x:f>T34*'参数'!$B$30/('参数'!$B$32*'参数'!$B$33)/(1-Z34)*AC34</x:f>
        <x:v>142.40735425878782</x:v>
      </x:c>
      <x:c r="AB34" s="18" t="n">
        <x:f>T34*'参数'!$B$31/'参数'!$B$34/(1-Z34)*AC34</x:f>
        <x:v>284.81470851757564</x:v>
      </x:c>
      <x:c r="AC34" s="15" t="n">
        <x:f>'参数'!$L$26*1</x:f>
        <x:v>1</x:v>
      </x:c>
      <x:c r="AD34" s="15" t="n">
        <x:f>1</x:f>
        <x:v>1</x:v>
      </x:c>
      <x:c r="AE34" s="18" t="n">
        <x:f>IF(MOD(B34,12)=0,1,0)</x:f>
        <x:v>0</x:v>
      </x:c>
    </x:row>
    <x:row r="35" ht="22" customHeight="1">
      <x:c r="A35" s="19" t="str">
        <x:v>简单</x:v>
      </x:c>
      <x:c r="B35" s="19" t="n">
        <x:v>30</x:v>
      </x:c>
      <x:c r="C35" s="19" t="n">
        <x:f>ROUNDUP(B35/12,0)</x:f>
        <x:v>3</x:v>
      </x:c>
      <x:c r="D35" s="19" t="n">
        <x:f>ROUND(MAX('参数'!$G$26,E35)+(IF(C35&lt;10,INDEX('参数'!$G$34:$P$34,1,MIN(10,C35+1)),'参数'!$H$26)-MAX('参数'!$G$26,E35))*MOD(B35-1,12)/11,0)</x:f>
        <x:v>22</x:v>
      </x:c>
      <x:c r="E35" s="19" t="n">
        <x:f>INDEX('参数'!$G$34:$P$34,1,C35)</x:f>
        <x:v>20</x:v>
      </x:c>
      <x:c r="F35" s="20" t="n">
        <x:f>'参数'!$I$26</x:f>
        <x:v>1.05</x:v>
      </x:c>
      <x:c r="G35" s="19" t="n">
        <x:f>ROUND(V35*X35/'参数'!$B$56,0)</x:f>
        <x:v>9140</x:v>
      </x:c>
      <x:c r="H35" s="19" t="n">
        <x:f>ROUND((AA35+SQRT(AA35^2+4*AA35*'参数'!$B$22*U35))/2,0)</x:f>
        <x:v>310</x:v>
      </x:c>
      <x:c r="I35" s="19" t="n">
        <x:f>ROUND(Q35*'参数'!$B$23/'参数'!$B$22,0)</x:f>
        <x:v>94</x:v>
      </x:c>
      <x:c r="J35" s="19" t="n">
        <x:f>ROUND(G35*'参数'!$B$50,0)</x:f>
        <x:v>27420</x:v>
      </x:c>
      <x:c r="K35" s="19" t="n">
        <x:f>ROUND(W35*Y35,0)</x:f>
        <x:v>83493</x:v>
      </x:c>
      <x:c r="L35" s="19" t="n">
        <x:f>ROUND((AB35+SQRT(AB35^2+4*AB35*'参数'!$B$22*U35))/2,0)</x:f>
        <x:v>495</x:v>
      </x:c>
      <x:c r="M35" s="19" t="n">
        <x:f>ROUND(I35*'参数'!$B$24,0)</x:f>
        <x:v>118</x:v>
      </x:c>
      <x:c r="N35" s="19" t="n">
        <x:f>'参数'!$B$9*'参数'!$B$10^(D35-1)</x:f>
        <x:v>1116.1767430256982</x:v>
      </x:c>
      <x:c r="O35" s="19" t="n">
        <x:f>'参数'!$B$18*'参数'!$B$19^(MIN(E35,MAX(1,5*INT(D35/5)))-1)*F35*'参数'!$J$26*P35</x:f>
        <x:v>75.38556102442476</x:v>
      </x:c>
      <x:c r="P35" s="22" t="n">
        <x:f>MIN(1,(D35-1)/19)</x:f>
        <x:v>1</x:v>
      </x:c>
      <x:c r="Q35" s="19" t="n">
        <x:f>INDEX('角色成长'!$F$6:$F$105,D35)+O35*'参数'!$K$21</x:f>
        <x:v>471.84884891961053</x:v>
      </x:c>
      <x:c r="R35" s="19" t="n">
        <x:f>INDEX('角色成长'!$I$6:$I$105,D35)+O35*'参数'!$K$21</x:f>
        <x:v>399.84884891961053</x:v>
      </x:c>
      <x:c r="S35" s="19" t="n">
        <x:f>INDEX('角色成长'!$L$6:$L$105,D35)+O35*'参数'!$K$21</x:f>
        <x:v>358.84884891961053</x:v>
      </x:c>
      <x:c r="T35" s="19" t="n">
        <x:f>(INDEX('角色成长'!$J$6:$J$105,D35)+O35*'参数'!$L$21)*(1+'参数'!$B$40*P35)</x:f>
        <x:v>5308.115400216453</x:v>
      </x:c>
      <x:c r="U35" s="19" t="n">
        <x:f>(INDEX('角色成长'!$K$6:$K$105,D35)+O35*'参数'!$M$21)*(1+'参数'!$B$41*P35)</x:f>
        <x:v>292.5172049720177</x:v>
      </x:c>
      <x:c r="V35" s="19" t="n">
        <x:f>(('参数'!$K$5*(((Q35*(1+'参数'!$B$39*P35))^2/((Q35*(1+'参数'!$B$39*P35))+'参数'!$B$22*(I35)))*(1+'参数'!$B$42*P35)/'参数'!$J$5+((Q35*'参数'!$B$43*(1+'参数'!$B$39*P35))^2/((Q35*'参数'!$B$43*(1+'参数'!$B$39*P35))+'参数'!$B$22*(I35)))/'参数'!$B$44))+(((R35*(1+'参数'!$B$39*P35))^2/((R35*(1+'参数'!$B$39*P35))+'参数'!$B$22*(I35)))*(1+'参数'!$B$42*P35)/'参数'!$J$6+((R35*'参数'!$B$45*(1+'参数'!$B$39*P35))^2/((R35*'参数'!$B$45*(1+'参数'!$B$39*P35))+'参数'!$B$22*(I35)))/'参数'!$B$46)+((S35*(1+'参数'!$B$39*P35))^2/((S35*(1+'参数'!$B$39*P35))+'参数'!$B$22*(I35)))*(1+'参数'!$B$42*P35)/'参数'!$J$7)*(1+'参数'!$B$37*('参数'!$B$38-1))*'参数'!$B$25</x:f>
        <x:v>3167.69399528245</x:v>
      </x:c>
      <x:c r="W35" s="19" t="n">
        <x:f>(('参数'!$K$5*(((Q35*(1+'参数'!$B$39*P35))^2/((Q35*(1+'参数'!$B$39*P35))+'参数'!$B$22*(M35)))*(1+'参数'!$B$42*P35)/'参数'!$J$5+((Q35*'参数'!$B$43*(1+'参数'!$B$39*P35))^2/((Q35*'参数'!$B$43*(1+'参数'!$B$39*P35))+'参数'!$B$22*(M35)))/'参数'!$B$44))+(((R35*(1+'参数'!$B$39*P35))^2/((R35*(1+'参数'!$B$39*P35))+'参数'!$B$22*(M35)))*(1+'参数'!$B$42*P35)/'参数'!$J$6+((R35*'参数'!$B$45*(1+'参数'!$B$39*P35))^2/((R35*'参数'!$B$45*(1+'参数'!$B$39*P35))+'参数'!$B$22*(M35)))/'参数'!$B$46)+((S35*(1+'参数'!$B$39*P35))^2/((S35*(1+'参数'!$B$39*P35))+'参数'!$B$22*(M35)))*(1+'参数'!$B$42*P35)/'参数'!$J$7)*(1+'参数'!$B$37*('参数'!$B$38-1))</x:f>
        <x:v>2438.276744912986</x:v>
      </x:c>
      <x:c r="X35" s="26" t="n">
        <x:f>('参数'!$B$26+'参数'!$B$27*(D35-1)/99)*'参数'!$K$26*AD35</x:f>
        <x:v>13.272727272727273</x:v>
      </x:c>
      <x:c r="Y35" s="26" t="n">
        <x:f>('参数'!$B$28+'参数'!$B$29*(D35-1)/99)*'参数'!$K$26*AD35*IF(AE35=1,'参数'!$B$51,1)</x:f>
        <x:v>34.24242424242424</x:v>
      </x:c>
      <x:c r="Z35" s="22" t="n">
        <x:f>MIN('参数'!$B$36,U35/(U35+'参数'!$B$35))</x:f>
        <x:v>0.06814584333714384</x:v>
      </x:c>
      <x:c r="AA35" s="19" t="n">
        <x:f>T35*'参数'!$B$30/('参数'!$B$32*'参数'!$B$33)/(1-Z35)*AC35</x:f>
        <x:v>142.40735425878782</x:v>
      </x:c>
      <x:c r="AB35" s="19" t="n">
        <x:f>T35*'参数'!$B$31/'参数'!$B$34/(1-Z35)*AC35</x:f>
        <x:v>284.81470851757564</x:v>
      </x:c>
      <x:c r="AC35" s="20" t="n">
        <x:f>'参数'!$L$26*1</x:f>
        <x:v>1</x:v>
      </x:c>
      <x:c r="AD35" s="20" t="n">
        <x:f>1</x:f>
        <x:v>1</x:v>
      </x:c>
      <x:c r="AE35" s="19" t="n">
        <x:f>IF(MOD(B35,12)=0,1,0)</x:f>
        <x:v>0</x:v>
      </x:c>
    </x:row>
    <x:row r="36" ht="22" customHeight="1">
      <x:c r="A36" s="18" t="str">
        <x:v>简单</x:v>
      </x:c>
      <x:c r="B36" s="18" t="n">
        <x:v>31</x:v>
      </x:c>
      <x:c r="C36" s="18" t="n">
        <x:f>ROUNDUP(B36/12,0)</x:f>
        <x:v>3</x:v>
      </x:c>
      <x:c r="D36" s="18" t="n">
        <x:f>ROUND(MAX('参数'!$G$26,E36)+(IF(C36&lt;10,INDEX('参数'!$G$34:$P$34,1,MIN(10,C36+1)),'参数'!$H$26)-MAX('参数'!$G$26,E36))*MOD(B36-1,12)/11,0)</x:f>
        <x:v>23</x:v>
      </x:c>
      <x:c r="E36" s="18" t="n">
        <x:f>INDEX('参数'!$G$34:$P$34,1,C36)</x:f>
        <x:v>20</x:v>
      </x:c>
      <x:c r="F36" s="15" t="n">
        <x:f>'参数'!$I$26</x:f>
        <x:v>1.05</x:v>
      </x:c>
      <x:c r="G36" s="18" t="n">
        <x:f>ROUND(V36*X36/'参数'!$B$56,0)</x:f>
        <x:v>9346</x:v>
      </x:c>
      <x:c r="H36" s="18" t="n">
        <x:f>ROUND((AA36+SQRT(AA36^2+4*AA36*'参数'!$B$22*U36))/2,0)</x:f>
        <x:v>317</x:v>
      </x:c>
      <x:c r="I36" s="18" t="n">
        <x:f>ROUND(Q36*'参数'!$B$23/'参数'!$B$22,0)</x:f>
        <x:v>96</x:v>
      </x:c>
      <x:c r="J36" s="18" t="n">
        <x:f>ROUND(G36*'参数'!$B$50,0)</x:f>
        <x:v>28038</x:v>
      </x:c>
      <x:c r="K36" s="18" t="n">
        <x:f>ROUND(W36*Y36,0)</x:f>
        <x:v>85547</x:v>
      </x:c>
      <x:c r="L36" s="18" t="n">
        <x:f>ROUND((AB36+SQRT(AB36^2+4*AB36*'参数'!$B$22*U36))/2,0)</x:f>
        <x:v>507</x:v>
      </x:c>
      <x:c r="M36" s="18" t="n">
        <x:f>ROUND(I36*'参数'!$B$24,0)</x:f>
        <x:v>120</x:v>
      </x:c>
      <x:c r="N36" s="18" t="n">
        <x:f>'参数'!$B$9*'参数'!$B$10^(D36-1)</x:f>
        <x:v>1149.6620453164694</x:v>
      </x:c>
      <x:c r="O36" s="18" t="n">
        <x:f>'参数'!$B$18*'参数'!$B$19^(MIN(E36,MAX(1,5*INT(D36/5)))-1)*F36*'参数'!$J$26*P36</x:f>
        <x:v>75.38556102442476</x:v>
      </x:c>
      <x:c r="P36" s="21" t="n">
        <x:f>MIN(1,(D36-1)/19)</x:f>
        <x:v>1</x:v>
      </x:c>
      <x:c r="Q36" s="18" t="n">
        <x:f>INDEX('角色成长'!$F$6:$F$105,D36)+O36*'参数'!$K$21</x:f>
        <x:v>480.84884891961053</x:v>
      </x:c>
      <x:c r="R36" s="18" t="n">
        <x:f>INDEX('角色成长'!$I$6:$I$105,D36)+O36*'参数'!$K$21</x:f>
        <x:v>406.84884891961053</x:v>
      </x:c>
      <x:c r="S36" s="18" t="n">
        <x:f>INDEX('角色成长'!$L$6:$L$105,D36)+O36*'参数'!$K$21</x:f>
        <x:v>363.84884891961053</x:v>
      </x:c>
      <x:c r="T36" s="18" t="n">
        <x:f>(INDEX('角色成长'!$J$6:$J$105,D36)+O36*'参数'!$L$21)*(1+'参数'!$B$40*P36)</x:f>
        <x:v>5433.515400216453</x:v>
      </x:c>
      <x:c r="U36" s="18" t="n">
        <x:f>(INDEX('角色成长'!$K$6:$K$105,D36)+O36*'参数'!$M$21)*(1+'参数'!$B$41*P36)</x:f>
        <x:v>298.0172049720177</x:v>
      </x:c>
      <x:c r="V36" s="18" t="n">
        <x:f>(('参数'!$K$5*(((Q36*(1+'参数'!$B$39*P36))^2/((Q36*(1+'参数'!$B$39*P36))+'参数'!$B$22*(I36)))*(1+'参数'!$B$42*P36)/'参数'!$J$5+((Q36*'参数'!$B$43*(1+'参数'!$B$39*P36))^2/((Q36*'参数'!$B$43*(1+'参数'!$B$39*P36))+'参数'!$B$22*(I36)))/'参数'!$B$44))+(((R36*(1+'参数'!$B$39*P36))^2/((R36*(1+'参数'!$B$39*P36))+'参数'!$B$22*(I36)))*(1+'参数'!$B$42*P36)/'参数'!$J$6+((R36*'参数'!$B$45*(1+'参数'!$B$39*P36))^2/((R36*'参数'!$B$45*(1+'参数'!$B$39*P36))+'参数'!$B$22*(I36)))/'参数'!$B$46)+((S36*(1+'参数'!$B$39*P36))^2/((S36*(1+'参数'!$B$39*P36))+'参数'!$B$22*(I36)))*(1+'参数'!$B$42*P36)/'参数'!$J$7)*(1+'参数'!$B$37*('参数'!$B$38-1))*'参数'!$B$25</x:f>
        <x:v>3224.3190437132603</x:v>
      </x:c>
      <x:c r="W36" s="18" t="n">
        <x:f>(('参数'!$K$5*(((Q36*(1+'参数'!$B$39*P36))^2/((Q36*(1+'参数'!$B$39*P36))+'参数'!$B$22*(M36)))*(1+'参数'!$B$42*P36)/'参数'!$J$5+((Q36*'参数'!$B$43*(1+'参数'!$B$39*P36))^2/((Q36*'参数'!$B$43*(1+'参数'!$B$39*P36))+'参数'!$B$22*(M36)))/'参数'!$B$44))+(((R36*(1+'参数'!$B$39*P36))^2/((R36*(1+'参数'!$B$39*P36))+'参数'!$B$22*(M36)))*(1+'参数'!$B$42*P36)/'参数'!$J$6+((R36*'参数'!$B$45*(1+'参数'!$B$39*P36))^2/((R36*'参数'!$B$45*(1+'参数'!$B$39*P36))+'参数'!$B$22*(M36)))/'参数'!$B$46)+((S36*(1+'参数'!$B$39*P36))^2/((S36*(1+'参数'!$B$39*P36))+'参数'!$B$22*(M36)))*(1+'参数'!$B$42*P36)/'参数'!$J$7)*(1+'参数'!$B$37*('参数'!$B$38-1))</x:f>
        <x:v>2483.6110957442734</x:v>
      </x:c>
      <x:c r="X36" s="25" t="n">
        <x:f>('参数'!$B$26+'参数'!$B$27*(D36-1)/99)*'参数'!$K$26*AD36</x:f>
        <x:v>13.333333333333334</x:v>
      </x:c>
      <x:c r="Y36" s="25" t="n">
        <x:f>('参数'!$B$28+'参数'!$B$29*(D36-1)/99)*'参数'!$K$26*AD36*IF(AE36=1,'参数'!$B$51,1)</x:f>
        <x:v>34.44444444444444</x:v>
      </x:c>
      <x:c r="Z36" s="21" t="n">
        <x:f>MIN('参数'!$B$36,U36/(U36+'参数'!$B$35))</x:f>
        <x:v>0.06933829967624755</x:v>
      </x:c>
      <x:c r="AA36" s="18" t="n">
        <x:f>T36*'参数'!$B$30/('参数'!$B$32*'参数'!$B$33)/(1-Z36)*AC36</x:f>
        <x:v>145.95839171006708</x:v>
      </x:c>
      <x:c r="AB36" s="18" t="n">
        <x:f>T36*'参数'!$B$31/'参数'!$B$34/(1-Z36)*AC36</x:f>
        <x:v>291.91678342013415</x:v>
      </x:c>
      <x:c r="AC36" s="15" t="n">
        <x:f>'参数'!$L$26*1</x:f>
        <x:v>1</x:v>
      </x:c>
      <x:c r="AD36" s="15" t="n">
        <x:f>1</x:f>
        <x:v>1</x:v>
      </x:c>
      <x:c r="AE36" s="18" t="n">
        <x:f>IF(MOD(B36,12)=0,1,0)</x:f>
        <x:v>0</x:v>
      </x:c>
    </x:row>
    <x:row r="37" ht="22" customHeight="1">
      <x:c r="A37" s="19" t="str">
        <x:v>简单</x:v>
      </x:c>
      <x:c r="B37" s="19" t="n">
        <x:v>32</x:v>
      </x:c>
      <x:c r="C37" s="19" t="n">
        <x:f>ROUNDUP(B37/12,0)</x:f>
        <x:v>3</x:v>
      </x:c>
      <x:c r="D37" s="19" t="n">
        <x:f>ROUND(MAX('参数'!$G$26,E37)+(IF(C37&lt;10,INDEX('参数'!$G$34:$P$34,1,MIN(10,C37+1)),'参数'!$H$26)-MAX('参数'!$G$26,E37))*MOD(B37-1,12)/11,0)</x:f>
        <x:v>23</x:v>
      </x:c>
      <x:c r="E37" s="19" t="n">
        <x:f>INDEX('参数'!$G$34:$P$34,1,C37)</x:f>
        <x:v>20</x:v>
      </x:c>
      <x:c r="F37" s="20" t="n">
        <x:f>'参数'!$I$26</x:f>
        <x:v>1.05</x:v>
      </x:c>
      <x:c r="G37" s="19" t="n">
        <x:f>ROUND(V37*X37/'参数'!$B$56,0)</x:f>
        <x:v>9346</x:v>
      </x:c>
      <x:c r="H37" s="19" t="n">
        <x:f>ROUND((AA37+SQRT(AA37^2+4*AA37*'参数'!$B$22*U37))/2,0)</x:f>
        <x:v>317</x:v>
      </x:c>
      <x:c r="I37" s="19" t="n">
        <x:f>ROUND(Q37*'参数'!$B$23/'参数'!$B$22,0)</x:f>
        <x:v>96</x:v>
      </x:c>
      <x:c r="J37" s="19" t="n">
        <x:f>ROUND(G37*'参数'!$B$50,0)</x:f>
        <x:v>28038</x:v>
      </x:c>
      <x:c r="K37" s="19" t="n">
        <x:f>ROUND(W37*Y37,0)</x:f>
        <x:v>85547</x:v>
      </x:c>
      <x:c r="L37" s="19" t="n">
        <x:f>ROUND((AB37+SQRT(AB37^2+4*AB37*'参数'!$B$22*U37))/2,0)</x:f>
        <x:v>507</x:v>
      </x:c>
      <x:c r="M37" s="19" t="n">
        <x:f>ROUND(I37*'参数'!$B$24,0)</x:f>
        <x:v>120</x:v>
      </x:c>
      <x:c r="N37" s="19" t="n">
        <x:f>'参数'!$B$9*'参数'!$B$10^(D37-1)</x:f>
        <x:v>1149.6620453164694</x:v>
      </x:c>
      <x:c r="O37" s="19" t="n">
        <x:f>'参数'!$B$18*'参数'!$B$19^(MIN(E37,MAX(1,5*INT(D37/5)))-1)*F37*'参数'!$J$26*P37</x:f>
        <x:v>75.38556102442476</x:v>
      </x:c>
      <x:c r="P37" s="22" t="n">
        <x:f>MIN(1,(D37-1)/19)</x:f>
        <x:v>1</x:v>
      </x:c>
      <x:c r="Q37" s="19" t="n">
        <x:f>INDEX('角色成长'!$F$6:$F$105,D37)+O37*'参数'!$K$21</x:f>
        <x:v>480.84884891961053</x:v>
      </x:c>
      <x:c r="R37" s="19" t="n">
        <x:f>INDEX('角色成长'!$I$6:$I$105,D37)+O37*'参数'!$K$21</x:f>
        <x:v>406.84884891961053</x:v>
      </x:c>
      <x:c r="S37" s="19" t="n">
        <x:f>INDEX('角色成长'!$L$6:$L$105,D37)+O37*'参数'!$K$21</x:f>
        <x:v>363.84884891961053</x:v>
      </x:c>
      <x:c r="T37" s="19" t="n">
        <x:f>(INDEX('角色成长'!$J$6:$J$105,D37)+O37*'参数'!$L$21)*(1+'参数'!$B$40*P37)</x:f>
        <x:v>5433.515400216453</x:v>
      </x:c>
      <x:c r="U37" s="19" t="n">
        <x:f>(INDEX('角色成长'!$K$6:$K$105,D37)+O37*'参数'!$M$21)*(1+'参数'!$B$41*P37)</x:f>
        <x:v>298.0172049720177</x:v>
      </x:c>
      <x:c r="V37" s="19" t="n">
        <x:f>(('参数'!$K$5*(((Q37*(1+'参数'!$B$39*P37))^2/((Q37*(1+'参数'!$B$39*P37))+'参数'!$B$22*(I37)))*(1+'参数'!$B$42*P37)/'参数'!$J$5+((Q37*'参数'!$B$43*(1+'参数'!$B$39*P37))^2/((Q37*'参数'!$B$43*(1+'参数'!$B$39*P37))+'参数'!$B$22*(I37)))/'参数'!$B$44))+(((R37*(1+'参数'!$B$39*P37))^2/((R37*(1+'参数'!$B$39*P37))+'参数'!$B$22*(I37)))*(1+'参数'!$B$42*P37)/'参数'!$J$6+((R37*'参数'!$B$45*(1+'参数'!$B$39*P37))^2/((R37*'参数'!$B$45*(1+'参数'!$B$39*P37))+'参数'!$B$22*(I37)))/'参数'!$B$46)+((S37*(1+'参数'!$B$39*P37))^2/((S37*(1+'参数'!$B$39*P37))+'参数'!$B$22*(I37)))*(1+'参数'!$B$42*P37)/'参数'!$J$7)*(1+'参数'!$B$37*('参数'!$B$38-1))*'参数'!$B$25</x:f>
        <x:v>3224.3190437132603</x:v>
      </x:c>
      <x:c r="W37" s="19" t="n">
        <x:f>(('参数'!$K$5*(((Q37*(1+'参数'!$B$39*P37))^2/((Q37*(1+'参数'!$B$39*P37))+'参数'!$B$22*(M37)))*(1+'参数'!$B$42*P37)/'参数'!$J$5+((Q37*'参数'!$B$43*(1+'参数'!$B$39*P37))^2/((Q37*'参数'!$B$43*(1+'参数'!$B$39*P37))+'参数'!$B$22*(M37)))/'参数'!$B$44))+(((R37*(1+'参数'!$B$39*P37))^2/((R37*(1+'参数'!$B$39*P37))+'参数'!$B$22*(M37)))*(1+'参数'!$B$42*P37)/'参数'!$J$6+((R37*'参数'!$B$45*(1+'参数'!$B$39*P37))^2/((R37*'参数'!$B$45*(1+'参数'!$B$39*P37))+'参数'!$B$22*(M37)))/'参数'!$B$46)+((S37*(1+'参数'!$B$39*P37))^2/((S37*(1+'参数'!$B$39*P37))+'参数'!$B$22*(M37)))*(1+'参数'!$B$42*P37)/'参数'!$J$7)*(1+'参数'!$B$37*('参数'!$B$38-1))</x:f>
        <x:v>2483.6110957442734</x:v>
      </x:c>
      <x:c r="X37" s="26" t="n">
        <x:f>('参数'!$B$26+'参数'!$B$27*(D37-1)/99)*'参数'!$K$26*AD37</x:f>
        <x:v>13.333333333333334</x:v>
      </x:c>
      <x:c r="Y37" s="26" t="n">
        <x:f>('参数'!$B$28+'参数'!$B$29*(D37-1)/99)*'参数'!$K$26*AD37*IF(AE37=1,'参数'!$B$51,1)</x:f>
        <x:v>34.44444444444444</x:v>
      </x:c>
      <x:c r="Z37" s="22" t="n">
        <x:f>MIN('参数'!$B$36,U37/(U37+'参数'!$B$35))</x:f>
        <x:v>0.06933829967624755</x:v>
      </x:c>
      <x:c r="AA37" s="19" t="n">
        <x:f>T37*'参数'!$B$30/('参数'!$B$32*'参数'!$B$33)/(1-Z37)*AC37</x:f>
        <x:v>145.95839171006708</x:v>
      </x:c>
      <x:c r="AB37" s="19" t="n">
        <x:f>T37*'参数'!$B$31/'参数'!$B$34/(1-Z37)*AC37</x:f>
        <x:v>291.91678342013415</x:v>
      </x:c>
      <x:c r="AC37" s="20" t="n">
        <x:f>'参数'!$L$26*1</x:f>
        <x:v>1</x:v>
      </x:c>
      <x:c r="AD37" s="20" t="n">
        <x:f>1</x:f>
        <x:v>1</x:v>
      </x:c>
      <x:c r="AE37" s="19" t="n">
        <x:f>IF(MOD(B37,12)=0,1,0)</x:f>
        <x:v>0</x:v>
      </x:c>
    </x:row>
    <x:row r="38" ht="22" customHeight="1">
      <x:c r="A38" s="18" t="str">
        <x:v>简单</x:v>
      </x:c>
      <x:c r="B38" s="18" t="n">
        <x:v>33</x:v>
      </x:c>
      <x:c r="C38" s="18" t="n">
        <x:f>ROUNDUP(B38/12,0)</x:f>
        <x:v>3</x:v>
      </x:c>
      <x:c r="D38" s="18" t="n">
        <x:f>ROUND(MAX('参数'!$G$26,E38)+(IF(C38&lt;10,INDEX('参数'!$G$34:$P$34,1,MIN(10,C38+1)),'参数'!$H$26)-MAX('参数'!$G$26,E38))*MOD(B38-1,12)/11,0)</x:f>
        <x:v>24</x:v>
      </x:c>
      <x:c r="E38" s="18" t="n">
        <x:f>INDEX('参数'!$G$34:$P$34,1,C38)</x:f>
        <x:v>20</x:v>
      </x:c>
      <x:c r="F38" s="15" t="n">
        <x:f>'参数'!$I$26</x:f>
        <x:v>1.05</x:v>
      </x:c>
      <x:c r="G38" s="18" t="n">
        <x:f>ROUND(V38*X38/'参数'!$B$56,0)</x:f>
        <x:v>9570</x:v>
      </x:c>
      <x:c r="H38" s="18" t="n">
        <x:f>ROUND((AA38+SQRT(AA38^2+4*AA38*'参数'!$B$22*U38))/2,0)</x:f>
        <x:v>324</x:v>
      </x:c>
      <x:c r="I38" s="18" t="n">
        <x:f>ROUND(Q38*'参数'!$B$23/'参数'!$B$22,0)</x:f>
        <x:v>98</x:v>
      </x:c>
      <x:c r="J38" s="18" t="n">
        <x:f>ROUND(G38*'参数'!$B$50,0)</x:f>
        <x:v>28710</x:v>
      </x:c>
      <x:c r="K38" s="18" t="n">
        <x:f>ROUND(W38*Y38,0)</x:f>
        <x:v>87645</x:v>
      </x:c>
      <x:c r="L38" s="18" t="n">
        <x:f>ROUND((AB38+SQRT(AB38^2+4*AB38*'参数'!$B$22*U38))/2,0)</x:f>
        <x:v>518</x:v>
      </x:c>
      <x:c r="M38" s="18" t="n">
        <x:f>ROUND(I38*'参数'!$B$24,0)</x:f>
        <x:v>123</x:v>
      </x:c>
      <x:c r="N38" s="18" t="n">
        <x:f>'参数'!$B$9*'参数'!$B$10^(D38-1)</x:f>
        <x:v>1184.1519066759636</x:v>
      </x:c>
      <x:c r="O38" s="18" t="n">
        <x:f>'参数'!$B$18*'参数'!$B$19^(MIN(E38,MAX(1,5*INT(D38/5)))-1)*F38*'参数'!$J$26*P38</x:f>
        <x:v>75.38556102442476</x:v>
      </x:c>
      <x:c r="P38" s="21" t="n">
        <x:f>MIN(1,(D38-1)/19)</x:f>
        <x:v>1</x:v>
      </x:c>
      <x:c r="Q38" s="18" t="n">
        <x:f>INDEX('角色成长'!$F$6:$F$105,D38)+O38*'参数'!$K$21</x:f>
        <x:v>490.84884891961053</x:v>
      </x:c>
      <x:c r="R38" s="18" t="n">
        <x:f>INDEX('角色成长'!$I$6:$I$105,D38)+O38*'参数'!$K$21</x:f>
        <x:v>413.84884891961053</x:v>
      </x:c>
      <x:c r="S38" s="18" t="n">
        <x:f>INDEX('角色成长'!$L$6:$L$105,D38)+O38*'参数'!$K$21</x:f>
        <x:v>368.84884891961053</x:v>
      </x:c>
      <x:c r="T38" s="18" t="n">
        <x:f>(INDEX('角色成长'!$J$6:$J$105,D38)+O38*'参数'!$L$21)*(1+'参数'!$B$40*P38)</x:f>
        <x:v>5562.215400216453</x:v>
      </x:c>
      <x:c r="U38" s="18" t="n">
        <x:f>(INDEX('角色成长'!$K$6:$K$105,D38)+O38*'参数'!$M$21)*(1+'参数'!$B$41*P38)</x:f>
        <x:v>302.4172049720177</x:v>
      </x:c>
      <x:c r="V38" s="18" t="n">
        <x:f>(('参数'!$K$5*(((Q38*(1+'参数'!$B$39*P38))^2/((Q38*(1+'参数'!$B$39*P38))+'参数'!$B$22*(I38)))*(1+'参数'!$B$42*P38)/'参数'!$J$5+((Q38*'参数'!$B$43*(1+'参数'!$B$39*P38))^2/((Q38*'参数'!$B$43*(1+'参数'!$B$39*P38))+'参数'!$B$22*(I38)))/'参数'!$B$44))+(((R38*(1+'参数'!$B$39*P38))^2/((R38*(1+'参数'!$B$39*P38))+'参数'!$B$22*(I38)))*(1+'参数'!$B$42*P38)/'参数'!$J$6+((R38*'参数'!$B$45*(1+'参数'!$B$39*P38))^2/((R38*'参数'!$B$45*(1+'参数'!$B$39*P38))+'参数'!$B$22*(I38)))/'参数'!$B$46)+((S38*(1+'参数'!$B$39*P38))^2/((S38*(1+'参数'!$B$39*P38))+'参数'!$B$22*(I38)))*(1+'参数'!$B$42*P38)/'参数'!$J$7)*(1+'参数'!$B$37*('参数'!$B$38-1))*'参数'!$B$25</x:f>
        <x:v>3286.737955219114</x:v>
      </x:c>
      <x:c r="W38" s="18" t="n">
        <x:f>(('参数'!$K$5*(((Q38*(1+'参数'!$B$39*P38))^2/((Q38*(1+'参数'!$B$39*P38))+'参数'!$B$22*(M38)))*(1+'参数'!$B$42*P38)/'参数'!$J$5+((Q38*'参数'!$B$43*(1+'参数'!$B$39*P38))^2/((Q38*'参数'!$B$43*(1+'参数'!$B$39*P38))+'参数'!$B$22*(M38)))/'参数'!$B$44))+(((R38*(1+'参数'!$B$39*P38))^2/((R38*(1+'参数'!$B$39*P38))+'参数'!$B$22*(M38)))*(1+'参数'!$B$42*P38)/'参数'!$J$6+((R38*'参数'!$B$45*(1+'参数'!$B$39*P38))^2/((R38*'参数'!$B$45*(1+'参数'!$B$39*P38))+'参数'!$B$22*(M38)))/'参数'!$B$46)+((S38*(1+'参数'!$B$39*P38))^2/((S38*(1+'参数'!$B$39*P38))+'参数'!$B$22*(M38)))*(1+'参数'!$B$42*P38)/'参数'!$J$7)*(1+'参数'!$B$37*('参数'!$B$38-1))</x:f>
        <x:v>2529.7039061162363</x:v>
      </x:c>
      <x:c r="X38" s="25" t="n">
        <x:f>('参数'!$B$26+'参数'!$B$27*(D38-1)/99)*'参数'!$K$26*AD38</x:f>
        <x:v>13.393939393939394</x:v>
      </x:c>
      <x:c r="Y38" s="25" t="n">
        <x:f>('参数'!$B$28+'参数'!$B$29*(D38-1)/99)*'参数'!$K$26*AD38*IF(AE38=1,'参数'!$B$51,1)</x:f>
        <x:v>34.64646464646464</x:v>
      </x:c>
      <x:c r="Z38" s="21" t="n">
        <x:f>MIN('参数'!$B$36,U38/(U38+'参数'!$B$35))</x:f>
        <x:v>0.07029006964330058</x:v>
      </x:c>
      <x:c r="AA38" s="18" t="n">
        <x:f>T38*'参数'!$B$30/('参数'!$B$32*'参数'!$B$33)/(1-Z38)*AC38</x:f>
        <x:v>149.5685702228224</x:v>
      </x:c>
      <x:c r="AB38" s="18" t="n">
        <x:f>T38*'参数'!$B$31/'参数'!$B$34/(1-Z38)*AC38</x:f>
        <x:v>299.1371404456448</x:v>
      </x:c>
      <x:c r="AC38" s="15" t="n">
        <x:f>'参数'!$L$26*1</x:f>
        <x:v>1</x:v>
      </x:c>
      <x:c r="AD38" s="15" t="n">
        <x:f>1</x:f>
        <x:v>1</x:v>
      </x:c>
      <x:c r="AE38" s="18" t="n">
        <x:f>IF(MOD(B38,12)=0,1,0)</x:f>
        <x:v>0</x:v>
      </x:c>
    </x:row>
    <x:row r="39" ht="22" customHeight="1">
      <x:c r="A39" s="19" t="str">
        <x:v>简单</x:v>
      </x:c>
      <x:c r="B39" s="19" t="n">
        <x:v>34</x:v>
      </x:c>
      <x:c r="C39" s="19" t="n">
        <x:f>ROUNDUP(B39/12,0)</x:f>
        <x:v>3</x:v>
      </x:c>
      <x:c r="D39" s="19" t="n">
        <x:f>ROUND(MAX('参数'!$G$26,E39)+(IF(C39&lt;10,INDEX('参数'!$G$34:$P$34,1,MIN(10,C39+1)),'参数'!$H$26)-MAX('参数'!$G$26,E39))*MOD(B39-1,12)/11,0)</x:f>
        <x:v>24</x:v>
      </x:c>
      <x:c r="E39" s="19" t="n">
        <x:f>INDEX('参数'!$G$34:$P$34,1,C39)</x:f>
        <x:v>20</x:v>
      </x:c>
      <x:c r="F39" s="20" t="n">
        <x:f>'参数'!$I$26</x:f>
        <x:v>1.05</x:v>
      </x:c>
      <x:c r="G39" s="19" t="n">
        <x:f>ROUND(V39*X39/'参数'!$B$56,0)</x:f>
        <x:v>9570</x:v>
      </x:c>
      <x:c r="H39" s="19" t="n">
        <x:f>ROUND((AA39+SQRT(AA39^2+4*AA39*'参数'!$B$22*U39))/2,0)</x:f>
        <x:v>324</x:v>
      </x:c>
      <x:c r="I39" s="19" t="n">
        <x:f>ROUND(Q39*'参数'!$B$23/'参数'!$B$22,0)</x:f>
        <x:v>98</x:v>
      </x:c>
      <x:c r="J39" s="19" t="n">
        <x:f>ROUND(G39*'参数'!$B$50,0)</x:f>
        <x:v>28710</x:v>
      </x:c>
      <x:c r="K39" s="19" t="n">
        <x:f>ROUND(W39*Y39,0)</x:f>
        <x:v>87645</x:v>
      </x:c>
      <x:c r="L39" s="19" t="n">
        <x:f>ROUND((AB39+SQRT(AB39^2+4*AB39*'参数'!$B$22*U39))/2,0)</x:f>
        <x:v>518</x:v>
      </x:c>
      <x:c r="M39" s="19" t="n">
        <x:f>ROUND(I39*'参数'!$B$24,0)</x:f>
        <x:v>123</x:v>
      </x:c>
      <x:c r="N39" s="19" t="n">
        <x:f>'参数'!$B$9*'参数'!$B$10^(D39-1)</x:f>
        <x:v>1184.1519066759636</x:v>
      </x:c>
      <x:c r="O39" s="19" t="n">
        <x:f>'参数'!$B$18*'参数'!$B$19^(MIN(E39,MAX(1,5*INT(D39/5)))-1)*F39*'参数'!$J$26*P39</x:f>
        <x:v>75.38556102442476</x:v>
      </x:c>
      <x:c r="P39" s="22" t="n">
        <x:f>MIN(1,(D39-1)/19)</x:f>
        <x:v>1</x:v>
      </x:c>
      <x:c r="Q39" s="19" t="n">
        <x:f>INDEX('角色成长'!$F$6:$F$105,D39)+O39*'参数'!$K$21</x:f>
        <x:v>490.84884891961053</x:v>
      </x:c>
      <x:c r="R39" s="19" t="n">
        <x:f>INDEX('角色成长'!$I$6:$I$105,D39)+O39*'参数'!$K$21</x:f>
        <x:v>413.84884891961053</x:v>
      </x:c>
      <x:c r="S39" s="19" t="n">
        <x:f>INDEX('角色成长'!$L$6:$L$105,D39)+O39*'参数'!$K$21</x:f>
        <x:v>368.84884891961053</x:v>
      </x:c>
      <x:c r="T39" s="19" t="n">
        <x:f>(INDEX('角色成长'!$J$6:$J$105,D39)+O39*'参数'!$L$21)*(1+'参数'!$B$40*P39)</x:f>
        <x:v>5562.215400216453</x:v>
      </x:c>
      <x:c r="U39" s="19" t="n">
        <x:f>(INDEX('角色成长'!$K$6:$K$105,D39)+O39*'参数'!$M$21)*(1+'参数'!$B$41*P39)</x:f>
        <x:v>302.4172049720177</x:v>
      </x:c>
      <x:c r="V39" s="19" t="n">
        <x:f>(('参数'!$K$5*(((Q39*(1+'参数'!$B$39*P39))^2/((Q39*(1+'参数'!$B$39*P39))+'参数'!$B$22*(I39)))*(1+'参数'!$B$42*P39)/'参数'!$J$5+((Q39*'参数'!$B$43*(1+'参数'!$B$39*P39))^2/((Q39*'参数'!$B$43*(1+'参数'!$B$39*P39))+'参数'!$B$22*(I39)))/'参数'!$B$44))+(((R39*(1+'参数'!$B$39*P39))^2/((R39*(1+'参数'!$B$39*P39))+'参数'!$B$22*(I39)))*(1+'参数'!$B$42*P39)/'参数'!$J$6+((R39*'参数'!$B$45*(1+'参数'!$B$39*P39))^2/((R39*'参数'!$B$45*(1+'参数'!$B$39*P39))+'参数'!$B$22*(I39)))/'参数'!$B$46)+((S39*(1+'参数'!$B$39*P39))^2/((S39*(1+'参数'!$B$39*P39))+'参数'!$B$22*(I39)))*(1+'参数'!$B$42*P39)/'参数'!$J$7)*(1+'参数'!$B$37*('参数'!$B$38-1))*'参数'!$B$25</x:f>
        <x:v>3286.737955219114</x:v>
      </x:c>
      <x:c r="W39" s="19" t="n">
        <x:f>(('参数'!$K$5*(((Q39*(1+'参数'!$B$39*P39))^2/((Q39*(1+'参数'!$B$39*P39))+'参数'!$B$22*(M39)))*(1+'参数'!$B$42*P39)/'参数'!$J$5+((Q39*'参数'!$B$43*(1+'参数'!$B$39*P39))^2/((Q39*'参数'!$B$43*(1+'参数'!$B$39*P39))+'参数'!$B$22*(M39)))/'参数'!$B$44))+(((R39*(1+'参数'!$B$39*P39))^2/((R39*(1+'参数'!$B$39*P39))+'参数'!$B$22*(M39)))*(1+'参数'!$B$42*P39)/'参数'!$J$6+((R39*'参数'!$B$45*(1+'参数'!$B$39*P39))^2/((R39*'参数'!$B$45*(1+'参数'!$B$39*P39))+'参数'!$B$22*(M39)))/'参数'!$B$46)+((S39*(1+'参数'!$B$39*P39))^2/((S39*(1+'参数'!$B$39*P39))+'参数'!$B$22*(M39)))*(1+'参数'!$B$42*P39)/'参数'!$J$7)*(1+'参数'!$B$37*('参数'!$B$38-1))</x:f>
        <x:v>2529.7039061162363</x:v>
      </x:c>
      <x:c r="X39" s="26" t="n">
        <x:f>('参数'!$B$26+'参数'!$B$27*(D39-1)/99)*'参数'!$K$26*AD39</x:f>
        <x:v>13.393939393939394</x:v>
      </x:c>
      <x:c r="Y39" s="26" t="n">
        <x:f>('参数'!$B$28+'参数'!$B$29*(D39-1)/99)*'参数'!$K$26*AD39*IF(AE39=1,'参数'!$B$51,1)</x:f>
        <x:v>34.64646464646464</x:v>
      </x:c>
      <x:c r="Z39" s="22" t="n">
        <x:f>MIN('参数'!$B$36,U39/(U39+'参数'!$B$35))</x:f>
        <x:v>0.07029006964330058</x:v>
      </x:c>
      <x:c r="AA39" s="19" t="n">
        <x:f>T39*'参数'!$B$30/('参数'!$B$32*'参数'!$B$33)/(1-Z39)*AC39</x:f>
        <x:v>149.5685702228224</x:v>
      </x:c>
      <x:c r="AB39" s="19" t="n">
        <x:f>T39*'参数'!$B$31/'参数'!$B$34/(1-Z39)*AC39</x:f>
        <x:v>299.1371404456448</x:v>
      </x:c>
      <x:c r="AC39" s="20" t="n">
        <x:f>'参数'!$L$26*1</x:f>
        <x:v>1</x:v>
      </x:c>
      <x:c r="AD39" s="20" t="n">
        <x:f>1</x:f>
        <x:v>1</x:v>
      </x:c>
      <x:c r="AE39" s="19" t="n">
        <x:f>IF(MOD(B39,12)=0,1,0)</x:f>
        <x:v>0</x:v>
      </x:c>
    </x:row>
    <x:row r="40" ht="22" customHeight="1">
      <x:c r="A40" s="18" t="str">
        <x:v>简单</x:v>
      </x:c>
      <x:c r="B40" s="18" t="n">
        <x:v>35</x:v>
      </x:c>
      <x:c r="C40" s="18" t="n">
        <x:f>ROUNDUP(B40/12,0)</x:f>
        <x:v>3</x:v>
      </x:c>
      <x:c r="D40" s="18" t="n">
        <x:f>ROUND(MAX('参数'!$G$26,E40)+(IF(C40&lt;10,INDEX('参数'!$G$34:$P$34,1,MIN(10,C40+1)),'参数'!$H$26)-MAX('参数'!$G$26,E40))*MOD(B40-1,12)/11,0)</x:f>
        <x:v>25</x:v>
      </x:c>
      <x:c r="E40" s="18" t="n">
        <x:f>INDEX('参数'!$G$34:$P$34,1,C40)</x:f>
        <x:v>20</x:v>
      </x:c>
      <x:c r="F40" s="15" t="n">
        <x:f>'参数'!$I$26</x:f>
        <x:v>1.05</x:v>
      </x:c>
      <x:c r="G40" s="18" t="n">
        <x:f>ROUND(V40*X40/'参数'!$B$56,0)</x:f>
        <x:v>9778</x:v>
      </x:c>
      <x:c r="H40" s="18" t="n">
        <x:f>ROUND((AA40+SQRT(AA40^2+4*AA40*'参数'!$B$22*U40))/2,0)</x:f>
        <x:v>331</x:v>
      </x:c>
      <x:c r="I40" s="18" t="n">
        <x:f>ROUND(Q40*'参数'!$B$23/'参数'!$B$22,0)</x:f>
        <x:v>100</x:v>
      </x:c>
      <x:c r="J40" s="18" t="n">
        <x:f>ROUND(G40*'参数'!$B$50,0)</x:f>
        <x:v>29334</x:v>
      </x:c>
      <x:c r="K40" s="18" t="n">
        <x:f>ROUND(W40*Y40,0)</x:f>
        <x:v>89724</x:v>
      </x:c>
      <x:c r="L40" s="18" t="n">
        <x:f>ROUND((AB40+SQRT(AB40^2+4*AB40*'参数'!$B$22*U40))/2,0)</x:f>
        <x:v>530</x:v>
      </x:c>
      <x:c r="M40" s="18" t="n">
        <x:f>ROUND(I40*'参数'!$B$24,0)</x:f>
        <x:v>125</x:v>
      </x:c>
      <x:c r="N40" s="18" t="n">
        <x:f>'参数'!$B$9*'参数'!$B$10^(D40-1)</x:f>
        <x:v>1219.6764638762425</x:v>
      </x:c>
      <x:c r="O40" s="18" t="n">
        <x:f>'参数'!$B$18*'参数'!$B$19^(MIN(E40,MAX(1,5*INT(D40/5)))-1)*F40*'参数'!$J$26*P40</x:f>
        <x:v>75.38556102442476</x:v>
      </x:c>
      <x:c r="P40" s="21" t="n">
        <x:f>MIN(1,(D40-1)/19)</x:f>
        <x:v>1</x:v>
      </x:c>
      <x:c r="Q40" s="18" t="n">
        <x:f>INDEX('角色成长'!$F$6:$F$105,D40)+O40*'参数'!$K$21</x:f>
        <x:v>499.84884891961053</x:v>
      </x:c>
      <x:c r="R40" s="18" t="n">
        <x:f>INDEX('角色成长'!$I$6:$I$105,D40)+O40*'参数'!$K$21</x:f>
        <x:v>419.84884891961053</x:v>
      </x:c>
      <x:c r="S40" s="18" t="n">
        <x:f>INDEX('角色成长'!$L$6:$L$105,D40)+O40*'参数'!$K$21</x:f>
        <x:v>374.84884891961053</x:v>
      </x:c>
      <x:c r="T40" s="18" t="n">
        <x:f>(INDEX('角色成长'!$J$6:$J$105,D40)+O40*'参数'!$L$21)*(1+'参数'!$B$40*P40)</x:f>
        <x:v>5696.415400216453</x:v>
      </x:c>
      <x:c r="U40" s="18" t="n">
        <x:f>(INDEX('角色成长'!$K$6:$K$105,D40)+O40*'参数'!$M$21)*(1+'参数'!$B$41*P40)</x:f>
        <x:v>307.9172049720177</x:v>
      </x:c>
      <x:c r="V40" s="18" t="n">
        <x:f>(('参数'!$K$5*(((Q40*(1+'参数'!$B$39*P40))^2/((Q40*(1+'参数'!$B$39*P40))+'参数'!$B$22*(I40)))*(1+'参数'!$B$42*P40)/'参数'!$J$5+((Q40*'参数'!$B$43*(1+'参数'!$B$39*P40))^2/((Q40*'参数'!$B$43*(1+'参数'!$B$39*P40))+'参数'!$B$22*(I40)))/'参数'!$B$44))+(((R40*(1+'参数'!$B$39*P40))^2/((R40*(1+'参数'!$B$39*P40))+'参数'!$B$22*(I40)))*(1+'参数'!$B$42*P40)/'参数'!$J$6+((R40*'参数'!$B$45*(1+'参数'!$B$39*P40))^2/((R40*'参数'!$B$45*(1+'参数'!$B$39*P40))+'参数'!$B$22*(I40)))/'参数'!$B$46)+((S40*(1+'参数'!$B$39*P40))^2/((S40*(1+'参数'!$B$39*P40))+'参数'!$B$22*(I40)))*(1+'参数'!$B$42*P40)/'参数'!$J$7)*(1+'参数'!$B$37*('参数'!$B$38-1))*'参数'!$B$25</x:f>
        <x:v>3342.933926275721</x:v>
      </x:c>
      <x:c r="W40" s="18" t="n">
        <x:f>(('参数'!$K$5*(((Q40*(1+'参数'!$B$39*P40))^2/((Q40*(1+'参数'!$B$39*P40))+'参数'!$B$22*(M40)))*(1+'参数'!$B$42*P40)/'参数'!$J$5+((Q40*'参数'!$B$43*(1+'参数'!$B$39*P40))^2/((Q40*'参数'!$B$43*(1+'参数'!$B$39*P40))+'参数'!$B$22*(M40)))/'参数'!$B$44))+(((R40*(1+'参数'!$B$39*P40))^2/((R40*(1+'参数'!$B$39*P40))+'参数'!$B$22*(M40)))*(1+'参数'!$B$42*P40)/'参数'!$J$6+((R40*'参数'!$B$45*(1+'参数'!$B$39*P40))^2/((R40*'参数'!$B$45*(1+'参数'!$B$39*P40))+'参数'!$B$22*(M40)))/'参数'!$B$46)+((S40*(1+'参数'!$B$39*P40))^2/((S40*(1+'参数'!$B$39*P40))+'参数'!$B$22*(M40)))*(1+'参数'!$B$42*P40)/'参数'!$J$7)*(1+'参数'!$B$37*('参数'!$B$38-1))</x:f>
        <x:v>2574.6940580183214</x:v>
      </x:c>
      <x:c r="X40" s="25" t="n">
        <x:f>('参数'!$B$26+'参数'!$B$27*(D40-1)/99)*'参数'!$K$26*AD40</x:f>
        <x:v>13.454545454545455</x:v>
      </x:c>
      <x:c r="Y40" s="25" t="n">
        <x:f>('参数'!$B$28+'参数'!$B$29*(D40-1)/99)*'参数'!$K$26*AD40*IF(AE40=1,'参数'!$B$51,1)</x:f>
        <x:v>34.84848484848485</x:v>
      </x:c>
      <x:c r="Z40" s="21" t="n">
        <x:f>MIN('参数'!$B$36,U40/(U40+'参数'!$B$35))</x:f>
        <x:v>0.07147704803068931</x:v>
      </x:c>
      <x:c r="AA40" s="18" t="n">
        <x:f>T40*'参数'!$B$30/('参数'!$B$32*'参数'!$B$33)/(1-Z40)*AC40</x:f>
        <x:v>153.37303693287512</x:v>
      </x:c>
      <x:c r="AB40" s="18" t="n">
        <x:f>T40*'参数'!$B$31/'参数'!$B$34/(1-Z40)*AC40</x:f>
        <x:v>306.7460738657503</x:v>
      </x:c>
      <x:c r="AC40" s="15" t="n">
        <x:f>'参数'!$L$26*1</x:f>
        <x:v>1</x:v>
      </x:c>
      <x:c r="AD40" s="15" t="n">
        <x:f>1</x:f>
        <x:v>1</x:v>
      </x:c>
      <x:c r="AE40" s="18" t="n">
        <x:f>IF(MOD(B40,12)=0,1,0)</x:f>
        <x:v>0</x:v>
      </x:c>
    </x:row>
    <x:row r="41" ht="22" customHeight="1">
      <x:c r="A41" s="19" t="str">
        <x:v>简单</x:v>
      </x:c>
      <x:c r="B41" s="19" t="n">
        <x:v>36</x:v>
      </x:c>
      <x:c r="C41" s="19" t="n">
        <x:f>ROUNDUP(B41/12,0)</x:f>
        <x:v>3</x:v>
      </x:c>
      <x:c r="D41" s="19" t="n">
        <x:f>ROUND(MAX('参数'!$G$26,E41)+(IF(C41&lt;10,INDEX('参数'!$G$34:$P$34,1,MIN(10,C41+1)),'参数'!$H$26)-MAX('参数'!$G$26,E41))*MOD(B41-1,12)/11,0)</x:f>
        <x:v>25</x:v>
      </x:c>
      <x:c r="E41" s="19" t="n">
        <x:f>INDEX('参数'!$G$34:$P$34,1,C41)</x:f>
        <x:v>20</x:v>
      </x:c>
      <x:c r="F41" s="20" t="n">
        <x:f>'参数'!$I$26</x:f>
        <x:v>1.05</x:v>
      </x:c>
      <x:c r="G41" s="19" t="n">
        <x:f>ROUND(V41*X41/'参数'!$B$56,0)</x:f>
        <x:v>9778</x:v>
      </x:c>
      <x:c r="H41" s="19" t="n">
        <x:f>ROUND((AA41+SQRT(AA41^2+4*AA41*'参数'!$B$22*U41))/2,0)</x:f>
        <x:v>331</x:v>
      </x:c>
      <x:c r="I41" s="19" t="n">
        <x:f>ROUND(Q41*'参数'!$B$23/'参数'!$B$22,0)</x:f>
        <x:v>100</x:v>
      </x:c>
      <x:c r="J41" s="19" t="n">
        <x:f>ROUND(G41*'参数'!$B$50,0)</x:f>
        <x:v>29334</x:v>
      </x:c>
      <x:c r="K41" s="19" t="n">
        <x:f>ROUND(W41*Y41,0)</x:f>
        <x:v>103183</x:v>
      </x:c>
      <x:c r="L41" s="19" t="n">
        <x:f>ROUND((AB41+SQRT(AB41^2+4*AB41*'参数'!$B$22*U41))/2,0)</x:f>
        <x:v>530</x:v>
      </x:c>
      <x:c r="M41" s="19" t="n">
        <x:f>ROUND(I41*'参数'!$B$24,0)</x:f>
        <x:v>125</x:v>
      </x:c>
      <x:c r="N41" s="19" t="n">
        <x:f>'参数'!$B$9*'参数'!$B$10^(D41-1)</x:f>
        <x:v>1219.6764638762425</x:v>
      </x:c>
      <x:c r="O41" s="19" t="n">
        <x:f>'参数'!$B$18*'参数'!$B$19^(MIN(E41,MAX(1,5*INT(D41/5)))-1)*F41*'参数'!$J$26*P41</x:f>
        <x:v>75.38556102442476</x:v>
      </x:c>
      <x:c r="P41" s="22" t="n">
        <x:f>MIN(1,(D41-1)/19)</x:f>
        <x:v>1</x:v>
      </x:c>
      <x:c r="Q41" s="19" t="n">
        <x:f>INDEX('角色成长'!$F$6:$F$105,D41)+O41*'参数'!$K$21</x:f>
        <x:v>499.84884891961053</x:v>
      </x:c>
      <x:c r="R41" s="19" t="n">
        <x:f>INDEX('角色成长'!$I$6:$I$105,D41)+O41*'参数'!$K$21</x:f>
        <x:v>419.84884891961053</x:v>
      </x:c>
      <x:c r="S41" s="19" t="n">
        <x:f>INDEX('角色成长'!$L$6:$L$105,D41)+O41*'参数'!$K$21</x:f>
        <x:v>374.84884891961053</x:v>
      </x:c>
      <x:c r="T41" s="19" t="n">
        <x:f>(INDEX('角色成长'!$J$6:$J$105,D41)+O41*'参数'!$L$21)*(1+'参数'!$B$40*P41)</x:f>
        <x:v>5696.415400216453</x:v>
      </x:c>
      <x:c r="U41" s="19" t="n">
        <x:f>(INDEX('角色成长'!$K$6:$K$105,D41)+O41*'参数'!$M$21)*(1+'参数'!$B$41*P41)</x:f>
        <x:v>307.9172049720177</x:v>
      </x:c>
      <x:c r="V41" s="19" t="n">
        <x:f>(('参数'!$K$5*(((Q41*(1+'参数'!$B$39*P41))^2/((Q41*(1+'参数'!$B$39*P41))+'参数'!$B$22*(I41)))*(1+'参数'!$B$42*P41)/'参数'!$J$5+((Q41*'参数'!$B$43*(1+'参数'!$B$39*P41))^2/((Q41*'参数'!$B$43*(1+'参数'!$B$39*P41))+'参数'!$B$22*(I41)))/'参数'!$B$44))+(((R41*(1+'参数'!$B$39*P41))^2/((R41*(1+'参数'!$B$39*P41))+'参数'!$B$22*(I41)))*(1+'参数'!$B$42*P41)/'参数'!$J$6+((R41*'参数'!$B$45*(1+'参数'!$B$39*P41))^2/((R41*'参数'!$B$45*(1+'参数'!$B$39*P41))+'参数'!$B$22*(I41)))/'参数'!$B$46)+((S41*(1+'参数'!$B$39*P41))^2/((S41*(1+'参数'!$B$39*P41))+'参数'!$B$22*(I41)))*(1+'参数'!$B$42*P41)/'参数'!$J$7)*(1+'参数'!$B$37*('参数'!$B$38-1))*'参数'!$B$25</x:f>
        <x:v>3342.933926275721</x:v>
      </x:c>
      <x:c r="W41" s="19" t="n">
        <x:f>(('参数'!$K$5*(((Q41*(1+'参数'!$B$39*P41))^2/((Q41*(1+'参数'!$B$39*P41))+'参数'!$B$22*(M41)))*(1+'参数'!$B$42*P41)/'参数'!$J$5+((Q41*'参数'!$B$43*(1+'参数'!$B$39*P41))^2/((Q41*'参数'!$B$43*(1+'参数'!$B$39*P41))+'参数'!$B$22*(M41)))/'参数'!$B$44))+(((R41*(1+'参数'!$B$39*P41))^2/((R41*(1+'参数'!$B$39*P41))+'参数'!$B$22*(M41)))*(1+'参数'!$B$42*P41)/'参数'!$J$6+((R41*'参数'!$B$45*(1+'参数'!$B$39*P41))^2/((R41*'参数'!$B$45*(1+'参数'!$B$39*P41))+'参数'!$B$22*(M41)))/'参数'!$B$46)+((S41*(1+'参数'!$B$39*P41))^2/((S41*(1+'参数'!$B$39*P41))+'参数'!$B$22*(M41)))*(1+'参数'!$B$42*P41)/'参数'!$J$7)*(1+'参数'!$B$37*('参数'!$B$38-1))</x:f>
        <x:v>2574.6940580183214</x:v>
      </x:c>
      <x:c r="X41" s="26" t="n">
        <x:f>('参数'!$B$26+'参数'!$B$27*(D41-1)/99)*'参数'!$K$26*AD41</x:f>
        <x:v>13.454545454545455</x:v>
      </x:c>
      <x:c r="Y41" s="26" t="n">
        <x:f>('参数'!$B$28+'参数'!$B$29*(D41-1)/99)*'参数'!$K$26*AD41*IF(AE41=1,'参数'!$B$51,1)</x:f>
        <x:v>40.07575757575758</x:v>
      </x:c>
      <x:c r="Z41" s="22" t="n">
        <x:f>MIN('参数'!$B$36,U41/(U41+'参数'!$B$35))</x:f>
        <x:v>0.07147704803068931</x:v>
      </x:c>
      <x:c r="AA41" s="19" t="n">
        <x:f>T41*'参数'!$B$30/('参数'!$B$32*'参数'!$B$33)/(1-Z41)*AC41</x:f>
        <x:v>153.37303693287512</x:v>
      </x:c>
      <x:c r="AB41" s="19" t="n">
        <x:f>T41*'参数'!$B$31/'参数'!$B$34/(1-Z41)*AC41</x:f>
        <x:v>306.7460738657503</x:v>
      </x:c>
      <x:c r="AC41" s="20" t="n">
        <x:f>'参数'!$L$26*1</x:f>
        <x:v>1</x:v>
      </x:c>
      <x:c r="AD41" s="20" t="n">
        <x:f>1</x:f>
        <x:v>1</x:v>
      </x:c>
      <x:c r="AE41" s="19" t="n">
        <x:f>IF(MOD(B41,12)=0,1,0)</x:f>
        <x:v>1</x:v>
      </x:c>
    </x:row>
    <x:row r="42" ht="22" customHeight="1">
      <x:c r="A42" s="18" t="str">
        <x:v>简单</x:v>
      </x:c>
      <x:c r="B42" s="18" t="n">
        <x:v>37</x:v>
      </x:c>
      <x:c r="C42" s="18" t="n">
        <x:f>ROUNDUP(B42/12,0)</x:f>
        <x:v>4</x:v>
      </x:c>
      <x:c r="D42" s="18" t="n">
        <x:f>ROUND(MAX('参数'!$G$26,E42)+(IF(C42&lt;10,INDEX('参数'!$G$34:$P$34,1,MIN(10,C42+1)),'参数'!$H$26)-MAX('参数'!$G$26,E42))*MOD(B42-1,12)/11,0)</x:f>
        <x:v>25</x:v>
      </x:c>
      <x:c r="E42" s="18" t="n">
        <x:f>INDEX('参数'!$G$34:$P$34,1,C42)</x:f>
        <x:v>25</x:v>
      </x:c>
      <x:c r="F42" s="15" t="n">
        <x:f>'参数'!$I$26</x:f>
        <x:v>1.05</x:v>
      </x:c>
      <x:c r="G42" s="18" t="n">
        <x:f>ROUND(V42*X42/'参数'!$B$56,0)</x:f>
        <x:v>10668</x:v>
      </x:c>
      <x:c r="H42" s="18" t="n">
        <x:f>ROUND((AA42+SQRT(AA42^2+4*AA42*'参数'!$B$22*U42))/2,0)</x:f>
        <x:v>358</x:v>
      </x:c>
      <x:c r="I42" s="18" t="n">
        <x:f>ROUND(Q42*'参数'!$B$23/'参数'!$B$22,0)</x:f>
        <x:v>109</x:v>
      </x:c>
      <x:c r="J42" s="18" t="n">
        <x:f>ROUND(G42*'参数'!$B$50,0)</x:f>
        <x:v>32004</x:v>
      </x:c>
      <x:c r="K42" s="18" t="n">
        <x:f>ROUND(W42*Y42,0)</x:f>
        <x:v>97924</x:v>
      </x:c>
      <x:c r="L42" s="18" t="n">
        <x:f>ROUND((AB42+SQRT(AB42^2+4*AB42*'参数'!$B$22*U42))/2,0)</x:f>
        <x:v>571</x:v>
      </x:c>
      <x:c r="M42" s="18" t="n">
        <x:f>ROUND(I42*'参数'!$B$24,0)</x:f>
        <x:v>136</x:v>
      </x:c>
      <x:c r="N42" s="18" t="n">
        <x:f>'参数'!$B$9*'参数'!$B$10^(D42-1)</x:f>
        <x:v>1219.6764638762425</x:v>
      </x:c>
      <x:c r="O42" s="18" t="n">
        <x:f>'参数'!$B$18*'参数'!$B$19^(MIN(E42,MAX(1,5*INT(D42/5)))-1)*F42*'参数'!$J$26*P42</x:f>
        <x:v>90.40281484351866</x:v>
      </x:c>
      <x:c r="P42" s="21" t="n">
        <x:f>MIN(1,(D42-1)/19)</x:f>
        <x:v>1</x:v>
      </x:c>
      <x:c r="Q42" s="18" t="n">
        <x:f>INDEX('角色成长'!$F$6:$F$105,D42)+O42*'参数'!$K$21</x:f>
        <x:v>542.6480223040282</x:v>
      </x:c>
      <x:c r="R42" s="18" t="n">
        <x:f>INDEX('角色成长'!$I$6:$I$105,D42)+O42*'参数'!$K$21</x:f>
        <x:v>462.6480223040282</x:v>
      </x:c>
      <x:c r="S42" s="18" t="n">
        <x:f>INDEX('角色成长'!$L$6:$L$105,D42)+O42*'参数'!$K$21</x:f>
        <x:v>417.6480223040282</x:v>
      </x:c>
      <x:c r="T42" s="18" t="n">
        <x:f>(INDEX('角色成长'!$J$6:$J$105,D42)+O42*'参数'!$L$21)*(1+'参数'!$B$40*P42)</x:f>
        <x:v>6063.136738478726</x:v>
      </x:c>
      <x:c r="U42" s="18" t="n">
        <x:f>(INDEX('角色成长'!$K$6:$K$105,D42)+O42*'参数'!$M$21)*(1+'参数'!$B$41*P42)</x:f>
        <x:v>336.82541857377345</x:v>
      </x:c>
      <x:c r="V42" s="18" t="n">
        <x:f>(('参数'!$K$5*(((Q42*(1+'参数'!$B$39*P42))^2/((Q42*(1+'参数'!$B$39*P42))+'参数'!$B$22*(I42)))*(1+'参数'!$B$42*P42)/'参数'!$J$5+((Q42*'参数'!$B$43*(1+'参数'!$B$39*P42))^2/((Q42*'参数'!$B$43*(1+'参数'!$B$39*P42))+'参数'!$B$22*(I42)))/'参数'!$B$44))+(((R42*(1+'参数'!$B$39*P42))^2/((R42*(1+'参数'!$B$39*P42))+'参数'!$B$22*(I42)))*(1+'参数'!$B$42*P42)/'参数'!$J$6+((R42*'参数'!$B$45*(1+'参数'!$B$39*P42))^2/((R42*'参数'!$B$45*(1+'参数'!$B$39*P42))+'参数'!$B$22*(I42)))/'参数'!$B$46)+((S42*(1+'参数'!$B$39*P42))^2/((S42*(1+'参数'!$B$39*P42))+'参数'!$B$22*(I42)))*(1+'参数'!$B$42*P42)/'参数'!$J$7)*(1+'参数'!$B$37*('参数'!$B$38-1))*'参数'!$B$25</x:f>
        <x:v>3647.2291983862715</x:v>
      </x:c>
      <x:c r="W42" s="18" t="n">
        <x:f>(('参数'!$K$5*(((Q42*(1+'参数'!$B$39*P42))^2/((Q42*(1+'参数'!$B$39*P42))+'参数'!$B$22*(M42)))*(1+'参数'!$B$42*P42)/'参数'!$J$5+((Q42*'参数'!$B$43*(1+'参数'!$B$39*P42))^2/((Q42*'参数'!$B$43*(1+'参数'!$B$39*P42))+'参数'!$B$22*(M42)))/'参数'!$B$44))+(((R42*(1+'参数'!$B$39*P42))^2/((R42*(1+'参数'!$B$39*P42))+'参数'!$B$22*(M42)))*(1+'参数'!$B$42*P42)/'参数'!$J$6+((R42*'参数'!$B$45*(1+'参数'!$B$39*P42))^2/((R42*'参数'!$B$45*(1+'参数'!$B$39*P42))+'参数'!$B$22*(M42)))/'参数'!$B$46)+((S42*(1+'参数'!$B$39*P42))^2/((S42*(1+'参数'!$B$39*P42))+'参数'!$B$22*(M42)))*(1+'参数'!$B$42*P42)/'参数'!$J$7)*(1+'参数'!$B$37*('参数'!$B$38-1))</x:f>
        <x:v>2809.992105447225</x:v>
      </x:c>
      <x:c r="X42" s="25" t="n">
        <x:f>('参数'!$B$26+'参数'!$B$27*(D42-1)/99)*'参数'!$K$26*AD42</x:f>
        <x:v>13.454545454545455</x:v>
      </x:c>
      <x:c r="Y42" s="25" t="n">
        <x:f>('参数'!$B$28+'参数'!$B$29*(D42-1)/99)*'参数'!$K$26*AD42*IF(AE42=1,'参数'!$B$51,1)</x:f>
        <x:v>34.84848484848485</x:v>
      </x:c>
      <x:c r="Z42" s="21" t="n">
        <x:f>MIN('参数'!$B$36,U42/(U42+'参数'!$B$35))</x:f>
        <x:v>0.07766635408730455</x:v>
      </x:c>
      <x:c r="AA42" s="18" t="n">
        <x:f>T42*'参数'!$B$30/('参数'!$B$32*'参数'!$B$33)/(1-Z42)*AC42</x:f>
        <x:v>164.34228452326894</x:v>
      </x:c>
      <x:c r="AB42" s="18" t="n">
        <x:f>T42*'参数'!$B$31/'参数'!$B$34/(1-Z42)*AC42</x:f>
        <x:v>328.6845690465379</x:v>
      </x:c>
      <x:c r="AC42" s="15" t="n">
        <x:f>'参数'!$L$26*1</x:f>
        <x:v>1</x:v>
      </x:c>
      <x:c r="AD42" s="15" t="n">
        <x:f>1</x:f>
        <x:v>1</x:v>
      </x:c>
      <x:c r="AE42" s="18" t="n">
        <x:f>IF(MOD(B42,12)=0,1,0)</x:f>
        <x:v>0</x:v>
      </x:c>
    </x:row>
    <x:row r="43" ht="22" customHeight="1">
      <x:c r="A43" s="19" t="str">
        <x:v>简单</x:v>
      </x:c>
      <x:c r="B43" s="19" t="n">
        <x:v>38</x:v>
      </x:c>
      <x:c r="C43" s="19" t="n">
        <x:f>ROUNDUP(B43/12,0)</x:f>
        <x:v>4</x:v>
      </x:c>
      <x:c r="D43" s="19" t="n">
        <x:f>ROUND(MAX('参数'!$G$26,E43)+(IF(C43&lt;10,INDEX('参数'!$G$34:$P$34,1,MIN(10,C43+1)),'参数'!$H$26)-MAX('参数'!$G$26,E43))*MOD(B43-1,12)/11,0)</x:f>
        <x:v>25</x:v>
      </x:c>
      <x:c r="E43" s="19" t="n">
        <x:f>INDEX('参数'!$G$34:$P$34,1,C43)</x:f>
        <x:v>25</x:v>
      </x:c>
      <x:c r="F43" s="20" t="n">
        <x:f>'参数'!$I$26</x:f>
        <x:v>1.05</x:v>
      </x:c>
      <x:c r="G43" s="19" t="n">
        <x:f>ROUND(V43*X43/'参数'!$B$56,0)</x:f>
        <x:v>10668</x:v>
      </x:c>
      <x:c r="H43" s="19" t="n">
        <x:f>ROUND((AA43+SQRT(AA43^2+4*AA43*'参数'!$B$22*U43))/2,0)</x:f>
        <x:v>358</x:v>
      </x:c>
      <x:c r="I43" s="19" t="n">
        <x:f>ROUND(Q43*'参数'!$B$23/'参数'!$B$22,0)</x:f>
        <x:v>109</x:v>
      </x:c>
      <x:c r="J43" s="19" t="n">
        <x:f>ROUND(G43*'参数'!$B$50,0)</x:f>
        <x:v>32004</x:v>
      </x:c>
      <x:c r="K43" s="19" t="n">
        <x:f>ROUND(W43*Y43,0)</x:f>
        <x:v>97924</x:v>
      </x:c>
      <x:c r="L43" s="19" t="n">
        <x:f>ROUND((AB43+SQRT(AB43^2+4*AB43*'参数'!$B$22*U43))/2,0)</x:f>
        <x:v>571</x:v>
      </x:c>
      <x:c r="M43" s="19" t="n">
        <x:f>ROUND(I43*'参数'!$B$24,0)</x:f>
        <x:v>136</x:v>
      </x:c>
      <x:c r="N43" s="19" t="n">
        <x:f>'参数'!$B$9*'参数'!$B$10^(D43-1)</x:f>
        <x:v>1219.6764638762425</x:v>
      </x:c>
      <x:c r="O43" s="19" t="n">
        <x:f>'参数'!$B$18*'参数'!$B$19^(MIN(E43,MAX(1,5*INT(D43/5)))-1)*F43*'参数'!$J$26*P43</x:f>
        <x:v>90.40281484351866</x:v>
      </x:c>
      <x:c r="P43" s="22" t="n">
        <x:f>MIN(1,(D43-1)/19)</x:f>
        <x:v>1</x:v>
      </x:c>
      <x:c r="Q43" s="19" t="n">
        <x:f>INDEX('角色成长'!$F$6:$F$105,D43)+O43*'参数'!$K$21</x:f>
        <x:v>542.6480223040282</x:v>
      </x:c>
      <x:c r="R43" s="19" t="n">
        <x:f>INDEX('角色成长'!$I$6:$I$105,D43)+O43*'参数'!$K$21</x:f>
        <x:v>462.6480223040282</x:v>
      </x:c>
      <x:c r="S43" s="19" t="n">
        <x:f>INDEX('角色成长'!$L$6:$L$105,D43)+O43*'参数'!$K$21</x:f>
        <x:v>417.6480223040282</x:v>
      </x:c>
      <x:c r="T43" s="19" t="n">
        <x:f>(INDEX('角色成长'!$J$6:$J$105,D43)+O43*'参数'!$L$21)*(1+'参数'!$B$40*P43)</x:f>
        <x:v>6063.136738478726</x:v>
      </x:c>
      <x:c r="U43" s="19" t="n">
        <x:f>(INDEX('角色成长'!$K$6:$K$105,D43)+O43*'参数'!$M$21)*(1+'参数'!$B$41*P43)</x:f>
        <x:v>336.82541857377345</x:v>
      </x:c>
      <x:c r="V43" s="19" t="n">
        <x:f>(('参数'!$K$5*(((Q43*(1+'参数'!$B$39*P43))^2/((Q43*(1+'参数'!$B$39*P43))+'参数'!$B$22*(I43)))*(1+'参数'!$B$42*P43)/'参数'!$J$5+((Q43*'参数'!$B$43*(1+'参数'!$B$39*P43))^2/((Q43*'参数'!$B$43*(1+'参数'!$B$39*P43))+'参数'!$B$22*(I43)))/'参数'!$B$44))+(((R43*(1+'参数'!$B$39*P43))^2/((R43*(1+'参数'!$B$39*P43))+'参数'!$B$22*(I43)))*(1+'参数'!$B$42*P43)/'参数'!$J$6+((R43*'参数'!$B$45*(1+'参数'!$B$39*P43))^2/((R43*'参数'!$B$45*(1+'参数'!$B$39*P43))+'参数'!$B$22*(I43)))/'参数'!$B$46)+((S43*(1+'参数'!$B$39*P43))^2/((S43*(1+'参数'!$B$39*P43))+'参数'!$B$22*(I43)))*(1+'参数'!$B$42*P43)/'参数'!$J$7)*(1+'参数'!$B$37*('参数'!$B$38-1))*'参数'!$B$25</x:f>
        <x:v>3647.2291983862715</x:v>
      </x:c>
      <x:c r="W43" s="19" t="n">
        <x:f>(('参数'!$K$5*(((Q43*(1+'参数'!$B$39*P43))^2/((Q43*(1+'参数'!$B$39*P43))+'参数'!$B$22*(M43)))*(1+'参数'!$B$42*P43)/'参数'!$J$5+((Q43*'参数'!$B$43*(1+'参数'!$B$39*P43))^2/((Q43*'参数'!$B$43*(1+'参数'!$B$39*P43))+'参数'!$B$22*(M43)))/'参数'!$B$44))+(((R43*(1+'参数'!$B$39*P43))^2/((R43*(1+'参数'!$B$39*P43))+'参数'!$B$22*(M43)))*(1+'参数'!$B$42*P43)/'参数'!$J$6+((R43*'参数'!$B$45*(1+'参数'!$B$39*P43))^2/((R43*'参数'!$B$45*(1+'参数'!$B$39*P43))+'参数'!$B$22*(M43)))/'参数'!$B$46)+((S43*(1+'参数'!$B$39*P43))^2/((S43*(1+'参数'!$B$39*P43))+'参数'!$B$22*(M43)))*(1+'参数'!$B$42*P43)/'参数'!$J$7)*(1+'参数'!$B$37*('参数'!$B$38-1))</x:f>
        <x:v>2809.992105447225</x:v>
      </x:c>
      <x:c r="X43" s="26" t="n">
        <x:f>('参数'!$B$26+'参数'!$B$27*(D43-1)/99)*'参数'!$K$26*AD43</x:f>
        <x:v>13.454545454545455</x:v>
      </x:c>
      <x:c r="Y43" s="26" t="n">
        <x:f>('参数'!$B$28+'参数'!$B$29*(D43-1)/99)*'参数'!$K$26*AD43*IF(AE43=1,'参数'!$B$51,1)</x:f>
        <x:v>34.84848484848485</x:v>
      </x:c>
      <x:c r="Z43" s="22" t="n">
        <x:f>MIN('参数'!$B$36,U43/(U43+'参数'!$B$35))</x:f>
        <x:v>0.07766635408730455</x:v>
      </x:c>
      <x:c r="AA43" s="19" t="n">
        <x:f>T43*'参数'!$B$30/('参数'!$B$32*'参数'!$B$33)/(1-Z43)*AC43</x:f>
        <x:v>164.34228452326894</x:v>
      </x:c>
      <x:c r="AB43" s="19" t="n">
        <x:f>T43*'参数'!$B$31/'参数'!$B$34/(1-Z43)*AC43</x:f>
        <x:v>328.6845690465379</x:v>
      </x:c>
      <x:c r="AC43" s="20" t="n">
        <x:f>'参数'!$L$26*1</x:f>
        <x:v>1</x:v>
      </x:c>
      <x:c r="AD43" s="20" t="n">
        <x:f>1</x:f>
        <x:v>1</x:v>
      </x:c>
      <x:c r="AE43" s="19" t="n">
        <x:f>IF(MOD(B43,12)=0,1,0)</x:f>
        <x:v>0</x:v>
      </x:c>
    </x:row>
    <x:row r="44" ht="22" customHeight="1">
      <x:c r="A44" s="18" t="str">
        <x:v>简单</x:v>
      </x:c>
      <x:c r="B44" s="18" t="n">
        <x:v>39</x:v>
      </x:c>
      <x:c r="C44" s="18" t="n">
        <x:f>ROUNDUP(B44/12,0)</x:f>
        <x:v>4</x:v>
      </x:c>
      <x:c r="D44" s="18" t="n">
        <x:f>ROUND(MAX('参数'!$G$26,E44)+(IF(C44&lt;10,INDEX('参数'!$G$34:$P$34,1,MIN(10,C44+1)),'参数'!$H$26)-MAX('参数'!$G$26,E44))*MOD(B44-1,12)/11,0)</x:f>
        <x:v>26</x:v>
      </x:c>
      <x:c r="E44" s="18" t="n">
        <x:f>INDEX('参数'!$G$34:$P$34,1,C44)</x:f>
        <x:v>25</x:v>
      </x:c>
      <x:c r="F44" s="15" t="n">
        <x:f>'参数'!$I$26</x:f>
        <x:v>1.05</x:v>
      </x:c>
      <x:c r="G44" s="18" t="n">
        <x:f>ROUND(V44*X44/'参数'!$B$56,0)</x:f>
        <x:v>10903</x:v>
      </x:c>
      <x:c r="H44" s="18" t="n">
        <x:f>ROUND((AA44+SQRT(AA44^2+4*AA44*'参数'!$B$22*U44))/2,0)</x:f>
        <x:v>366</x:v>
      </x:c>
      <x:c r="I44" s="18" t="n">
        <x:f>ROUND(Q44*'参数'!$B$23/'参数'!$B$22,0)</x:f>
        <x:v>111</x:v>
      </x:c>
      <x:c r="J44" s="18" t="n">
        <x:f>ROUND(G44*'参数'!$B$50,0)</x:f>
        <x:v>32709</x:v>
      </x:c>
      <x:c r="K44" s="18" t="n">
        <x:f>ROUND(W44*Y44,0)</x:f>
        <x:v>100146</x:v>
      </x:c>
      <x:c r="L44" s="18" t="n">
        <x:f>ROUND((AB44+SQRT(AB44^2+4*AB44*'参数'!$B$22*U44))/2,0)</x:f>
        <x:v>584</x:v>
      </x:c>
      <x:c r="M44" s="18" t="n">
        <x:f>ROUND(I44*'参数'!$B$24,0)</x:f>
        <x:v>139</x:v>
      </x:c>
      <x:c r="N44" s="18" t="n">
        <x:f>'参数'!$B$9*'参数'!$B$10^(D44-1)</x:f>
        <x:v>1256.2667577925297</x:v>
      </x:c>
      <x:c r="O44" s="18" t="n">
        <x:f>'参数'!$B$18*'参数'!$B$19^(MIN(E44,MAX(1,5*INT(D44/5)))-1)*F44*'参数'!$J$26*P44</x:f>
        <x:v>90.40281484351866</x:v>
      </x:c>
      <x:c r="P44" s="21" t="n">
        <x:f>MIN(1,(D44-1)/19)</x:f>
        <x:v>1</x:v>
      </x:c>
      <x:c r="Q44" s="18" t="n">
        <x:f>INDEX('角色成长'!$F$6:$F$105,D44)+O44*'参数'!$K$21</x:f>
        <x:v>552.6480223040282</x:v>
      </x:c>
      <x:c r="R44" s="18" t="n">
        <x:f>INDEX('角色成长'!$I$6:$I$105,D44)+O44*'参数'!$K$21</x:f>
        <x:v>470.6480223040282</x:v>
      </x:c>
      <x:c r="S44" s="18" t="n">
        <x:f>INDEX('角色成长'!$L$6:$L$105,D44)+O44*'参数'!$K$21</x:f>
        <x:v>422.6480223040282</x:v>
      </x:c>
      <x:c r="T44" s="18" t="n">
        <x:f>(INDEX('角色成长'!$J$6:$J$105,D44)+O44*'参数'!$L$21)*(1+'参数'!$B$40*P44)</x:f>
        <x:v>6201.736738478727</x:v>
      </x:c>
      <x:c r="U44" s="18" t="n">
        <x:f>(INDEX('角色成长'!$K$6:$K$105,D44)+O44*'参数'!$M$21)*(1+'参数'!$B$41*P44)</x:f>
        <x:v>343.42541857377347</x:v>
      </x:c>
      <x:c r="V44" s="18" t="n">
        <x:f>(('参数'!$K$5*(((Q44*(1+'参数'!$B$39*P44))^2/((Q44*(1+'参数'!$B$39*P44))+'参数'!$B$22*(I44)))*(1+'参数'!$B$42*P44)/'参数'!$J$5+((Q44*'参数'!$B$43*(1+'参数'!$B$39*P44))^2/((Q44*'参数'!$B$43*(1+'参数'!$B$39*P44))+'参数'!$B$22*(I44)))/'参数'!$B$44))+(((R44*(1+'参数'!$B$39*P44))^2/((R44*(1+'参数'!$B$39*P44))+'参数'!$B$22*(I44)))*(1+'参数'!$B$42*P44)/'参数'!$J$6+((R44*'参数'!$B$45*(1+'参数'!$B$39*P44))^2/((R44*'参数'!$B$45*(1+'参数'!$B$39*P44))+'参数'!$B$22*(I44)))/'参数'!$B$46)+((S44*(1+'参数'!$B$39*P44))^2/((S44*(1+'参数'!$B$39*P44))+'参数'!$B$22*(I44)))*(1+'参数'!$B$42*P44)/'参数'!$J$7)*(1+'参数'!$B$37*('参数'!$B$38-1))*'参数'!$B$25</x:f>
        <x:v>3711.06809679887</x:v>
      </x:c>
      <x:c r="W44" s="18" t="n">
        <x:f>(('参数'!$K$5*(((Q44*(1+'参数'!$B$39*P44))^2/((Q44*(1+'参数'!$B$39*P44))+'参数'!$B$22*(M44)))*(1+'参数'!$B$42*P44)/'参数'!$J$5+((Q44*'参数'!$B$43*(1+'参数'!$B$39*P44))^2/((Q44*'参数'!$B$43*(1+'参数'!$B$39*P44))+'参数'!$B$22*(M44)))/'参数'!$B$44))+(((R44*(1+'参数'!$B$39*P44))^2/((R44*(1+'参数'!$B$39*P44))+'参数'!$B$22*(M44)))*(1+'参数'!$B$42*P44)/'参数'!$J$6+((R44*'参数'!$B$45*(1+'参数'!$B$39*P44))^2/((R44*'参数'!$B$45*(1+'参数'!$B$39*P44))+'参数'!$B$22*(M44)))/'参数'!$B$46)+((S44*(1+'参数'!$B$39*P44))^2/((S44*(1+'参数'!$B$39*P44))+'参数'!$B$22*(M44)))*(1+'参数'!$B$42*P44)/'参数'!$J$7)*(1+'参数'!$B$37*('参数'!$B$38-1))</x:f>
        <x:v>2857.2015523981813</x:v>
      </x:c>
      <x:c r="X44" s="25" t="n">
        <x:f>('参数'!$B$26+'参数'!$B$27*(D44-1)/99)*'参数'!$K$26*AD44</x:f>
        <x:v>13.515151515151516</x:v>
      </x:c>
      <x:c r="Y44" s="25" t="n">
        <x:f>('参数'!$B$28+'参数'!$B$29*(D44-1)/99)*'参数'!$K$26*AD44*IF(AE44=1,'参数'!$B$51,1)</x:f>
        <x:v>35.05050505050505</x:v>
      </x:c>
      <x:c r="Z44" s="21" t="n">
        <x:f>MIN('参数'!$B$36,U44/(U44+'参数'!$B$35))</x:f>
        <x:v>0.07906787511653467</x:v>
      </x:c>
      <x:c r="AA44" s="18" t="n">
        <x:f>T44*'参数'!$B$30/('参数'!$B$32*'参数'!$B$33)/(1-Z44)*AC44</x:f>
        <x:v>168.35488118257067</x:v>
      </x:c>
      <x:c r="AB44" s="18" t="n">
        <x:f>T44*'参数'!$B$31/'参数'!$B$34/(1-Z44)*AC44</x:f>
        <x:v>336.70976236514144</x:v>
      </x:c>
      <x:c r="AC44" s="15" t="n">
        <x:f>'参数'!$L$26*1</x:f>
        <x:v>1</x:v>
      </x:c>
      <x:c r="AD44" s="15" t="n">
        <x:f>1</x:f>
        <x:v>1</x:v>
      </x:c>
      <x:c r="AE44" s="18" t="n">
        <x:f>IF(MOD(B44,12)=0,1,0)</x:f>
        <x:v>0</x:v>
      </x:c>
    </x:row>
    <x:row r="45" ht="22" customHeight="1">
      <x:c r="A45" s="19" t="str">
        <x:v>简单</x:v>
      </x:c>
      <x:c r="B45" s="19" t="n">
        <x:v>40</x:v>
      </x:c>
      <x:c r="C45" s="19" t="n">
        <x:f>ROUNDUP(B45/12,0)</x:f>
        <x:v>4</x:v>
      </x:c>
      <x:c r="D45" s="19" t="n">
        <x:f>ROUND(MAX('参数'!$G$26,E45)+(IF(C45&lt;10,INDEX('参数'!$G$34:$P$34,1,MIN(10,C45+1)),'参数'!$H$26)-MAX('参数'!$G$26,E45))*MOD(B45-1,12)/11,0)</x:f>
        <x:v>26</x:v>
      </x:c>
      <x:c r="E45" s="19" t="n">
        <x:f>INDEX('参数'!$G$34:$P$34,1,C45)</x:f>
        <x:v>25</x:v>
      </x:c>
      <x:c r="F45" s="20" t="n">
        <x:f>'参数'!$I$26</x:f>
        <x:v>1.05</x:v>
      </x:c>
      <x:c r="G45" s="19" t="n">
        <x:f>ROUND(V45*X45/'参数'!$B$56,0)</x:f>
        <x:v>10903</x:v>
      </x:c>
      <x:c r="H45" s="19" t="n">
        <x:f>ROUND((AA45+SQRT(AA45^2+4*AA45*'参数'!$B$22*U45))/2,0)</x:f>
        <x:v>366</x:v>
      </x:c>
      <x:c r="I45" s="19" t="n">
        <x:f>ROUND(Q45*'参数'!$B$23/'参数'!$B$22,0)</x:f>
        <x:v>111</x:v>
      </x:c>
      <x:c r="J45" s="19" t="n">
        <x:f>ROUND(G45*'参数'!$B$50,0)</x:f>
        <x:v>32709</x:v>
      </x:c>
      <x:c r="K45" s="19" t="n">
        <x:f>ROUND(W45*Y45,0)</x:f>
        <x:v>100146</x:v>
      </x:c>
      <x:c r="L45" s="19" t="n">
        <x:f>ROUND((AB45+SQRT(AB45^2+4*AB45*'参数'!$B$22*U45))/2,0)</x:f>
        <x:v>584</x:v>
      </x:c>
      <x:c r="M45" s="19" t="n">
        <x:f>ROUND(I45*'参数'!$B$24,0)</x:f>
        <x:v>139</x:v>
      </x:c>
      <x:c r="N45" s="19" t="n">
        <x:f>'参数'!$B$9*'参数'!$B$10^(D45-1)</x:f>
        <x:v>1256.2667577925297</x:v>
      </x:c>
      <x:c r="O45" s="19" t="n">
        <x:f>'参数'!$B$18*'参数'!$B$19^(MIN(E45,MAX(1,5*INT(D45/5)))-1)*F45*'参数'!$J$26*P45</x:f>
        <x:v>90.40281484351866</x:v>
      </x:c>
      <x:c r="P45" s="22" t="n">
        <x:f>MIN(1,(D45-1)/19)</x:f>
        <x:v>1</x:v>
      </x:c>
      <x:c r="Q45" s="19" t="n">
        <x:f>INDEX('角色成长'!$F$6:$F$105,D45)+O45*'参数'!$K$21</x:f>
        <x:v>552.6480223040282</x:v>
      </x:c>
      <x:c r="R45" s="19" t="n">
        <x:f>INDEX('角色成长'!$I$6:$I$105,D45)+O45*'参数'!$K$21</x:f>
        <x:v>470.6480223040282</x:v>
      </x:c>
      <x:c r="S45" s="19" t="n">
        <x:f>INDEX('角色成长'!$L$6:$L$105,D45)+O45*'参数'!$K$21</x:f>
        <x:v>422.6480223040282</x:v>
      </x:c>
      <x:c r="T45" s="19" t="n">
        <x:f>(INDEX('角色成长'!$J$6:$J$105,D45)+O45*'参数'!$L$21)*(1+'参数'!$B$40*P45)</x:f>
        <x:v>6201.736738478727</x:v>
      </x:c>
      <x:c r="U45" s="19" t="n">
        <x:f>(INDEX('角色成长'!$K$6:$K$105,D45)+O45*'参数'!$M$21)*(1+'参数'!$B$41*P45)</x:f>
        <x:v>343.42541857377347</x:v>
      </x:c>
      <x:c r="V45" s="19" t="n">
        <x:f>(('参数'!$K$5*(((Q45*(1+'参数'!$B$39*P45))^2/((Q45*(1+'参数'!$B$39*P45))+'参数'!$B$22*(I45)))*(1+'参数'!$B$42*P45)/'参数'!$J$5+((Q45*'参数'!$B$43*(1+'参数'!$B$39*P45))^2/((Q45*'参数'!$B$43*(1+'参数'!$B$39*P45))+'参数'!$B$22*(I45)))/'参数'!$B$44))+(((R45*(1+'参数'!$B$39*P45))^2/((R45*(1+'参数'!$B$39*P45))+'参数'!$B$22*(I45)))*(1+'参数'!$B$42*P45)/'参数'!$J$6+((R45*'参数'!$B$45*(1+'参数'!$B$39*P45))^2/((R45*'参数'!$B$45*(1+'参数'!$B$39*P45))+'参数'!$B$22*(I45)))/'参数'!$B$46)+((S45*(1+'参数'!$B$39*P45))^2/((S45*(1+'参数'!$B$39*P45))+'参数'!$B$22*(I45)))*(1+'参数'!$B$42*P45)/'参数'!$J$7)*(1+'参数'!$B$37*('参数'!$B$38-1))*'参数'!$B$25</x:f>
        <x:v>3711.06809679887</x:v>
      </x:c>
      <x:c r="W45" s="19" t="n">
        <x:f>(('参数'!$K$5*(((Q45*(1+'参数'!$B$39*P45))^2/((Q45*(1+'参数'!$B$39*P45))+'参数'!$B$22*(M45)))*(1+'参数'!$B$42*P45)/'参数'!$J$5+((Q45*'参数'!$B$43*(1+'参数'!$B$39*P45))^2/((Q45*'参数'!$B$43*(1+'参数'!$B$39*P45))+'参数'!$B$22*(M45)))/'参数'!$B$44))+(((R45*(1+'参数'!$B$39*P45))^2/((R45*(1+'参数'!$B$39*P45))+'参数'!$B$22*(M45)))*(1+'参数'!$B$42*P45)/'参数'!$J$6+((R45*'参数'!$B$45*(1+'参数'!$B$39*P45))^2/((R45*'参数'!$B$45*(1+'参数'!$B$39*P45))+'参数'!$B$22*(M45)))/'参数'!$B$46)+((S45*(1+'参数'!$B$39*P45))^2/((S45*(1+'参数'!$B$39*P45))+'参数'!$B$22*(M45)))*(1+'参数'!$B$42*P45)/'参数'!$J$7)*(1+'参数'!$B$37*('参数'!$B$38-1))</x:f>
        <x:v>2857.2015523981813</x:v>
      </x:c>
      <x:c r="X45" s="26" t="n">
        <x:f>('参数'!$B$26+'参数'!$B$27*(D45-1)/99)*'参数'!$K$26*AD45</x:f>
        <x:v>13.515151515151516</x:v>
      </x:c>
      <x:c r="Y45" s="26" t="n">
        <x:f>('参数'!$B$28+'参数'!$B$29*(D45-1)/99)*'参数'!$K$26*AD45*IF(AE45=1,'参数'!$B$51,1)</x:f>
        <x:v>35.05050505050505</x:v>
      </x:c>
      <x:c r="Z45" s="22" t="n">
        <x:f>MIN('参数'!$B$36,U45/(U45+'参数'!$B$35))</x:f>
        <x:v>0.07906787511653467</x:v>
      </x:c>
      <x:c r="AA45" s="19" t="n">
        <x:f>T45*'参数'!$B$30/('参数'!$B$32*'参数'!$B$33)/(1-Z45)*AC45</x:f>
        <x:v>168.35488118257067</x:v>
      </x:c>
      <x:c r="AB45" s="19" t="n">
        <x:f>T45*'参数'!$B$31/'参数'!$B$34/(1-Z45)*AC45</x:f>
        <x:v>336.70976236514144</x:v>
      </x:c>
      <x:c r="AC45" s="20" t="n">
        <x:f>'参数'!$L$26*1</x:f>
        <x:v>1</x:v>
      </x:c>
      <x:c r="AD45" s="20" t="n">
        <x:f>1</x:f>
        <x:v>1</x:v>
      </x:c>
      <x:c r="AE45" s="19" t="n">
        <x:f>IF(MOD(B45,12)=0,1,0)</x:f>
        <x:v>0</x:v>
      </x:c>
    </x:row>
    <x:row r="46" ht="22" customHeight="1">
      <x:c r="A46" s="18" t="str">
        <x:v>简单</x:v>
      </x:c>
      <x:c r="B46" s="18" t="n">
        <x:v>41</x:v>
      </x:c>
      <x:c r="C46" s="18" t="n">
        <x:f>ROUNDUP(B46/12,0)</x:f>
        <x:v>4</x:v>
      </x:c>
      <x:c r="D46" s="18" t="n">
        <x:f>ROUND(MAX('参数'!$G$26,E46)+(IF(C46&lt;10,INDEX('参数'!$G$34:$P$34,1,MIN(10,C46+1)),'参数'!$H$26)-MAX('参数'!$G$26,E46))*MOD(B46-1,12)/11,0)</x:f>
        <x:v>27</x:v>
      </x:c>
      <x:c r="E46" s="18" t="n">
        <x:f>INDEX('参数'!$G$34:$P$34,1,C46)</x:f>
        <x:v>25</x:v>
      </x:c>
      <x:c r="F46" s="15" t="n">
        <x:f>'参数'!$I$26</x:f>
        <x:v>1.05</x:v>
      </x:c>
      <x:c r="G46" s="18" t="n">
        <x:f>ROUND(V46*X46/'参数'!$B$56,0)</x:f>
        <x:v>11157</x:v>
      </x:c>
      <x:c r="H46" s="18" t="n">
        <x:f>ROUND((AA46+SQRT(AA46^2+4*AA46*'参数'!$B$22*U46))/2,0)</x:f>
        <x:v>374</x:v>
      </x:c>
      <x:c r="I46" s="18" t="n">
        <x:f>ROUND(Q46*'参数'!$B$23/'参数'!$B$22,0)</x:f>
        <x:v>113</x:v>
      </x:c>
      <x:c r="J46" s="18" t="n">
        <x:f>ROUND(G46*'参数'!$B$50,0)</x:f>
        <x:v>33471</x:v>
      </x:c>
      <x:c r="K46" s="18" t="n">
        <x:f>ROUND(W46*Y46,0)</x:f>
        <x:v>102672</x:v>
      </x:c>
      <x:c r="L46" s="18" t="n">
        <x:f>ROUND((AB46+SQRT(AB46^2+4*AB46*'参数'!$B$22*U46))/2,0)</x:f>
        <x:v>597</x:v>
      </x:c>
      <x:c r="M46" s="18" t="n">
        <x:f>ROUND(I46*'参数'!$B$24,0)</x:f>
        <x:v>141</x:v>
      </x:c>
      <x:c r="N46" s="18" t="n">
        <x:f>'参数'!$B$9*'参数'!$B$10^(D46-1)</x:f>
        <x:v>1293.9547605263056</x:v>
      </x:c>
      <x:c r="O46" s="18" t="n">
        <x:f>'参数'!$B$18*'参数'!$B$19^(MIN(E46,MAX(1,5*INT(D46/5)))-1)*F46*'参数'!$J$26*P46</x:f>
        <x:v>90.40281484351866</x:v>
      </x:c>
      <x:c r="P46" s="21" t="n">
        <x:f>MIN(1,(D46-1)/19)</x:f>
        <x:v>1</x:v>
      </x:c>
      <x:c r="Q46" s="18" t="n">
        <x:f>INDEX('角色成长'!$F$6:$F$105,D46)+O46*'参数'!$K$21</x:f>
        <x:v>563.6480223040282</x:v>
      </x:c>
      <x:c r="R46" s="18" t="n">
        <x:f>INDEX('角色成长'!$I$6:$I$105,D46)+O46*'参数'!$K$21</x:f>
        <x:v>477.6480223040282</x:v>
      </x:c>
      <x:c r="S46" s="18" t="n">
        <x:f>INDEX('角色成长'!$L$6:$L$105,D46)+O46*'参数'!$K$21</x:f>
        <x:v>428.6480223040282</x:v>
      </x:c>
      <x:c r="T46" s="18" t="n">
        <x:f>(INDEX('角色成长'!$J$6:$J$105,D46)+O46*'参数'!$L$21)*(1+'参数'!$B$40*P46)</x:f>
        <x:v>6345.836738478726</x:v>
      </x:c>
      <x:c r="U46" s="18" t="n">
        <x:f>(INDEX('角色成长'!$K$6:$K$105,D46)+O46*'参数'!$M$21)*(1+'参数'!$B$41*P46)</x:f>
        <x:v>348.92541857377347</x:v>
      </x:c>
      <x:c r="V46" s="18" t="n">
        <x:f>(('参数'!$K$5*(((Q46*(1+'参数'!$B$39*P46))^2/((Q46*(1+'参数'!$B$39*P46))+'参数'!$B$22*(I46)))*(1+'参数'!$B$42*P46)/'参数'!$J$5+((Q46*'参数'!$B$43*(1+'参数'!$B$39*P46))^2/((Q46*'参数'!$B$43*(1+'参数'!$B$39*P46))+'参数'!$B$22*(I46)))/'参数'!$B$44))+(((R46*(1+'参数'!$B$39*P46))^2/((R46*(1+'参数'!$B$39*P46))+'参数'!$B$22*(I46)))*(1+'参数'!$B$42*P46)/'参数'!$J$6+((R46*'参数'!$B$45*(1+'参数'!$B$39*P46))^2/((R46*'参数'!$B$45*(1+'参数'!$B$39*P46))+'参数'!$B$22*(I46)))/'参数'!$B$46)+((S46*(1+'参数'!$B$39*P46))^2/((S46*(1+'参数'!$B$39*P46))+'参数'!$B$22*(I46)))*(1+'参数'!$B$42*P46)/'参数'!$J$7)*(1+'参数'!$B$37*('参数'!$B$38-1))*'参数'!$B$25</x:f>
        <x:v>3780.266122982028</x:v>
      </x:c>
      <x:c r="W46" s="18" t="n">
        <x:f>(('参数'!$K$5*(((Q46*(1+'参数'!$B$39*P46))^2/((Q46*(1+'参数'!$B$39*P46))+'参数'!$B$22*(M46)))*(1+'参数'!$B$42*P46)/'参数'!$J$5+((Q46*'参数'!$B$43*(1+'参数'!$B$39*P46))^2/((Q46*'参数'!$B$43*(1+'参数'!$B$39*P46))+'参数'!$B$22*(M46)))/'参数'!$B$44))+(((R46*(1+'参数'!$B$39*P46))^2/((R46*(1+'参数'!$B$39*P46))+'参数'!$B$22*(M46)))*(1+'参数'!$B$42*P46)/'参数'!$J$6+((R46*'参数'!$B$45*(1+'参数'!$B$39*P46))^2/((R46*'参数'!$B$45*(1+'参数'!$B$39*P46))+'参数'!$B$22*(M46)))/'参数'!$B$46)+((S46*(1+'参数'!$B$39*P46))^2/((S46*(1+'参数'!$B$39*P46))+'参数'!$B$22*(M46)))*(1+'参数'!$B$42*P46)/'参数'!$J$7)*(1+'参数'!$B$37*('参数'!$B$38-1))</x:f>
        <x:v>2912.4809580952806</x:v>
      </x:c>
      <x:c r="X46" s="25" t="n">
        <x:f>('参数'!$B$26+'参数'!$B$27*(D46-1)/99)*'参数'!$K$26*AD46</x:f>
        <x:v>13.575757575757576</x:v>
      </x:c>
      <x:c r="Y46" s="25" t="n">
        <x:f>('参数'!$B$28+'参数'!$B$29*(D46-1)/99)*'参数'!$K$26*AD46*IF(AE46=1,'参数'!$B$51,1)</x:f>
        <x:v>35.25252525252525</x:v>
      </x:c>
      <x:c r="Z46" s="21" t="n">
        <x:f>MIN('参数'!$B$36,U46/(U46+'参数'!$B$35))</x:f>
        <x:v>0.08023255976834003</x:v>
      </x:c>
      <x:c r="AA46" s="18" t="n">
        <x:f>T46*'参数'!$B$30/('参数'!$B$32*'参数'!$B$33)/(1-Z46)*AC46</x:f>
        <x:v>172.48481683805886</x:v>
      </x:c>
      <x:c r="AB46" s="18" t="n">
        <x:f>T46*'参数'!$B$31/'参数'!$B$34/(1-Z46)*AC46</x:f>
        <x:v>344.9696336761178</x:v>
      </x:c>
      <x:c r="AC46" s="15" t="n">
        <x:f>'参数'!$L$26*1</x:f>
        <x:v>1</x:v>
      </x:c>
      <x:c r="AD46" s="15" t="n">
        <x:f>1</x:f>
        <x:v>1</x:v>
      </x:c>
      <x:c r="AE46" s="18" t="n">
        <x:f>IF(MOD(B46,12)=0,1,0)</x:f>
        <x:v>0</x:v>
      </x:c>
    </x:row>
    <x:row r="47" ht="22" customHeight="1">
      <x:c r="A47" s="19" t="str">
        <x:v>简单</x:v>
      </x:c>
      <x:c r="B47" s="19" t="n">
        <x:v>42</x:v>
      </x:c>
      <x:c r="C47" s="19" t="n">
        <x:f>ROUNDUP(B47/12,0)</x:f>
        <x:v>4</x:v>
      </x:c>
      <x:c r="D47" s="19" t="n">
        <x:f>ROUND(MAX('参数'!$G$26,E47)+(IF(C47&lt;10,INDEX('参数'!$G$34:$P$34,1,MIN(10,C47+1)),'参数'!$H$26)-MAX('参数'!$G$26,E47))*MOD(B47-1,12)/11,0)</x:f>
        <x:v>27</x:v>
      </x:c>
      <x:c r="E47" s="19" t="n">
        <x:f>INDEX('参数'!$G$34:$P$34,1,C47)</x:f>
        <x:v>25</x:v>
      </x:c>
      <x:c r="F47" s="20" t="n">
        <x:f>'参数'!$I$26</x:f>
        <x:v>1.05</x:v>
      </x:c>
      <x:c r="G47" s="19" t="n">
        <x:f>ROUND(V47*X47/'参数'!$B$56,0)</x:f>
        <x:v>11157</x:v>
      </x:c>
      <x:c r="H47" s="19" t="n">
        <x:f>ROUND((AA47+SQRT(AA47^2+4*AA47*'参数'!$B$22*U47))/2,0)</x:f>
        <x:v>374</x:v>
      </x:c>
      <x:c r="I47" s="19" t="n">
        <x:f>ROUND(Q47*'参数'!$B$23/'参数'!$B$22,0)</x:f>
        <x:v>113</x:v>
      </x:c>
      <x:c r="J47" s="19" t="n">
        <x:f>ROUND(G47*'参数'!$B$50,0)</x:f>
        <x:v>33471</x:v>
      </x:c>
      <x:c r="K47" s="19" t="n">
        <x:f>ROUND(W47*Y47,0)</x:f>
        <x:v>102672</x:v>
      </x:c>
      <x:c r="L47" s="19" t="n">
        <x:f>ROUND((AB47+SQRT(AB47^2+4*AB47*'参数'!$B$22*U47))/2,0)</x:f>
        <x:v>597</x:v>
      </x:c>
      <x:c r="M47" s="19" t="n">
        <x:f>ROUND(I47*'参数'!$B$24,0)</x:f>
        <x:v>141</x:v>
      </x:c>
      <x:c r="N47" s="19" t="n">
        <x:f>'参数'!$B$9*'参数'!$B$10^(D47-1)</x:f>
        <x:v>1293.9547605263056</x:v>
      </x:c>
      <x:c r="O47" s="19" t="n">
        <x:f>'参数'!$B$18*'参数'!$B$19^(MIN(E47,MAX(1,5*INT(D47/5)))-1)*F47*'参数'!$J$26*P47</x:f>
        <x:v>90.40281484351866</x:v>
      </x:c>
      <x:c r="P47" s="22" t="n">
        <x:f>MIN(1,(D47-1)/19)</x:f>
        <x:v>1</x:v>
      </x:c>
      <x:c r="Q47" s="19" t="n">
        <x:f>INDEX('角色成长'!$F$6:$F$105,D47)+O47*'参数'!$K$21</x:f>
        <x:v>563.6480223040282</x:v>
      </x:c>
      <x:c r="R47" s="19" t="n">
        <x:f>INDEX('角色成长'!$I$6:$I$105,D47)+O47*'参数'!$K$21</x:f>
        <x:v>477.6480223040282</x:v>
      </x:c>
      <x:c r="S47" s="19" t="n">
        <x:f>INDEX('角色成长'!$L$6:$L$105,D47)+O47*'参数'!$K$21</x:f>
        <x:v>428.6480223040282</x:v>
      </x:c>
      <x:c r="T47" s="19" t="n">
        <x:f>(INDEX('角色成长'!$J$6:$J$105,D47)+O47*'参数'!$L$21)*(1+'参数'!$B$40*P47)</x:f>
        <x:v>6345.836738478726</x:v>
      </x:c>
      <x:c r="U47" s="19" t="n">
        <x:f>(INDEX('角色成长'!$K$6:$K$105,D47)+O47*'参数'!$M$21)*(1+'参数'!$B$41*P47)</x:f>
        <x:v>348.92541857377347</x:v>
      </x:c>
      <x:c r="V47" s="19" t="n">
        <x:f>(('参数'!$K$5*(((Q47*(1+'参数'!$B$39*P47))^2/((Q47*(1+'参数'!$B$39*P47))+'参数'!$B$22*(I47)))*(1+'参数'!$B$42*P47)/'参数'!$J$5+((Q47*'参数'!$B$43*(1+'参数'!$B$39*P47))^2/((Q47*'参数'!$B$43*(1+'参数'!$B$39*P47))+'参数'!$B$22*(I47)))/'参数'!$B$44))+(((R47*(1+'参数'!$B$39*P47))^2/((R47*(1+'参数'!$B$39*P47))+'参数'!$B$22*(I47)))*(1+'参数'!$B$42*P47)/'参数'!$J$6+((R47*'参数'!$B$45*(1+'参数'!$B$39*P47))^2/((R47*'参数'!$B$45*(1+'参数'!$B$39*P47))+'参数'!$B$22*(I47)))/'参数'!$B$46)+((S47*(1+'参数'!$B$39*P47))^2/((S47*(1+'参数'!$B$39*P47))+'参数'!$B$22*(I47)))*(1+'参数'!$B$42*P47)/'参数'!$J$7)*(1+'参数'!$B$37*('参数'!$B$38-1))*'参数'!$B$25</x:f>
        <x:v>3780.266122982028</x:v>
      </x:c>
      <x:c r="W47" s="19" t="n">
        <x:f>(('参数'!$K$5*(((Q47*(1+'参数'!$B$39*P47))^2/((Q47*(1+'参数'!$B$39*P47))+'参数'!$B$22*(M47)))*(1+'参数'!$B$42*P47)/'参数'!$J$5+((Q47*'参数'!$B$43*(1+'参数'!$B$39*P47))^2/((Q47*'参数'!$B$43*(1+'参数'!$B$39*P47))+'参数'!$B$22*(M47)))/'参数'!$B$44))+(((R47*(1+'参数'!$B$39*P47))^2/((R47*(1+'参数'!$B$39*P47))+'参数'!$B$22*(M47)))*(1+'参数'!$B$42*P47)/'参数'!$J$6+((R47*'参数'!$B$45*(1+'参数'!$B$39*P47))^2/((R47*'参数'!$B$45*(1+'参数'!$B$39*P47))+'参数'!$B$22*(M47)))/'参数'!$B$46)+((S47*(1+'参数'!$B$39*P47))^2/((S47*(1+'参数'!$B$39*P47))+'参数'!$B$22*(M47)))*(1+'参数'!$B$42*P47)/'参数'!$J$7)*(1+'参数'!$B$37*('参数'!$B$38-1))</x:f>
        <x:v>2912.4809580952806</x:v>
      </x:c>
      <x:c r="X47" s="26" t="n">
        <x:f>('参数'!$B$26+'参数'!$B$27*(D47-1)/99)*'参数'!$K$26*AD47</x:f>
        <x:v>13.575757575757576</x:v>
      </x:c>
      <x:c r="Y47" s="26" t="n">
        <x:f>('参数'!$B$28+'参数'!$B$29*(D47-1)/99)*'参数'!$K$26*AD47*IF(AE47=1,'参数'!$B$51,1)</x:f>
        <x:v>35.25252525252525</x:v>
      </x:c>
      <x:c r="Z47" s="22" t="n">
        <x:f>MIN('参数'!$B$36,U47/(U47+'参数'!$B$35))</x:f>
        <x:v>0.08023255976834003</x:v>
      </x:c>
      <x:c r="AA47" s="19" t="n">
        <x:f>T47*'参数'!$B$30/('参数'!$B$32*'参数'!$B$33)/(1-Z47)*AC47</x:f>
        <x:v>172.48481683805886</x:v>
      </x:c>
      <x:c r="AB47" s="19" t="n">
        <x:f>T47*'参数'!$B$31/'参数'!$B$34/(1-Z47)*AC47</x:f>
        <x:v>344.9696336761178</x:v>
      </x:c>
      <x:c r="AC47" s="20" t="n">
        <x:f>'参数'!$L$26*1</x:f>
        <x:v>1</x:v>
      </x:c>
      <x:c r="AD47" s="20" t="n">
        <x:f>1</x:f>
        <x:v>1</x:v>
      </x:c>
      <x:c r="AE47" s="19" t="n">
        <x:f>IF(MOD(B47,12)=0,1,0)</x:f>
        <x:v>0</x:v>
      </x:c>
    </x:row>
    <x:row r="48" ht="22" customHeight="1">
      <x:c r="A48" s="18" t="str">
        <x:v>简单</x:v>
      </x:c>
      <x:c r="B48" s="18" t="n">
        <x:v>43</x:v>
      </x:c>
      <x:c r="C48" s="18" t="n">
        <x:f>ROUNDUP(B48/12,0)</x:f>
        <x:v>4</x:v>
      </x:c>
      <x:c r="D48" s="18" t="n">
        <x:f>ROUND(MAX('参数'!$G$26,E48)+(IF(C48&lt;10,INDEX('参数'!$G$34:$P$34,1,MIN(10,C48+1)),'参数'!$H$26)-MAX('参数'!$G$26,E48))*MOD(B48-1,12)/11,0)</x:f>
        <x:v>28</x:v>
      </x:c>
      <x:c r="E48" s="18" t="n">
        <x:f>INDEX('参数'!$G$34:$P$34,1,C48)</x:f>
        <x:v>25</x:v>
      </x:c>
      <x:c r="F48" s="15" t="n">
        <x:f>'参数'!$I$26</x:f>
        <x:v>1.05</x:v>
      </x:c>
      <x:c r="G48" s="18" t="n">
        <x:f>ROUND(V48*X48/'参数'!$B$56,0)</x:f>
        <x:v>11399</x:v>
      </x:c>
      <x:c r="H48" s="18" t="n">
        <x:f>ROUND((AA48+SQRT(AA48^2+4*AA48*'参数'!$B$22*U48))/2,0)</x:f>
        <x:v>382</x:v>
      </x:c>
      <x:c r="I48" s="18" t="n">
        <x:f>ROUND(Q48*'参数'!$B$23/'参数'!$B$22,0)</x:f>
        <x:v>115</x:v>
      </x:c>
      <x:c r="J48" s="18" t="n">
        <x:f>ROUND(G48*'参数'!$B$50,0)</x:f>
        <x:v>34197</x:v>
      </x:c>
      <x:c r="K48" s="18" t="n">
        <x:f>ROUND(W48*Y48,0)</x:f>
        <x:v>104962</x:v>
      </x:c>
      <x:c r="L48" s="18" t="n">
        <x:f>ROUND((AB48+SQRT(AB48^2+4*AB48*'参数'!$B$22*U48))/2,0)</x:f>
        <x:v>611</x:v>
      </x:c>
      <x:c r="M48" s="18" t="n">
        <x:f>ROUND(I48*'参数'!$B$24,0)</x:f>
        <x:v>144</x:v>
      </x:c>
      <x:c r="N48" s="18" t="n">
        <x:f>'参数'!$B$9*'参数'!$B$10^(D48-1)</x:f>
        <x:v>1332.773403342095</x:v>
      </x:c>
      <x:c r="O48" s="18" t="n">
        <x:f>'参数'!$B$18*'参数'!$B$19^(MIN(E48,MAX(1,5*INT(D48/5)))-1)*F48*'参数'!$J$26*P48</x:f>
        <x:v>90.40281484351866</x:v>
      </x:c>
      <x:c r="P48" s="21" t="n">
        <x:f>MIN(1,(D48-1)/19)</x:f>
        <x:v>1</x:v>
      </x:c>
      <x:c r="Q48" s="18" t="n">
        <x:f>INDEX('角色成长'!$F$6:$F$105,D48)+O48*'参数'!$K$21</x:f>
        <x:v>573.6480223040282</x:v>
      </x:c>
      <x:c r="R48" s="18" t="n">
        <x:f>INDEX('角色成长'!$I$6:$I$105,D48)+O48*'参数'!$K$21</x:f>
        <x:v>485.6480223040282</x:v>
      </x:c>
      <x:c r="S48" s="18" t="n">
        <x:f>INDEX('角色成长'!$L$6:$L$105,D48)+O48*'参数'!$K$21</x:f>
        <x:v>434.6480223040282</x:v>
      </x:c>
      <x:c r="T48" s="18" t="n">
        <x:f>(INDEX('角色成长'!$J$6:$J$105,D48)+O48*'参数'!$L$21)*(1+'参数'!$B$40*P48)</x:f>
        <x:v>6495.4367384787265</x:v>
      </x:c>
      <x:c r="U48" s="18" t="n">
        <x:f>(INDEX('角色成长'!$K$6:$K$105,D48)+O48*'参数'!$M$21)*(1+'参数'!$B$41*P48)</x:f>
        <x:v>355.52541857377344</x:v>
      </x:c>
      <x:c r="V48" s="18" t="n">
        <x:f>(('参数'!$K$5*(((Q48*(1+'参数'!$B$39*P48))^2/((Q48*(1+'参数'!$B$39*P48))+'参数'!$B$22*(I48)))*(1+'参数'!$B$42*P48)/'参数'!$J$5+((Q48*'参数'!$B$43*(1+'参数'!$B$39*P48))^2/((Q48*'参数'!$B$43*(1+'参数'!$B$39*P48))+'参数'!$B$22*(I48)))/'参数'!$B$44))+(((R48*(1+'参数'!$B$39*P48))^2/((R48*(1+'参数'!$B$39*P48))+'参数'!$B$22*(I48)))*(1+'参数'!$B$42*P48)/'参数'!$J$6+((R48*'参数'!$B$45*(1+'参数'!$B$39*P48))^2/((R48*'参数'!$B$45*(1+'参数'!$B$39*P48))+'参数'!$B$22*(I48)))/'参数'!$B$46)+((S48*(1+'参数'!$B$39*P48))^2/((S48*(1+'参数'!$B$39*P48))+'参数'!$B$22*(I48)))*(1+'参数'!$B$42*P48)/'参数'!$J$7)*(1+'参数'!$B$37*('参数'!$B$38-1))*'参数'!$B$25</x:f>
        <x:v>3845.096410796839</x:v>
      </x:c>
      <x:c r="W48" s="18" t="n">
        <x:f>(('参数'!$K$5*(((Q48*(1+'参数'!$B$39*P48))^2/((Q48*(1+'参数'!$B$39*P48))+'参数'!$B$22*(M48)))*(1+'参数'!$B$42*P48)/'参数'!$J$5+((Q48*'参数'!$B$43*(1+'参数'!$B$39*P48))^2/((Q48*'参数'!$B$43*(1+'参数'!$B$39*P48))+'参数'!$B$22*(M48)))/'参数'!$B$44))+(((R48*(1+'参数'!$B$39*P48))^2/((R48*(1+'参数'!$B$39*P48))+'参数'!$B$22*(M48)))*(1+'参数'!$B$42*P48)/'参数'!$J$6+((R48*'参数'!$B$45*(1+'参数'!$B$39*P48))^2/((R48*'参数'!$B$45*(1+'参数'!$B$39*P48))+'参数'!$B$22*(M48)))/'参数'!$B$46)+((S48*(1+'参数'!$B$39*P48))^2/((S48*(1+'参数'!$B$39*P48))+'参数'!$B$22*(M48)))*(1+'参数'!$B$42*P48)/'参数'!$J$7)*(1+'参数'!$B$37*('参数'!$B$38-1))</x:f>
        <x:v>2960.4690609402114</x:v>
      </x:c>
      <x:c r="X48" s="25" t="n">
        <x:f>('参数'!$B$26+'参数'!$B$27*(D48-1)/99)*'参数'!$K$26*AD48</x:f>
        <x:v>13.636363636363637</x:v>
      </x:c>
      <x:c r="Y48" s="25" t="n">
        <x:f>('参数'!$B$28+'参数'!$B$29*(D48-1)/99)*'参数'!$K$26*AD48*IF(AE48=1,'参数'!$B$51,1)</x:f>
        <x:v>35.45454545454545</x:v>
      </x:c>
      <x:c r="Z48" s="21" t="n">
        <x:f>MIN('参数'!$B$36,U48/(U48+'参数'!$B$35))</x:f>
        <x:v>0.0816262986453173</x:v>
      </x:c>
      <x:c r="AA48" s="18" t="n">
        <x:f>T48*'参数'!$B$30/('参数'!$B$32*'参数'!$B$33)/(1-Z48)*AC48</x:f>
        <x:v>176.81899886988765</x:v>
      </x:c>
      <x:c r="AB48" s="18" t="n">
        <x:f>T48*'参数'!$B$31/'参数'!$B$34/(1-Z48)*AC48</x:f>
        <x:v>353.6379977397753</x:v>
      </x:c>
      <x:c r="AC48" s="15" t="n">
        <x:f>'参数'!$L$26*1</x:f>
        <x:v>1</x:v>
      </x:c>
      <x:c r="AD48" s="15" t="n">
        <x:f>1</x:f>
        <x:v>1</x:v>
      </x:c>
      <x:c r="AE48" s="18" t="n">
        <x:f>IF(MOD(B48,12)=0,1,0)</x:f>
        <x:v>0</x:v>
      </x:c>
    </x:row>
    <x:row r="49" ht="22" customHeight="1">
      <x:c r="A49" s="19" t="str">
        <x:v>简单</x:v>
      </x:c>
      <x:c r="B49" s="19" t="n">
        <x:v>44</x:v>
      </x:c>
      <x:c r="C49" s="19" t="n">
        <x:f>ROUNDUP(B49/12,0)</x:f>
        <x:v>4</x:v>
      </x:c>
      <x:c r="D49" s="19" t="n">
        <x:f>ROUND(MAX('参数'!$G$26,E49)+(IF(C49&lt;10,INDEX('参数'!$G$34:$P$34,1,MIN(10,C49+1)),'参数'!$H$26)-MAX('参数'!$G$26,E49))*MOD(B49-1,12)/11,0)</x:f>
        <x:v>28</x:v>
      </x:c>
      <x:c r="E49" s="19" t="n">
        <x:f>INDEX('参数'!$G$34:$P$34,1,C49)</x:f>
        <x:v>25</x:v>
      </x:c>
      <x:c r="F49" s="20" t="n">
        <x:f>'参数'!$I$26</x:f>
        <x:v>1.05</x:v>
      </x:c>
      <x:c r="G49" s="19" t="n">
        <x:f>ROUND(V49*X49/'参数'!$B$56,0)</x:f>
        <x:v>11399</x:v>
      </x:c>
      <x:c r="H49" s="19" t="n">
        <x:f>ROUND((AA49+SQRT(AA49^2+4*AA49*'参数'!$B$22*U49))/2,0)</x:f>
        <x:v>382</x:v>
      </x:c>
      <x:c r="I49" s="19" t="n">
        <x:f>ROUND(Q49*'参数'!$B$23/'参数'!$B$22,0)</x:f>
        <x:v>115</x:v>
      </x:c>
      <x:c r="J49" s="19" t="n">
        <x:f>ROUND(G49*'参数'!$B$50,0)</x:f>
        <x:v>34197</x:v>
      </x:c>
      <x:c r="K49" s="19" t="n">
        <x:f>ROUND(W49*Y49,0)</x:f>
        <x:v>104962</x:v>
      </x:c>
      <x:c r="L49" s="19" t="n">
        <x:f>ROUND((AB49+SQRT(AB49^2+4*AB49*'参数'!$B$22*U49))/2,0)</x:f>
        <x:v>611</x:v>
      </x:c>
      <x:c r="M49" s="19" t="n">
        <x:f>ROUND(I49*'参数'!$B$24,0)</x:f>
        <x:v>144</x:v>
      </x:c>
      <x:c r="N49" s="19" t="n">
        <x:f>'参数'!$B$9*'参数'!$B$10^(D49-1)</x:f>
        <x:v>1332.773403342095</x:v>
      </x:c>
      <x:c r="O49" s="19" t="n">
        <x:f>'参数'!$B$18*'参数'!$B$19^(MIN(E49,MAX(1,5*INT(D49/5)))-1)*F49*'参数'!$J$26*P49</x:f>
        <x:v>90.40281484351866</x:v>
      </x:c>
      <x:c r="P49" s="22" t="n">
        <x:f>MIN(1,(D49-1)/19)</x:f>
        <x:v>1</x:v>
      </x:c>
      <x:c r="Q49" s="19" t="n">
        <x:f>INDEX('角色成长'!$F$6:$F$105,D49)+O49*'参数'!$K$21</x:f>
        <x:v>573.6480223040282</x:v>
      </x:c>
      <x:c r="R49" s="19" t="n">
        <x:f>INDEX('角色成长'!$I$6:$I$105,D49)+O49*'参数'!$K$21</x:f>
        <x:v>485.6480223040282</x:v>
      </x:c>
      <x:c r="S49" s="19" t="n">
        <x:f>INDEX('角色成长'!$L$6:$L$105,D49)+O49*'参数'!$K$21</x:f>
        <x:v>434.6480223040282</x:v>
      </x:c>
      <x:c r="T49" s="19" t="n">
        <x:f>(INDEX('角色成长'!$J$6:$J$105,D49)+O49*'参数'!$L$21)*(1+'参数'!$B$40*P49)</x:f>
        <x:v>6495.4367384787265</x:v>
      </x:c>
      <x:c r="U49" s="19" t="n">
        <x:f>(INDEX('角色成长'!$K$6:$K$105,D49)+O49*'参数'!$M$21)*(1+'参数'!$B$41*P49)</x:f>
        <x:v>355.52541857377344</x:v>
      </x:c>
      <x:c r="V49" s="19" t="n">
        <x:f>(('参数'!$K$5*(((Q49*(1+'参数'!$B$39*P49))^2/((Q49*(1+'参数'!$B$39*P49))+'参数'!$B$22*(I49)))*(1+'参数'!$B$42*P49)/'参数'!$J$5+((Q49*'参数'!$B$43*(1+'参数'!$B$39*P49))^2/((Q49*'参数'!$B$43*(1+'参数'!$B$39*P49))+'参数'!$B$22*(I49)))/'参数'!$B$44))+(((R49*(1+'参数'!$B$39*P49))^2/((R49*(1+'参数'!$B$39*P49))+'参数'!$B$22*(I49)))*(1+'参数'!$B$42*P49)/'参数'!$J$6+((R49*'参数'!$B$45*(1+'参数'!$B$39*P49))^2/((R49*'参数'!$B$45*(1+'参数'!$B$39*P49))+'参数'!$B$22*(I49)))/'参数'!$B$46)+((S49*(1+'参数'!$B$39*P49))^2/((S49*(1+'参数'!$B$39*P49))+'参数'!$B$22*(I49)))*(1+'参数'!$B$42*P49)/'参数'!$J$7)*(1+'参数'!$B$37*('参数'!$B$38-1))*'参数'!$B$25</x:f>
        <x:v>3845.096410796839</x:v>
      </x:c>
      <x:c r="W49" s="19" t="n">
        <x:f>(('参数'!$K$5*(((Q49*(1+'参数'!$B$39*P49))^2/((Q49*(1+'参数'!$B$39*P49))+'参数'!$B$22*(M49)))*(1+'参数'!$B$42*P49)/'参数'!$J$5+((Q49*'参数'!$B$43*(1+'参数'!$B$39*P49))^2/((Q49*'参数'!$B$43*(1+'参数'!$B$39*P49))+'参数'!$B$22*(M49)))/'参数'!$B$44))+(((R49*(1+'参数'!$B$39*P49))^2/((R49*(1+'参数'!$B$39*P49))+'参数'!$B$22*(M49)))*(1+'参数'!$B$42*P49)/'参数'!$J$6+((R49*'参数'!$B$45*(1+'参数'!$B$39*P49))^2/((R49*'参数'!$B$45*(1+'参数'!$B$39*P49))+'参数'!$B$22*(M49)))/'参数'!$B$46)+((S49*(1+'参数'!$B$39*P49))^2/((S49*(1+'参数'!$B$39*P49))+'参数'!$B$22*(M49)))*(1+'参数'!$B$42*P49)/'参数'!$J$7)*(1+'参数'!$B$37*('参数'!$B$38-1))</x:f>
        <x:v>2960.4690609402114</x:v>
      </x:c>
      <x:c r="X49" s="26" t="n">
        <x:f>('参数'!$B$26+'参数'!$B$27*(D49-1)/99)*'参数'!$K$26*AD49</x:f>
        <x:v>13.636363636363637</x:v>
      </x:c>
      <x:c r="Y49" s="26" t="n">
        <x:f>('参数'!$B$28+'参数'!$B$29*(D49-1)/99)*'参数'!$K$26*AD49*IF(AE49=1,'参数'!$B$51,1)</x:f>
        <x:v>35.45454545454545</x:v>
      </x:c>
      <x:c r="Z49" s="22" t="n">
        <x:f>MIN('参数'!$B$36,U49/(U49+'参数'!$B$35))</x:f>
        <x:v>0.0816262986453173</x:v>
      </x:c>
      <x:c r="AA49" s="19" t="n">
        <x:f>T49*'参数'!$B$30/('参数'!$B$32*'参数'!$B$33)/(1-Z49)*AC49</x:f>
        <x:v>176.81899886988765</x:v>
      </x:c>
      <x:c r="AB49" s="19" t="n">
        <x:f>T49*'参数'!$B$31/'参数'!$B$34/(1-Z49)*AC49</x:f>
        <x:v>353.6379977397753</x:v>
      </x:c>
      <x:c r="AC49" s="20" t="n">
        <x:f>'参数'!$L$26*1</x:f>
        <x:v>1</x:v>
      </x:c>
      <x:c r="AD49" s="20" t="n">
        <x:f>1</x:f>
        <x:v>1</x:v>
      </x:c>
      <x:c r="AE49" s="19" t="n">
        <x:f>IF(MOD(B49,12)=0,1,0)</x:f>
        <x:v>0</x:v>
      </x:c>
    </x:row>
    <x:row r="50" ht="22" customHeight="1">
      <x:c r="A50" s="18" t="str">
        <x:v>简单</x:v>
      </x:c>
      <x:c r="B50" s="18" t="n">
        <x:v>45</x:v>
      </x:c>
      <x:c r="C50" s="18" t="n">
        <x:f>ROUNDUP(B50/12,0)</x:f>
        <x:v>4</x:v>
      </x:c>
      <x:c r="D50" s="18" t="n">
        <x:f>ROUND(MAX('参数'!$G$26,E50)+(IF(C50&lt;10,INDEX('参数'!$G$34:$P$34,1,MIN(10,C50+1)),'参数'!$H$26)-MAX('参数'!$G$26,E50))*MOD(B50-1,12)/11,0)</x:f>
        <x:v>29</x:v>
      </x:c>
      <x:c r="E50" s="18" t="n">
        <x:f>INDEX('参数'!$G$34:$P$34,1,C50)</x:f>
        <x:v>25</x:v>
      </x:c>
      <x:c r="F50" s="15" t="n">
        <x:f>'参数'!$I$26</x:f>
        <x:v>1.05</x:v>
      </x:c>
      <x:c r="G50" s="18" t="n">
        <x:f>ROUND(V50*X50/'参数'!$B$56,0)</x:f>
        <x:v>11677</x:v>
      </x:c>
      <x:c r="H50" s="18" t="n">
        <x:f>ROUND((AA50+SQRT(AA50^2+4*AA50*'参数'!$B$22*U50))/2,0)</x:f>
        <x:v>391</x:v>
      </x:c>
      <x:c r="I50" s="18" t="n">
        <x:f>ROUND(Q50*'参数'!$B$23/'参数'!$B$22,0)</x:f>
        <x:v>117</x:v>
      </x:c>
      <x:c r="J50" s="18" t="n">
        <x:f>ROUND(G50*'参数'!$B$50,0)</x:f>
        <x:v>35031</x:v>
      </x:c>
      <x:c r="K50" s="18" t="n">
        <x:f>ROUND(W50*Y50,0)</x:f>
        <x:v>107735</x:v>
      </x:c>
      <x:c r="L50" s="18" t="n">
        <x:f>ROUND((AB50+SQRT(AB50^2+4*AB50*'参数'!$B$22*U50))/2,0)</x:f>
        <x:v>624</x:v>
      </x:c>
      <x:c r="M50" s="18" t="n">
        <x:f>ROUND(I50*'参数'!$B$24,0)</x:f>
        <x:v>146</x:v>
      </x:c>
      <x:c r="N50" s="18" t="n">
        <x:f>'参数'!$B$9*'参数'!$B$10^(D50-1)</x:f>
        <x:v>1372.7566054423578</x:v>
      </x:c>
      <x:c r="O50" s="18" t="n">
        <x:f>'参数'!$B$18*'参数'!$B$19^(MIN(E50,MAX(1,5*INT(D50/5)))-1)*F50*'参数'!$J$26*P50</x:f>
        <x:v>90.40281484351866</x:v>
      </x:c>
      <x:c r="P50" s="21" t="n">
        <x:f>MIN(1,(D50-1)/19)</x:f>
        <x:v>1</x:v>
      </x:c>
      <x:c r="Q50" s="18" t="n">
        <x:f>INDEX('角色成长'!$F$6:$F$105,D50)+O50*'参数'!$K$21</x:f>
        <x:v>585.6480223040282</x:v>
      </x:c>
      <x:c r="R50" s="18" t="n">
        <x:f>INDEX('角色成长'!$I$6:$I$105,D50)+O50*'参数'!$K$21</x:f>
        <x:v>493.6480223040282</x:v>
      </x:c>
      <x:c r="S50" s="18" t="n">
        <x:f>INDEX('角色成长'!$L$6:$L$105,D50)+O50*'参数'!$K$21</x:f>
        <x:v>440.6480223040282</x:v>
      </x:c>
      <x:c r="T50" s="18" t="n">
        <x:f>(INDEX('角色成长'!$J$6:$J$105,D50)+O50*'参数'!$L$21)*(1+'参数'!$B$40*P50)</x:f>
        <x:v>6649.4367384787265</x:v>
      </x:c>
      <x:c r="U50" s="18" t="n">
        <x:f>(INDEX('角色成长'!$K$6:$K$105,D50)+O50*'参数'!$M$21)*(1+'参数'!$B$41*P50)</x:f>
        <x:v>361.02541857377344</x:v>
      </x:c>
      <x:c r="V50" s="18" t="n">
        <x:f>(('参数'!$K$5*(((Q50*(1+'参数'!$B$39*P50))^2/((Q50*(1+'参数'!$B$39*P50))+'参数'!$B$22*(I50)))*(1+'参数'!$B$42*P50)/'参数'!$J$5+((Q50*'参数'!$B$43*(1+'参数'!$B$39*P50))^2/((Q50*'参数'!$B$43*(1+'参数'!$B$39*P50))+'参数'!$B$22*(I50)))/'参数'!$B$44))+(((R50*(1+'参数'!$B$39*P50))^2/((R50*(1+'参数'!$B$39*P50))+'参数'!$B$22*(I50)))*(1+'参数'!$B$42*P50)/'参数'!$J$6+((R50*'参数'!$B$45*(1+'参数'!$B$39*P50))^2/((R50*'参数'!$B$45*(1+'参数'!$B$39*P50))+'参数'!$B$22*(I50)))/'参数'!$B$46)+((S50*(1+'参数'!$B$39*P50))^2/((S50*(1+'参数'!$B$39*P50))+'参数'!$B$22*(I50)))*(1+'参数'!$B$42*P50)/'参数'!$J$7)*(1+'参数'!$B$37*('参数'!$B$38-1))*'参数'!$B$25</x:f>
        <x:v>3921.5096664214007</x:v>
      </x:c>
      <x:c r="W50" s="18" t="n">
        <x:f>(('参数'!$K$5*(((Q50*(1+'参数'!$B$39*P50))^2/((Q50*(1+'参数'!$B$39*P50))+'参数'!$B$22*(M50)))*(1+'参数'!$B$42*P50)/'参数'!$J$5+((Q50*'参数'!$B$43*(1+'参数'!$B$39*P50))^2/((Q50*'参数'!$B$43*(1+'参数'!$B$39*P50))+'参数'!$B$22*(M50)))/'参数'!$B$44))+(((R50*(1+'参数'!$B$39*P50))^2/((R50*(1+'参数'!$B$39*P50))+'参数'!$B$22*(M50)))*(1+'参数'!$B$42*P50)/'参数'!$J$6+((R50*'参数'!$B$45*(1+'参数'!$B$39*P50))^2/((R50*'参数'!$B$45*(1+'参数'!$B$39*P50))+'参数'!$B$22*(M50)))/'参数'!$B$46)+((S50*(1+'参数'!$B$39*P50))^2/((S50*(1+'参数'!$B$39*P50))+'参数'!$B$22*(M50)))*(1+'参数'!$B$42*P50)/'参数'!$J$7)*(1+'参数'!$B$37*('参数'!$B$38-1))</x:f>
        <x:v>3021.456176453468</x:v>
      </x:c>
      <x:c r="X50" s="25" t="n">
        <x:f>('参数'!$B$26+'参数'!$B$27*(D50-1)/99)*'参数'!$K$26*AD50</x:f>
        <x:v>13.696969696969697</x:v>
      </x:c>
      <x:c r="Y50" s="25" t="n">
        <x:f>('参数'!$B$28+'参数'!$B$29*(D50-1)/99)*'参数'!$K$26*AD50*IF(AE50=1,'参数'!$B$51,1)</x:f>
        <x:v>35.656565656565654</x:v>
      </x:c>
      <x:c r="Z50" s="21" t="n">
        <x:f>MIN('参数'!$B$36,U50/(U50+'参数'!$B$35))</x:f>
        <x:v>0.0827845251798241</x:v>
      </x:c>
      <x:c r="AA50" s="18" t="n">
        <x:f>T50*'参数'!$B$30/('参数'!$B$32*'参数'!$B$33)/(1-Z50)*AC50</x:f>
        <x:v>181.2397664731501</x:v>
      </x:c>
      <x:c r="AB50" s="18" t="n">
        <x:f>T50*'参数'!$B$31/'参数'!$B$34/(1-Z50)*AC50</x:f>
        <x:v>362.4795329463002</x:v>
      </x:c>
      <x:c r="AC50" s="15" t="n">
        <x:f>'参数'!$L$26*1</x:f>
        <x:v>1</x:v>
      </x:c>
      <x:c r="AD50" s="15" t="n">
        <x:f>1</x:f>
        <x:v>1</x:v>
      </x:c>
      <x:c r="AE50" s="18" t="n">
        <x:f>IF(MOD(B50,12)=0,1,0)</x:f>
        <x:v>0</x:v>
      </x:c>
    </x:row>
    <x:row r="51" ht="22" customHeight="1">
      <x:c r="A51" s="19" t="str">
        <x:v>简单</x:v>
      </x:c>
      <x:c r="B51" s="19" t="n">
        <x:v>46</x:v>
      </x:c>
      <x:c r="C51" s="19" t="n">
        <x:f>ROUNDUP(B51/12,0)</x:f>
        <x:v>4</x:v>
      </x:c>
      <x:c r="D51" s="19" t="n">
        <x:f>ROUND(MAX('参数'!$G$26,E51)+(IF(C51&lt;10,INDEX('参数'!$G$34:$P$34,1,MIN(10,C51+1)),'参数'!$H$26)-MAX('参数'!$G$26,E51))*MOD(B51-1,12)/11,0)</x:f>
        <x:v>29</x:v>
      </x:c>
      <x:c r="E51" s="19" t="n">
        <x:f>INDEX('参数'!$G$34:$P$34,1,C51)</x:f>
        <x:v>25</x:v>
      </x:c>
      <x:c r="F51" s="20" t="n">
        <x:f>'参数'!$I$26</x:f>
        <x:v>1.05</x:v>
      </x:c>
      <x:c r="G51" s="19" t="n">
        <x:f>ROUND(V51*X51/'参数'!$B$56,0)</x:f>
        <x:v>11677</x:v>
      </x:c>
      <x:c r="H51" s="19" t="n">
        <x:f>ROUND((AA51+SQRT(AA51^2+4*AA51*'参数'!$B$22*U51))/2,0)</x:f>
        <x:v>391</x:v>
      </x:c>
      <x:c r="I51" s="19" t="n">
        <x:f>ROUND(Q51*'参数'!$B$23/'参数'!$B$22,0)</x:f>
        <x:v>117</x:v>
      </x:c>
      <x:c r="J51" s="19" t="n">
        <x:f>ROUND(G51*'参数'!$B$50,0)</x:f>
        <x:v>35031</x:v>
      </x:c>
      <x:c r="K51" s="19" t="n">
        <x:f>ROUND(W51*Y51,0)</x:f>
        <x:v>107735</x:v>
      </x:c>
      <x:c r="L51" s="19" t="n">
        <x:f>ROUND((AB51+SQRT(AB51^2+4*AB51*'参数'!$B$22*U51))/2,0)</x:f>
        <x:v>624</x:v>
      </x:c>
      <x:c r="M51" s="19" t="n">
        <x:f>ROUND(I51*'参数'!$B$24,0)</x:f>
        <x:v>146</x:v>
      </x:c>
      <x:c r="N51" s="19" t="n">
        <x:f>'参数'!$B$9*'参数'!$B$10^(D51-1)</x:f>
        <x:v>1372.7566054423578</x:v>
      </x:c>
      <x:c r="O51" s="19" t="n">
        <x:f>'参数'!$B$18*'参数'!$B$19^(MIN(E51,MAX(1,5*INT(D51/5)))-1)*F51*'参数'!$J$26*P51</x:f>
        <x:v>90.40281484351866</x:v>
      </x:c>
      <x:c r="P51" s="22" t="n">
        <x:f>MIN(1,(D51-1)/19)</x:f>
        <x:v>1</x:v>
      </x:c>
      <x:c r="Q51" s="19" t="n">
        <x:f>INDEX('角色成长'!$F$6:$F$105,D51)+O51*'参数'!$K$21</x:f>
        <x:v>585.6480223040282</x:v>
      </x:c>
      <x:c r="R51" s="19" t="n">
        <x:f>INDEX('角色成长'!$I$6:$I$105,D51)+O51*'参数'!$K$21</x:f>
        <x:v>493.6480223040282</x:v>
      </x:c>
      <x:c r="S51" s="19" t="n">
        <x:f>INDEX('角色成长'!$L$6:$L$105,D51)+O51*'参数'!$K$21</x:f>
        <x:v>440.6480223040282</x:v>
      </x:c>
      <x:c r="T51" s="19" t="n">
        <x:f>(INDEX('角色成长'!$J$6:$J$105,D51)+O51*'参数'!$L$21)*(1+'参数'!$B$40*P51)</x:f>
        <x:v>6649.4367384787265</x:v>
      </x:c>
      <x:c r="U51" s="19" t="n">
        <x:f>(INDEX('角色成长'!$K$6:$K$105,D51)+O51*'参数'!$M$21)*(1+'参数'!$B$41*P51)</x:f>
        <x:v>361.02541857377344</x:v>
      </x:c>
      <x:c r="V51" s="19" t="n">
        <x:f>(('参数'!$K$5*(((Q51*(1+'参数'!$B$39*P51))^2/((Q51*(1+'参数'!$B$39*P51))+'参数'!$B$22*(I51)))*(1+'参数'!$B$42*P51)/'参数'!$J$5+((Q51*'参数'!$B$43*(1+'参数'!$B$39*P51))^2/((Q51*'参数'!$B$43*(1+'参数'!$B$39*P51))+'参数'!$B$22*(I51)))/'参数'!$B$44))+(((R51*(1+'参数'!$B$39*P51))^2/((R51*(1+'参数'!$B$39*P51))+'参数'!$B$22*(I51)))*(1+'参数'!$B$42*P51)/'参数'!$J$6+((R51*'参数'!$B$45*(1+'参数'!$B$39*P51))^2/((R51*'参数'!$B$45*(1+'参数'!$B$39*P51))+'参数'!$B$22*(I51)))/'参数'!$B$46)+((S51*(1+'参数'!$B$39*P51))^2/((S51*(1+'参数'!$B$39*P51))+'参数'!$B$22*(I51)))*(1+'参数'!$B$42*P51)/'参数'!$J$7)*(1+'参数'!$B$37*('参数'!$B$38-1))*'参数'!$B$25</x:f>
        <x:v>3921.5096664214007</x:v>
      </x:c>
      <x:c r="W51" s="19" t="n">
        <x:f>(('参数'!$K$5*(((Q51*(1+'参数'!$B$39*P51))^2/((Q51*(1+'参数'!$B$39*P51))+'参数'!$B$22*(M51)))*(1+'参数'!$B$42*P51)/'参数'!$J$5+((Q51*'参数'!$B$43*(1+'参数'!$B$39*P51))^2/((Q51*'参数'!$B$43*(1+'参数'!$B$39*P51))+'参数'!$B$22*(M51)))/'参数'!$B$44))+(((R51*(1+'参数'!$B$39*P51))^2/((R51*(1+'参数'!$B$39*P51))+'参数'!$B$22*(M51)))*(1+'参数'!$B$42*P51)/'参数'!$J$6+((R51*'参数'!$B$45*(1+'参数'!$B$39*P51))^2/((R51*'参数'!$B$45*(1+'参数'!$B$39*P51))+'参数'!$B$22*(M51)))/'参数'!$B$46)+((S51*(1+'参数'!$B$39*P51))^2/((S51*(1+'参数'!$B$39*P51))+'参数'!$B$22*(M51)))*(1+'参数'!$B$42*P51)/'参数'!$J$7)*(1+'参数'!$B$37*('参数'!$B$38-1))</x:f>
        <x:v>3021.456176453468</x:v>
      </x:c>
      <x:c r="X51" s="26" t="n">
        <x:f>('参数'!$B$26+'参数'!$B$27*(D51-1)/99)*'参数'!$K$26*AD51</x:f>
        <x:v>13.696969696969697</x:v>
      </x:c>
      <x:c r="Y51" s="26" t="n">
        <x:f>('参数'!$B$28+'参数'!$B$29*(D51-1)/99)*'参数'!$K$26*AD51*IF(AE51=1,'参数'!$B$51,1)</x:f>
        <x:v>35.656565656565654</x:v>
      </x:c>
      <x:c r="Z51" s="22" t="n">
        <x:f>MIN('参数'!$B$36,U51/(U51+'参数'!$B$35))</x:f>
        <x:v>0.0827845251798241</x:v>
      </x:c>
      <x:c r="AA51" s="19" t="n">
        <x:f>T51*'参数'!$B$30/('参数'!$B$32*'参数'!$B$33)/(1-Z51)*AC51</x:f>
        <x:v>181.2397664731501</x:v>
      </x:c>
      <x:c r="AB51" s="19" t="n">
        <x:f>T51*'参数'!$B$31/'参数'!$B$34/(1-Z51)*AC51</x:f>
        <x:v>362.4795329463002</x:v>
      </x:c>
      <x:c r="AC51" s="20" t="n">
        <x:f>'参数'!$L$26*1</x:f>
        <x:v>1</x:v>
      </x:c>
      <x:c r="AD51" s="20" t="n">
        <x:f>1</x:f>
        <x:v>1</x:v>
      </x:c>
      <x:c r="AE51" s="19" t="n">
        <x:f>IF(MOD(B51,12)=0,1,0)</x:f>
        <x:v>0</x:v>
      </x:c>
    </x:row>
    <x:row r="52" ht="22" customHeight="1">
      <x:c r="A52" s="18" t="str">
        <x:v>简单</x:v>
      </x:c>
      <x:c r="B52" s="18" t="n">
        <x:v>47</x:v>
      </x:c>
      <x:c r="C52" s="18" t="n">
        <x:f>ROUNDUP(B52/12,0)</x:f>
        <x:v>4</x:v>
      </x:c>
      <x:c r="D52" s="18" t="n">
        <x:f>ROUND(MAX('参数'!$G$26,E52)+(IF(C52&lt;10,INDEX('参数'!$G$34:$P$34,1,MIN(10,C52+1)),'参数'!$H$26)-MAX('参数'!$G$26,E52))*MOD(B52-1,12)/11,0)</x:f>
        <x:v>30</x:v>
      </x:c>
      <x:c r="E52" s="18" t="n">
        <x:f>INDEX('参数'!$G$34:$P$34,1,C52)</x:f>
        <x:v>25</x:v>
      </x:c>
      <x:c r="F52" s="15" t="n">
        <x:f>'参数'!$I$26</x:f>
        <x:v>1.05</x:v>
      </x:c>
      <x:c r="G52" s="18" t="n">
        <x:f>ROUND(V52*X52/'参数'!$B$56,0)</x:f>
        <x:v>11943</x:v>
      </x:c>
      <x:c r="H52" s="18" t="n">
        <x:f>ROUND((AA52+SQRT(AA52^2+4*AA52*'参数'!$B$22*U52))/2,0)</x:f>
        <x:v>400</x:v>
      </x:c>
      <x:c r="I52" s="18" t="n">
        <x:f>ROUND(Q52*'参数'!$B$23/'参数'!$B$22,0)</x:f>
        <x:v>119</x:v>
      </x:c>
      <x:c r="J52" s="18" t="n">
        <x:f>ROUND(G52*'参数'!$B$50,0)</x:f>
        <x:v>35829</x:v>
      </x:c>
      <x:c r="K52" s="18" t="n">
        <x:f>ROUND(W52*Y52,0)</x:f>
        <x:v>110258</x:v>
      </x:c>
      <x:c r="L52" s="18" t="n">
        <x:f>ROUND((AB52+SQRT(AB52^2+4*AB52*'参数'!$B$22*U52))/2,0)</x:f>
        <x:v>639</x:v>
      </x:c>
      <x:c r="M52" s="18" t="n">
        <x:f>ROUND(I52*'参数'!$B$24,0)</x:f>
        <x:v>149</x:v>
      </x:c>
      <x:c r="N52" s="18" t="n">
        <x:f>'参数'!$B$9*'参数'!$B$10^(D52-1)</x:f>
        <x:v>1413.9393036056285</x:v>
      </x:c>
      <x:c r="O52" s="18" t="n">
        <x:f>'参数'!$B$18*'参数'!$B$19^(MIN(E52,MAX(1,5*INT(D52/5)))-1)*F52*'参数'!$J$26*P52</x:f>
        <x:v>90.40281484351866</x:v>
      </x:c>
      <x:c r="P52" s="21" t="n">
        <x:f>MIN(1,(D52-1)/19)</x:f>
        <x:v>1</x:v>
      </x:c>
      <x:c r="Q52" s="18" t="n">
        <x:f>INDEX('角色成长'!$F$6:$F$105,D52)+O52*'参数'!$K$21</x:f>
        <x:v>596.6480223040282</x:v>
      </x:c>
      <x:c r="R52" s="18" t="n">
        <x:f>INDEX('角色成长'!$I$6:$I$105,D52)+O52*'参数'!$K$21</x:f>
        <x:v>501.6480223040282</x:v>
      </x:c>
      <x:c r="S52" s="18" t="n">
        <x:f>INDEX('角色成长'!$L$6:$L$105,D52)+O52*'参数'!$K$21</x:f>
        <x:v>447.6480223040282</x:v>
      </x:c>
      <x:c r="T52" s="18" t="n">
        <x:f>(INDEX('角色成长'!$J$6:$J$105,D52)+O52*'参数'!$L$21)*(1+'参数'!$B$40*P52)</x:f>
        <x:v>6808.9367384787265</x:v>
      </x:c>
      <x:c r="U52" s="18" t="n">
        <x:f>(INDEX('角色成长'!$K$6:$K$105,D52)+O52*'参数'!$M$21)*(1+'参数'!$B$41*P52)</x:f>
        <x:v>367.62541857377346</x:v>
      </x:c>
      <x:c r="V52" s="18" t="n">
        <x:f>(('参数'!$K$5*(((Q52*(1+'参数'!$B$39*P52))^2/((Q52*(1+'参数'!$B$39*P52))+'参数'!$B$22*(I52)))*(1+'参数'!$B$42*P52)/'参数'!$J$5+((Q52*'参数'!$B$43*(1+'参数'!$B$39*P52))^2/((Q52*'参数'!$B$43*(1+'参数'!$B$39*P52))+'参数'!$B$22*(I52)))/'参数'!$B$44))+(((R52*(1+'参数'!$B$39*P52))^2/((R52*(1+'参数'!$B$39*P52))+'参数'!$B$22*(I52)))*(1+'参数'!$B$42*P52)/'参数'!$J$6+((R52*'参数'!$B$45*(1+'参数'!$B$39*P52))^2/((R52*'参数'!$B$45*(1+'参数'!$B$39*P52))+'参数'!$B$22*(I52)))/'参数'!$B$46)+((S52*(1+'参数'!$B$39*P52))^2/((S52*(1+'参数'!$B$39*P52))+'参数'!$B$22*(I52)))*(1+'参数'!$B$42*P52)/'参数'!$J$7)*(1+'参数'!$B$37*('参数'!$B$38-1))*'参数'!$B$25</x:f>
        <x:v>3993.121598399967</x:v>
      </x:c>
      <x:c r="W52" s="18" t="n">
        <x:f>(('参数'!$K$5*(((Q52*(1+'参数'!$B$39*P52))^2/((Q52*(1+'参数'!$B$39*P52))+'参数'!$B$22*(M52)))*(1+'参数'!$B$42*P52)/'参数'!$J$5+((Q52*'参数'!$B$43*(1+'参数'!$B$39*P52))^2/((Q52*'参数'!$B$43*(1+'参数'!$B$39*P52))+'参数'!$B$22*(M52)))/'参数'!$B$44))+(((R52*(1+'参数'!$B$39*P52))^2/((R52*(1+'参数'!$B$39*P52))+'参数'!$B$22*(M52)))*(1+'参数'!$B$42*P52)/'参数'!$J$6+((R52*'参数'!$B$45*(1+'参数'!$B$39*P52))^2/((R52*'参数'!$B$45*(1+'参数'!$B$39*P52))+'参数'!$B$22*(M52)))/'参数'!$B$46)+((S52*(1+'参数'!$B$39*P52))^2/((S52*(1+'参数'!$B$39*P52))+'参数'!$B$22*(M52)))*(1+'参数'!$B$42*P52)/'参数'!$J$7)*(1+'参数'!$B$37*('参数'!$B$38-1))</x:f>
        <x:v>3074.8056911941576</x:v>
      </x:c>
      <x:c r="X52" s="25" t="n">
        <x:f>('参数'!$B$26+'参数'!$B$27*(D52-1)/99)*'参数'!$K$26*AD52</x:f>
        <x:v>13.757575757575758</x:v>
      </x:c>
      <x:c r="Y52" s="25" t="n">
        <x:f>('参数'!$B$28+'参数'!$B$29*(D52-1)/99)*'参数'!$K$26*AD52*IF(AE52=1,'参数'!$B$51,1)</x:f>
        <x:v>35.85858585858586</x:v>
      </x:c>
      <x:c r="Z52" s="21" t="n">
        <x:f>MIN('参数'!$B$36,U52/(U52+'参数'!$B$35))</x:f>
        <x:v>0.08417054654238634</x:v>
      </x:c>
      <x:c r="AA52" s="18" t="n">
        <x:f>T52*'参数'!$B$30/('参数'!$B$32*'参数'!$B$33)/(1-Z52)*AC52</x:f>
        <x:v>185.8680323277531</x:v>
      </x:c>
      <x:c r="AB52" s="18" t="n">
        <x:f>T52*'参数'!$B$31/'参数'!$B$34/(1-Z52)*AC52</x:f>
        <x:v>371.7360646555061</x:v>
      </x:c>
      <x:c r="AC52" s="15" t="n">
        <x:f>'参数'!$L$26*1</x:f>
        <x:v>1</x:v>
      </x:c>
      <x:c r="AD52" s="15" t="n">
        <x:f>1</x:f>
        <x:v>1</x:v>
      </x:c>
      <x:c r="AE52" s="18" t="n">
        <x:f>IF(MOD(B52,12)=0,1,0)</x:f>
        <x:v>0</x:v>
      </x:c>
    </x:row>
    <x:row r="53" ht="22" customHeight="1">
      <x:c r="A53" s="19" t="str">
        <x:v>简单</x:v>
      </x:c>
      <x:c r="B53" s="19" t="n">
        <x:v>48</x:v>
      </x:c>
      <x:c r="C53" s="19" t="n">
        <x:f>ROUNDUP(B53/12,0)</x:f>
        <x:v>4</x:v>
      </x:c>
      <x:c r="D53" s="19" t="n">
        <x:f>ROUND(MAX('参数'!$G$26,E53)+(IF(C53&lt;10,INDEX('参数'!$G$34:$P$34,1,MIN(10,C53+1)),'参数'!$H$26)-MAX('参数'!$G$26,E53))*MOD(B53-1,12)/11,0)</x:f>
        <x:v>30</x:v>
      </x:c>
      <x:c r="E53" s="19" t="n">
        <x:f>INDEX('参数'!$G$34:$P$34,1,C53)</x:f>
        <x:v>25</x:v>
      </x:c>
      <x:c r="F53" s="20" t="n">
        <x:f>'参数'!$I$26</x:f>
        <x:v>1.05</x:v>
      </x:c>
      <x:c r="G53" s="19" t="n">
        <x:f>ROUND(V53*X53/'参数'!$B$56,0)</x:f>
        <x:v>11943</x:v>
      </x:c>
      <x:c r="H53" s="19" t="n">
        <x:f>ROUND((AA53+SQRT(AA53^2+4*AA53*'参数'!$B$22*U53))/2,0)</x:f>
        <x:v>400</x:v>
      </x:c>
      <x:c r="I53" s="19" t="n">
        <x:f>ROUND(Q53*'参数'!$B$23/'参数'!$B$22,0)</x:f>
        <x:v>119</x:v>
      </x:c>
      <x:c r="J53" s="19" t="n">
        <x:f>ROUND(G53*'参数'!$B$50,0)</x:f>
        <x:v>35829</x:v>
      </x:c>
      <x:c r="K53" s="19" t="n">
        <x:f>ROUND(W53*Y53,0)</x:f>
        <x:v>126797</x:v>
      </x:c>
      <x:c r="L53" s="19" t="n">
        <x:f>ROUND((AB53+SQRT(AB53^2+4*AB53*'参数'!$B$22*U53))/2,0)</x:f>
        <x:v>639</x:v>
      </x:c>
      <x:c r="M53" s="19" t="n">
        <x:f>ROUND(I53*'参数'!$B$24,0)</x:f>
        <x:v>149</x:v>
      </x:c>
      <x:c r="N53" s="19" t="n">
        <x:f>'参数'!$B$9*'参数'!$B$10^(D53-1)</x:f>
        <x:v>1413.9393036056285</x:v>
      </x:c>
      <x:c r="O53" s="19" t="n">
        <x:f>'参数'!$B$18*'参数'!$B$19^(MIN(E53,MAX(1,5*INT(D53/5)))-1)*F53*'参数'!$J$26*P53</x:f>
        <x:v>90.40281484351866</x:v>
      </x:c>
      <x:c r="P53" s="22" t="n">
        <x:f>MIN(1,(D53-1)/19)</x:f>
        <x:v>1</x:v>
      </x:c>
      <x:c r="Q53" s="19" t="n">
        <x:f>INDEX('角色成长'!$F$6:$F$105,D53)+O53*'参数'!$K$21</x:f>
        <x:v>596.6480223040282</x:v>
      </x:c>
      <x:c r="R53" s="19" t="n">
        <x:f>INDEX('角色成长'!$I$6:$I$105,D53)+O53*'参数'!$K$21</x:f>
        <x:v>501.6480223040282</x:v>
      </x:c>
      <x:c r="S53" s="19" t="n">
        <x:f>INDEX('角色成长'!$L$6:$L$105,D53)+O53*'参数'!$K$21</x:f>
        <x:v>447.6480223040282</x:v>
      </x:c>
      <x:c r="T53" s="19" t="n">
        <x:f>(INDEX('角色成长'!$J$6:$J$105,D53)+O53*'参数'!$L$21)*(1+'参数'!$B$40*P53)</x:f>
        <x:v>6808.9367384787265</x:v>
      </x:c>
      <x:c r="U53" s="19" t="n">
        <x:f>(INDEX('角色成长'!$K$6:$K$105,D53)+O53*'参数'!$M$21)*(1+'参数'!$B$41*P53)</x:f>
        <x:v>367.62541857377346</x:v>
      </x:c>
      <x:c r="V53" s="19" t="n">
        <x:f>(('参数'!$K$5*(((Q53*(1+'参数'!$B$39*P53))^2/((Q53*(1+'参数'!$B$39*P53))+'参数'!$B$22*(I53)))*(1+'参数'!$B$42*P53)/'参数'!$J$5+((Q53*'参数'!$B$43*(1+'参数'!$B$39*P53))^2/((Q53*'参数'!$B$43*(1+'参数'!$B$39*P53))+'参数'!$B$22*(I53)))/'参数'!$B$44))+(((R53*(1+'参数'!$B$39*P53))^2/((R53*(1+'参数'!$B$39*P53))+'参数'!$B$22*(I53)))*(1+'参数'!$B$42*P53)/'参数'!$J$6+((R53*'参数'!$B$45*(1+'参数'!$B$39*P53))^2/((R53*'参数'!$B$45*(1+'参数'!$B$39*P53))+'参数'!$B$22*(I53)))/'参数'!$B$46)+((S53*(1+'参数'!$B$39*P53))^2/((S53*(1+'参数'!$B$39*P53))+'参数'!$B$22*(I53)))*(1+'参数'!$B$42*P53)/'参数'!$J$7)*(1+'参数'!$B$37*('参数'!$B$38-1))*'参数'!$B$25</x:f>
        <x:v>3993.121598399967</x:v>
      </x:c>
      <x:c r="W53" s="19" t="n">
        <x:f>(('参数'!$K$5*(((Q53*(1+'参数'!$B$39*P53))^2/((Q53*(1+'参数'!$B$39*P53))+'参数'!$B$22*(M53)))*(1+'参数'!$B$42*P53)/'参数'!$J$5+((Q53*'参数'!$B$43*(1+'参数'!$B$39*P53))^2/((Q53*'参数'!$B$43*(1+'参数'!$B$39*P53))+'参数'!$B$22*(M53)))/'参数'!$B$44))+(((R53*(1+'参数'!$B$39*P53))^2/((R53*(1+'参数'!$B$39*P53))+'参数'!$B$22*(M53)))*(1+'参数'!$B$42*P53)/'参数'!$J$6+((R53*'参数'!$B$45*(1+'参数'!$B$39*P53))^2/((R53*'参数'!$B$45*(1+'参数'!$B$39*P53))+'参数'!$B$22*(M53)))/'参数'!$B$46)+((S53*(1+'参数'!$B$39*P53))^2/((S53*(1+'参数'!$B$39*P53))+'参数'!$B$22*(M53)))*(1+'参数'!$B$42*P53)/'参数'!$J$7)*(1+'参数'!$B$37*('参数'!$B$38-1))</x:f>
        <x:v>3074.8056911941576</x:v>
      </x:c>
      <x:c r="X53" s="26" t="n">
        <x:f>('参数'!$B$26+'参数'!$B$27*(D53-1)/99)*'参数'!$K$26*AD53</x:f>
        <x:v>13.757575757575758</x:v>
      </x:c>
      <x:c r="Y53" s="26" t="n">
        <x:f>('参数'!$B$28+'参数'!$B$29*(D53-1)/99)*'参数'!$K$26*AD53*IF(AE53=1,'参数'!$B$51,1)</x:f>
        <x:v>41.23737373737374</x:v>
      </x:c>
      <x:c r="Z53" s="22" t="n">
        <x:f>MIN('参数'!$B$36,U53/(U53+'参数'!$B$35))</x:f>
        <x:v>0.08417054654238634</x:v>
      </x:c>
      <x:c r="AA53" s="19" t="n">
        <x:f>T53*'参数'!$B$30/('参数'!$B$32*'参数'!$B$33)/(1-Z53)*AC53</x:f>
        <x:v>185.8680323277531</x:v>
      </x:c>
      <x:c r="AB53" s="19" t="n">
        <x:f>T53*'参数'!$B$31/'参数'!$B$34/(1-Z53)*AC53</x:f>
        <x:v>371.7360646555061</x:v>
      </x:c>
      <x:c r="AC53" s="20" t="n">
        <x:f>'参数'!$L$26*1</x:f>
        <x:v>1</x:v>
      </x:c>
      <x:c r="AD53" s="20" t="n">
        <x:f>1</x:f>
        <x:v>1</x:v>
      </x:c>
      <x:c r="AE53" s="19" t="n">
        <x:f>IF(MOD(B53,12)=0,1,0)</x:f>
        <x:v>1</x:v>
      </x:c>
    </x:row>
    <x:row r="54" ht="22" customHeight="1">
      <x:c r="A54" s="18" t="str">
        <x:v>简单</x:v>
      </x:c>
      <x:c r="B54" s="18" t="n">
        <x:v>49</x:v>
      </x:c>
      <x:c r="C54" s="18" t="n">
        <x:f>ROUNDUP(B54/12,0)</x:f>
        <x:v>5</x:v>
      </x:c>
      <x:c r="D54" s="18" t="n">
        <x:f>ROUND(MAX('参数'!$G$26,E54)+(IF(C54&lt;10,INDEX('参数'!$G$34:$P$34,1,MIN(10,C54+1)),'参数'!$H$26)-MAX('参数'!$G$26,E54))*MOD(B54-1,12)/11,0)</x:f>
        <x:v>30</x:v>
      </x:c>
      <x:c r="E54" s="18" t="n">
        <x:f>INDEX('参数'!$G$34:$P$34,1,C54)</x:f>
        <x:v>30</x:v>
      </x:c>
      <x:c r="F54" s="15" t="n">
        <x:f>'参数'!$I$26</x:f>
        <x:v>1.05</x:v>
      </x:c>
      <x:c r="G54" s="18" t="n">
        <x:f>ROUND(V54*X54/'参数'!$B$56,0)</x:f>
        <x:v>13031</x:v>
      </x:c>
      <x:c r="H54" s="18" t="n">
        <x:f>ROUND((AA54+SQRT(AA54^2+4*AA54*'参数'!$B$22*U54))/2,0)</x:f>
        <x:v>432</x:v>
      </x:c>
      <x:c r="I54" s="18" t="n">
        <x:f>ROUND(Q54*'参数'!$B$23/'参数'!$B$22,0)</x:f>
        <x:v>130</x:v>
      </x:c>
      <x:c r="J54" s="18" t="n">
        <x:f>ROUND(G54*'参数'!$B$50,0)</x:f>
        <x:v>39093</x:v>
      </x:c>
      <x:c r="K54" s="18" t="n">
        <x:f>ROUND(W54*Y54,0)</x:f>
        <x:v>120265</x:v>
      </x:c>
      <x:c r="L54" s="18" t="n">
        <x:f>ROUND((AB54+SQRT(AB54^2+4*AB54*'参数'!$B$22*U54))/2,0)</x:f>
        <x:v>690</x:v>
      </x:c>
      <x:c r="M54" s="18" t="n">
        <x:f>ROUND(I54*'参数'!$B$24,0)</x:f>
        <x:v>163</x:v>
      </x:c>
      <x:c r="N54" s="18" t="n">
        <x:f>'参数'!$B$9*'参数'!$B$10^(D54-1)</x:f>
        <x:v>1413.9393036056285</x:v>
      </x:c>
      <x:c r="O54" s="18" t="n">
        <x:f>'参数'!$B$18*'参数'!$B$19^(MIN(E54,MAX(1,5*INT(D54/5)))-1)*F54*'参数'!$J$26*P54</x:f>
        <x:v>108.41159527861828</x:v>
      </x:c>
      <x:c r="P54" s="21" t="n">
        <x:f>MIN(1,(D54-1)/19)</x:f>
        <x:v>1</x:v>
      </x:c>
      <x:c r="Q54" s="18" t="n">
        <x:f>INDEX('角色成长'!$F$6:$F$105,D54)+O54*'参数'!$K$21</x:f>
        <x:v>647.9730465440621</x:v>
      </x:c>
      <x:c r="R54" s="18" t="n">
        <x:f>INDEX('角色成长'!$I$6:$I$105,D54)+O54*'参数'!$K$21</x:f>
        <x:v>552.9730465440621</x:v>
      </x:c>
      <x:c r="S54" s="18" t="n">
        <x:f>INDEX('角色成长'!$L$6:$L$105,D54)+O54*'参数'!$K$21</x:f>
        <x:v>498.97304654406213</x:v>
      </x:c>
      <x:c r="T54" s="18" t="n">
        <x:f>(INDEX('角色成长'!$J$6:$J$105,D54)+O54*'参数'!$L$21)*(1+'参数'!$B$40*P54)</x:f>
        <x:v>7248.711156703858</x:v>
      </x:c>
      <x:c r="U54" s="18" t="n">
        <x:f>(INDEX('角色成长'!$K$6:$K$105,D54)+O54*'参数'!$M$21)*(1+'参数'!$B$41*P54)</x:f>
        <x:v>402.2923209113402</x:v>
      </x:c>
      <x:c r="V54" s="18" t="n">
        <x:f>(('参数'!$K$5*(((Q54*(1+'参数'!$B$39*P54))^2/((Q54*(1+'参数'!$B$39*P54))+'参数'!$B$22*(I54)))*(1+'参数'!$B$42*P54)/'参数'!$J$5+((Q54*'参数'!$B$43*(1+'参数'!$B$39*P54))^2/((Q54*'参数'!$B$43*(1+'参数'!$B$39*P54))+'参数'!$B$22*(I54)))/'参数'!$B$44))+(((R54*(1+'参数'!$B$39*P54))^2/((R54*(1+'参数'!$B$39*P54))+'参数'!$B$22*(I54)))*(1+'参数'!$B$42*P54)/'参数'!$J$6+((R54*'参数'!$B$45*(1+'参数'!$B$39*P54))^2/((R54*'参数'!$B$45*(1+'参数'!$B$39*P54))+'参数'!$B$22*(I54)))/'参数'!$B$46)+((S54*(1+'参数'!$B$39*P54))^2/((S54*(1+'参数'!$B$39*P54))+'参数'!$B$22*(I54)))*(1+'参数'!$B$42*P54)/'参数'!$J$7)*(1+'参数'!$B$37*('参数'!$B$38-1))*'参数'!$B$25</x:f>
        <x:v>4356.959284487902</x:v>
      </x:c>
      <x:c r="W54" s="18" t="n">
        <x:f>(('参数'!$K$5*(((Q54*(1+'参数'!$B$39*P54))^2/((Q54*(1+'参数'!$B$39*P54))+'参数'!$B$22*(M54)))*(1+'参数'!$B$42*P54)/'参数'!$J$5+((Q54*'参数'!$B$43*(1+'参数'!$B$39*P54))^2/((Q54*'参数'!$B$43*(1+'参数'!$B$39*P54))+'参数'!$B$22*(M54)))/'参数'!$B$44))+(((R54*(1+'参数'!$B$39*P54))^2/((R54*(1+'参数'!$B$39*P54))+'参数'!$B$22*(M54)))*(1+'参数'!$B$42*P54)/'参数'!$J$6+((R54*'参数'!$B$45*(1+'参数'!$B$39*P54))^2/((R54*'参数'!$B$45*(1+'参数'!$B$39*P54))+'参数'!$B$22*(M54)))/'参数'!$B$46)+((S54*(1+'参数'!$B$39*P54))^2/((S54*(1+'参数'!$B$39*P54))+'参数'!$B$22*(M54)))*(1+'参数'!$B$42*P54)/'参数'!$J$7)*(1+'参数'!$B$37*('参数'!$B$38-1))</x:f>
        <x:v>3353.8811421354994</x:v>
      </x:c>
      <x:c r="X54" s="25" t="n">
        <x:f>('参数'!$B$26+'参数'!$B$27*(D54-1)/99)*'参数'!$K$26*AD54</x:f>
        <x:v>13.757575757575758</x:v>
      </x:c>
      <x:c r="Y54" s="25" t="n">
        <x:f>('参数'!$B$28+'参数'!$B$29*(D54-1)/99)*'参数'!$K$26*AD54*IF(AE54=1,'参数'!$B$51,1)</x:f>
        <x:v>35.85858585858586</x:v>
      </x:c>
      <x:c r="Z54" s="21" t="n">
        <x:f>MIN('参数'!$B$36,U54/(U54+'参数'!$B$35))</x:f>
        <x:v>0.09138246431306035</x:v>
      </x:c>
      <x:c r="AA54" s="18" t="n">
        <x:f>T54*'参数'!$B$30/('参数'!$B$32*'参数'!$B$33)/(1-Z54)*AC54</x:f>
        <x:v>199.44340913538596</x:v>
      </x:c>
      <x:c r="AB54" s="18" t="n">
        <x:f>T54*'参数'!$B$31/'参数'!$B$34/(1-Z54)*AC54</x:f>
        <x:v>398.8868182707719</x:v>
      </x:c>
      <x:c r="AC54" s="15" t="n">
        <x:f>'参数'!$L$26*1</x:f>
        <x:v>1</x:v>
      </x:c>
      <x:c r="AD54" s="15" t="n">
        <x:f>1</x:f>
        <x:v>1</x:v>
      </x:c>
      <x:c r="AE54" s="18" t="n">
        <x:f>IF(MOD(B54,12)=0,1,0)</x:f>
        <x:v>0</x:v>
      </x:c>
    </x:row>
    <x:row r="55" ht="22" customHeight="1">
      <x:c r="A55" s="19" t="str">
        <x:v>简单</x:v>
      </x:c>
      <x:c r="B55" s="19" t="n">
        <x:v>50</x:v>
      </x:c>
      <x:c r="C55" s="19" t="n">
        <x:f>ROUNDUP(B55/12,0)</x:f>
        <x:v>5</x:v>
      </x:c>
      <x:c r="D55" s="19" t="n">
        <x:f>ROUND(MAX('参数'!$G$26,E55)+(IF(C55&lt;10,INDEX('参数'!$G$34:$P$34,1,MIN(10,C55+1)),'参数'!$H$26)-MAX('参数'!$G$26,E55))*MOD(B55-1,12)/11,0)</x:f>
        <x:v>30</x:v>
      </x:c>
      <x:c r="E55" s="19" t="n">
        <x:f>INDEX('参数'!$G$34:$P$34,1,C55)</x:f>
        <x:v>30</x:v>
      </x:c>
      <x:c r="F55" s="20" t="n">
        <x:f>'参数'!$I$26</x:f>
        <x:v>1.05</x:v>
      </x:c>
      <x:c r="G55" s="19" t="n">
        <x:f>ROUND(V55*X55/'参数'!$B$56,0)</x:f>
        <x:v>13031</x:v>
      </x:c>
      <x:c r="H55" s="19" t="n">
        <x:f>ROUND((AA55+SQRT(AA55^2+4*AA55*'参数'!$B$22*U55))/2,0)</x:f>
        <x:v>432</x:v>
      </x:c>
      <x:c r="I55" s="19" t="n">
        <x:f>ROUND(Q55*'参数'!$B$23/'参数'!$B$22,0)</x:f>
        <x:v>130</x:v>
      </x:c>
      <x:c r="J55" s="19" t="n">
        <x:f>ROUND(G55*'参数'!$B$50,0)</x:f>
        <x:v>39093</x:v>
      </x:c>
      <x:c r="K55" s="19" t="n">
        <x:f>ROUND(W55*Y55,0)</x:f>
        <x:v>120265</x:v>
      </x:c>
      <x:c r="L55" s="19" t="n">
        <x:f>ROUND((AB55+SQRT(AB55^2+4*AB55*'参数'!$B$22*U55))/2,0)</x:f>
        <x:v>690</x:v>
      </x:c>
      <x:c r="M55" s="19" t="n">
        <x:f>ROUND(I55*'参数'!$B$24,0)</x:f>
        <x:v>163</x:v>
      </x:c>
      <x:c r="N55" s="19" t="n">
        <x:f>'参数'!$B$9*'参数'!$B$10^(D55-1)</x:f>
        <x:v>1413.9393036056285</x:v>
      </x:c>
      <x:c r="O55" s="19" t="n">
        <x:f>'参数'!$B$18*'参数'!$B$19^(MIN(E55,MAX(1,5*INT(D55/5)))-1)*F55*'参数'!$J$26*P55</x:f>
        <x:v>108.41159527861828</x:v>
      </x:c>
      <x:c r="P55" s="22" t="n">
        <x:f>MIN(1,(D55-1)/19)</x:f>
        <x:v>1</x:v>
      </x:c>
      <x:c r="Q55" s="19" t="n">
        <x:f>INDEX('角色成长'!$F$6:$F$105,D55)+O55*'参数'!$K$21</x:f>
        <x:v>647.9730465440621</x:v>
      </x:c>
      <x:c r="R55" s="19" t="n">
        <x:f>INDEX('角色成长'!$I$6:$I$105,D55)+O55*'参数'!$K$21</x:f>
        <x:v>552.9730465440621</x:v>
      </x:c>
      <x:c r="S55" s="19" t="n">
        <x:f>INDEX('角色成长'!$L$6:$L$105,D55)+O55*'参数'!$K$21</x:f>
        <x:v>498.97304654406213</x:v>
      </x:c>
      <x:c r="T55" s="19" t="n">
        <x:f>(INDEX('角色成长'!$J$6:$J$105,D55)+O55*'参数'!$L$21)*(1+'参数'!$B$40*P55)</x:f>
        <x:v>7248.711156703858</x:v>
      </x:c>
      <x:c r="U55" s="19" t="n">
        <x:f>(INDEX('角色成长'!$K$6:$K$105,D55)+O55*'参数'!$M$21)*(1+'参数'!$B$41*P55)</x:f>
        <x:v>402.2923209113402</x:v>
      </x:c>
      <x:c r="V55" s="19" t="n">
        <x:f>(('参数'!$K$5*(((Q55*(1+'参数'!$B$39*P55))^2/((Q55*(1+'参数'!$B$39*P55))+'参数'!$B$22*(I55)))*(1+'参数'!$B$42*P55)/'参数'!$J$5+((Q55*'参数'!$B$43*(1+'参数'!$B$39*P55))^2/((Q55*'参数'!$B$43*(1+'参数'!$B$39*P55))+'参数'!$B$22*(I55)))/'参数'!$B$44))+(((R55*(1+'参数'!$B$39*P55))^2/((R55*(1+'参数'!$B$39*P55))+'参数'!$B$22*(I55)))*(1+'参数'!$B$42*P55)/'参数'!$J$6+((R55*'参数'!$B$45*(1+'参数'!$B$39*P55))^2/((R55*'参数'!$B$45*(1+'参数'!$B$39*P55))+'参数'!$B$22*(I55)))/'参数'!$B$46)+((S55*(1+'参数'!$B$39*P55))^2/((S55*(1+'参数'!$B$39*P55))+'参数'!$B$22*(I55)))*(1+'参数'!$B$42*P55)/'参数'!$J$7)*(1+'参数'!$B$37*('参数'!$B$38-1))*'参数'!$B$25</x:f>
        <x:v>4356.959284487902</x:v>
      </x:c>
      <x:c r="W55" s="19" t="n">
        <x:f>(('参数'!$K$5*(((Q55*(1+'参数'!$B$39*P55))^2/((Q55*(1+'参数'!$B$39*P55))+'参数'!$B$22*(M55)))*(1+'参数'!$B$42*P55)/'参数'!$J$5+((Q55*'参数'!$B$43*(1+'参数'!$B$39*P55))^2/((Q55*'参数'!$B$43*(1+'参数'!$B$39*P55))+'参数'!$B$22*(M55)))/'参数'!$B$44))+(((R55*(1+'参数'!$B$39*P55))^2/((R55*(1+'参数'!$B$39*P55))+'参数'!$B$22*(M55)))*(1+'参数'!$B$42*P55)/'参数'!$J$6+((R55*'参数'!$B$45*(1+'参数'!$B$39*P55))^2/((R55*'参数'!$B$45*(1+'参数'!$B$39*P55))+'参数'!$B$22*(M55)))/'参数'!$B$46)+((S55*(1+'参数'!$B$39*P55))^2/((S55*(1+'参数'!$B$39*P55))+'参数'!$B$22*(M55)))*(1+'参数'!$B$42*P55)/'参数'!$J$7)*(1+'参数'!$B$37*('参数'!$B$38-1))</x:f>
        <x:v>3353.8811421354994</x:v>
      </x:c>
      <x:c r="X55" s="26" t="n">
        <x:f>('参数'!$B$26+'参数'!$B$27*(D55-1)/99)*'参数'!$K$26*AD55</x:f>
        <x:v>13.757575757575758</x:v>
      </x:c>
      <x:c r="Y55" s="26" t="n">
        <x:f>('参数'!$B$28+'参数'!$B$29*(D55-1)/99)*'参数'!$K$26*AD55*IF(AE55=1,'参数'!$B$51,1)</x:f>
        <x:v>35.85858585858586</x:v>
      </x:c>
      <x:c r="Z55" s="22" t="n">
        <x:f>MIN('参数'!$B$36,U55/(U55+'参数'!$B$35))</x:f>
        <x:v>0.09138246431306035</x:v>
      </x:c>
      <x:c r="AA55" s="19" t="n">
        <x:f>T55*'参数'!$B$30/('参数'!$B$32*'参数'!$B$33)/(1-Z55)*AC55</x:f>
        <x:v>199.44340913538596</x:v>
      </x:c>
      <x:c r="AB55" s="19" t="n">
        <x:f>T55*'参数'!$B$31/'参数'!$B$34/(1-Z55)*AC55</x:f>
        <x:v>398.8868182707719</x:v>
      </x:c>
      <x:c r="AC55" s="20" t="n">
        <x:f>'参数'!$L$26*1</x:f>
        <x:v>1</x:v>
      </x:c>
      <x:c r="AD55" s="20" t="n">
        <x:f>1</x:f>
        <x:v>1</x:v>
      </x:c>
      <x:c r="AE55" s="19" t="n">
        <x:f>IF(MOD(B55,12)=0,1,0)</x:f>
        <x:v>0</x:v>
      </x:c>
    </x:row>
    <x:row r="56" ht="22" customHeight="1">
      <x:c r="A56" s="18" t="str">
        <x:v>简单</x:v>
      </x:c>
      <x:c r="B56" s="18" t="n">
        <x:v>51</x:v>
      </x:c>
      <x:c r="C56" s="18" t="n">
        <x:f>ROUNDUP(B56/12,0)</x:f>
        <x:v>5</x:v>
      </x:c>
      <x:c r="D56" s="18" t="n">
        <x:f>ROUND(MAX('参数'!$G$26,E56)+(IF(C56&lt;10,INDEX('参数'!$G$34:$P$34,1,MIN(10,C56+1)),'参数'!$H$26)-MAX('参数'!$G$26,E56))*MOD(B56-1,12)/11,0)</x:f>
        <x:v>31</x:v>
      </x:c>
      <x:c r="E56" s="18" t="n">
        <x:f>INDEX('参数'!$G$34:$P$34,1,C56)</x:f>
        <x:v>30</x:v>
      </x:c>
      <x:c r="F56" s="15" t="n">
        <x:f>'参数'!$I$26</x:f>
        <x:v>1.05</x:v>
      </x:c>
      <x:c r="G56" s="18" t="n">
        <x:f>ROUND(V56*X56/'参数'!$B$56,0)</x:f>
        <x:v>13322</x:v>
      </x:c>
      <x:c r="H56" s="18" t="n">
        <x:f>ROUND((AA56+SQRT(AA56^2+4*AA56*'参数'!$B$22*U56))/2,0)</x:f>
        <x:v>441</x:v>
      </x:c>
      <x:c r="I56" s="18" t="n">
        <x:f>ROUND(Q56*'参数'!$B$23/'参数'!$B$22,0)</x:f>
        <x:v>132</x:v>
      </x:c>
      <x:c r="J56" s="18" t="n">
        <x:f>ROUND(G56*'参数'!$B$50,0)</x:f>
        <x:v>39966</x:v>
      </x:c>
      <x:c r="K56" s="18" t="n">
        <x:f>ROUND(W56*Y56,0)</x:f>
        <x:v>123183</x:v>
      </x:c>
      <x:c r="L56" s="18" t="n">
        <x:f>ROUND((AB56+SQRT(AB56^2+4*AB56*'参数'!$B$22*U56))/2,0)</x:f>
        <x:v>705</x:v>
      </x:c>
      <x:c r="M56" s="18" t="n">
        <x:f>ROUND(I56*'参数'!$B$24,0)</x:f>
        <x:v>165</x:v>
      </x:c>
      <x:c r="N56" s="18" t="n">
        <x:f>'参数'!$B$9*'参数'!$B$10^(D56-1)</x:f>
        <x:v>1456.3574827137973</x:v>
      </x:c>
      <x:c r="O56" s="18" t="n">
        <x:f>'参数'!$B$18*'参数'!$B$19^(MIN(E56,MAX(1,5*INT(D56/5)))-1)*F56*'参数'!$J$26*P56</x:f>
        <x:v>108.41159527861828</x:v>
      </x:c>
      <x:c r="P56" s="21" t="n">
        <x:f>MIN(1,(D56-1)/19)</x:f>
        <x:v>1</x:v>
      </x:c>
      <x:c r="Q56" s="18" t="n">
        <x:f>INDEX('角色成长'!$F$6:$F$105,D56)+O56*'参数'!$K$21</x:f>
        <x:v>659.9730465440621</x:v>
      </x:c>
      <x:c r="R56" s="18" t="n">
        <x:f>INDEX('角色成长'!$I$6:$I$105,D56)+O56*'参数'!$K$21</x:f>
        <x:v>561.9730465440621</x:v>
      </x:c>
      <x:c r="S56" s="18" t="n">
        <x:f>INDEX('角色成长'!$L$6:$L$105,D56)+O56*'参数'!$K$21</x:f>
        <x:v>504.97304654406213</x:v>
      </x:c>
      <x:c r="T56" s="18" t="n">
        <x:f>(INDEX('角色成长'!$J$6:$J$105,D56)+O56*'参数'!$L$21)*(1+'参数'!$B$40*P56)</x:f>
        <x:v>7414.811156703859</x:v>
      </x:c>
      <x:c r="U56" s="18" t="n">
        <x:f>(INDEX('角色成长'!$K$6:$K$105,D56)+O56*'参数'!$M$21)*(1+'参数'!$B$41*P56)</x:f>
        <x:v>408.8923209113402</x:v>
      </x:c>
      <x:c r="V56" s="18" t="n">
        <x:f>(('参数'!$K$5*(((Q56*(1+'参数'!$B$39*P56))^2/((Q56*(1+'参数'!$B$39*P56))+'参数'!$B$22*(I56)))*(1+'参数'!$B$42*P56)/'参数'!$J$5+((Q56*'参数'!$B$43*(1+'参数'!$B$39*P56))^2/((Q56*'参数'!$B$43*(1+'参数'!$B$39*P56))+'参数'!$B$22*(I56)))/'参数'!$B$44))+(((R56*(1+'参数'!$B$39*P56))^2/((R56*(1+'参数'!$B$39*P56))+'参数'!$B$22*(I56)))*(1+'参数'!$B$42*P56)/'参数'!$J$6+((R56*'参数'!$B$45*(1+'参数'!$B$39*P56))^2/((R56*'参数'!$B$45*(1+'参数'!$B$39*P56))+'参数'!$B$22*(I56)))/'参数'!$B$46)+((S56*(1+'参数'!$B$39*P56))^2/((S56*(1+'参数'!$B$39*P56))+'参数'!$B$22*(I56)))*(1+'参数'!$B$42*P56)/'参数'!$J$7)*(1+'参数'!$B$37*('参数'!$B$38-1))*'参数'!$B$25</x:f>
        <x:v>4434.792720384782</x:v>
      </x:c>
      <x:c r="W56" s="18" t="n">
        <x:f>(('参数'!$K$5*(((Q56*(1+'参数'!$B$39*P56))^2/((Q56*(1+'参数'!$B$39*P56))+'参数'!$B$22*(M56)))*(1+'参数'!$B$42*P56)/'参数'!$J$5+((Q56*'参数'!$B$43*(1+'参数'!$B$39*P56))^2/((Q56*'参数'!$B$43*(1+'参数'!$B$39*P56))+'参数'!$B$22*(M56)))/'参数'!$B$44))+(((R56*(1+'参数'!$B$39*P56))^2/((R56*(1+'参数'!$B$39*P56))+'参数'!$B$22*(M56)))*(1+'参数'!$B$42*P56)/'参数'!$J$6+((R56*'参数'!$B$45*(1+'参数'!$B$39*P56))^2/((R56*'参数'!$B$45*(1+'参数'!$B$39*P56))+'参数'!$B$22*(M56)))/'参数'!$B$46)+((S56*(1+'参数'!$B$39*P56))^2/((S56*(1+'参数'!$B$39*P56))+'参数'!$B$22*(M56)))*(1+'参数'!$B$42*P56)/'参数'!$J$7)*(1+'参数'!$B$37*('参数'!$B$38-1))</x:f>
        <x:v>3415.987066469787</x:v>
      </x:c>
      <x:c r="X56" s="25" t="n">
        <x:f>('参数'!$B$26+'参数'!$B$27*(D56-1)/99)*'参数'!$K$26*AD56</x:f>
        <x:v>13.818181818181818</x:v>
      </x:c>
      <x:c r="Y56" s="25" t="n">
        <x:f>('参数'!$B$28+'参数'!$B$29*(D56-1)/99)*'参数'!$K$26*AD56*IF(AE56=1,'参数'!$B$51,1)</x:f>
        <x:v>36.06060606060606</x:v>
      </x:c>
      <x:c r="Z56" s="21" t="n">
        <x:f>MIN('参数'!$B$36,U56/(U56+'参数'!$B$35))</x:f>
        <x:v>0.09274264172249508</x:v>
      </x:c>
      <x:c r="AA56" s="18" t="n">
        <x:f>T56*'参数'!$B$30/('参数'!$B$32*'参数'!$B$33)/(1-Z56)*AC56</x:f>
        <x:v>204.3193998112461</x:v>
      </x:c>
      <x:c r="AB56" s="18" t="n">
        <x:f>T56*'参数'!$B$31/'参数'!$B$34/(1-Z56)*AC56</x:f>
        <x:v>408.6387996224922</x:v>
      </x:c>
      <x:c r="AC56" s="15" t="n">
        <x:f>'参数'!$L$26*1</x:f>
        <x:v>1</x:v>
      </x:c>
      <x:c r="AD56" s="15" t="n">
        <x:f>1</x:f>
        <x:v>1</x:v>
      </x:c>
      <x:c r="AE56" s="18" t="n">
        <x:f>IF(MOD(B56,12)=0,1,0)</x:f>
        <x:v>0</x:v>
      </x:c>
    </x:row>
    <x:row r="57" ht="22" customHeight="1">
      <x:c r="A57" s="19" t="str">
        <x:v>简单</x:v>
      </x:c>
      <x:c r="B57" s="19" t="n">
        <x:v>52</x:v>
      </x:c>
      <x:c r="C57" s="19" t="n">
        <x:f>ROUNDUP(B57/12,0)</x:f>
        <x:v>5</x:v>
      </x:c>
      <x:c r="D57" s="19" t="n">
        <x:f>ROUND(MAX('参数'!$G$26,E57)+(IF(C57&lt;10,INDEX('参数'!$G$34:$P$34,1,MIN(10,C57+1)),'参数'!$H$26)-MAX('参数'!$G$26,E57))*MOD(B57-1,12)/11,0)</x:f>
        <x:v>31</x:v>
      </x:c>
      <x:c r="E57" s="19" t="n">
        <x:f>INDEX('参数'!$G$34:$P$34,1,C57)</x:f>
        <x:v>30</x:v>
      </x:c>
      <x:c r="F57" s="20" t="n">
        <x:f>'参数'!$I$26</x:f>
        <x:v>1.05</x:v>
      </x:c>
      <x:c r="G57" s="19" t="n">
        <x:f>ROUND(V57*X57/'参数'!$B$56,0)</x:f>
        <x:v>13322</x:v>
      </x:c>
      <x:c r="H57" s="19" t="n">
        <x:f>ROUND((AA57+SQRT(AA57^2+4*AA57*'参数'!$B$22*U57))/2,0)</x:f>
        <x:v>441</x:v>
      </x:c>
      <x:c r="I57" s="19" t="n">
        <x:f>ROUND(Q57*'参数'!$B$23/'参数'!$B$22,0)</x:f>
        <x:v>132</x:v>
      </x:c>
      <x:c r="J57" s="19" t="n">
        <x:f>ROUND(G57*'参数'!$B$50,0)</x:f>
        <x:v>39966</x:v>
      </x:c>
      <x:c r="K57" s="19" t="n">
        <x:f>ROUND(W57*Y57,0)</x:f>
        <x:v>123183</x:v>
      </x:c>
      <x:c r="L57" s="19" t="n">
        <x:f>ROUND((AB57+SQRT(AB57^2+4*AB57*'参数'!$B$22*U57))/2,0)</x:f>
        <x:v>705</x:v>
      </x:c>
      <x:c r="M57" s="19" t="n">
        <x:f>ROUND(I57*'参数'!$B$24,0)</x:f>
        <x:v>165</x:v>
      </x:c>
      <x:c r="N57" s="19" t="n">
        <x:f>'参数'!$B$9*'参数'!$B$10^(D57-1)</x:f>
        <x:v>1456.3574827137973</x:v>
      </x:c>
      <x:c r="O57" s="19" t="n">
        <x:f>'参数'!$B$18*'参数'!$B$19^(MIN(E57,MAX(1,5*INT(D57/5)))-1)*F57*'参数'!$J$26*P57</x:f>
        <x:v>108.41159527861828</x:v>
      </x:c>
      <x:c r="P57" s="22" t="n">
        <x:f>MIN(1,(D57-1)/19)</x:f>
        <x:v>1</x:v>
      </x:c>
      <x:c r="Q57" s="19" t="n">
        <x:f>INDEX('角色成长'!$F$6:$F$105,D57)+O57*'参数'!$K$21</x:f>
        <x:v>659.9730465440621</x:v>
      </x:c>
      <x:c r="R57" s="19" t="n">
        <x:f>INDEX('角色成长'!$I$6:$I$105,D57)+O57*'参数'!$K$21</x:f>
        <x:v>561.9730465440621</x:v>
      </x:c>
      <x:c r="S57" s="19" t="n">
        <x:f>INDEX('角色成长'!$L$6:$L$105,D57)+O57*'参数'!$K$21</x:f>
        <x:v>504.97304654406213</x:v>
      </x:c>
      <x:c r="T57" s="19" t="n">
        <x:f>(INDEX('角色成长'!$J$6:$J$105,D57)+O57*'参数'!$L$21)*(1+'参数'!$B$40*P57)</x:f>
        <x:v>7414.811156703859</x:v>
      </x:c>
      <x:c r="U57" s="19" t="n">
        <x:f>(INDEX('角色成长'!$K$6:$K$105,D57)+O57*'参数'!$M$21)*(1+'参数'!$B$41*P57)</x:f>
        <x:v>408.8923209113402</x:v>
      </x:c>
      <x:c r="V57" s="19" t="n">
        <x:f>(('参数'!$K$5*(((Q57*(1+'参数'!$B$39*P57))^2/((Q57*(1+'参数'!$B$39*P57))+'参数'!$B$22*(I57)))*(1+'参数'!$B$42*P57)/'参数'!$J$5+((Q57*'参数'!$B$43*(1+'参数'!$B$39*P57))^2/((Q57*'参数'!$B$43*(1+'参数'!$B$39*P57))+'参数'!$B$22*(I57)))/'参数'!$B$44))+(((R57*(1+'参数'!$B$39*P57))^2/((R57*(1+'参数'!$B$39*P57))+'参数'!$B$22*(I57)))*(1+'参数'!$B$42*P57)/'参数'!$J$6+((R57*'参数'!$B$45*(1+'参数'!$B$39*P57))^2/((R57*'参数'!$B$45*(1+'参数'!$B$39*P57))+'参数'!$B$22*(I57)))/'参数'!$B$46)+((S57*(1+'参数'!$B$39*P57))^2/((S57*(1+'参数'!$B$39*P57))+'参数'!$B$22*(I57)))*(1+'参数'!$B$42*P57)/'参数'!$J$7)*(1+'参数'!$B$37*('参数'!$B$38-1))*'参数'!$B$25</x:f>
        <x:v>4434.792720384782</x:v>
      </x:c>
      <x:c r="W57" s="19" t="n">
        <x:f>(('参数'!$K$5*(((Q57*(1+'参数'!$B$39*P57))^2/((Q57*(1+'参数'!$B$39*P57))+'参数'!$B$22*(M57)))*(1+'参数'!$B$42*P57)/'参数'!$J$5+((Q57*'参数'!$B$43*(1+'参数'!$B$39*P57))^2/((Q57*'参数'!$B$43*(1+'参数'!$B$39*P57))+'参数'!$B$22*(M57)))/'参数'!$B$44))+(((R57*(1+'参数'!$B$39*P57))^2/((R57*(1+'参数'!$B$39*P57))+'参数'!$B$22*(M57)))*(1+'参数'!$B$42*P57)/'参数'!$J$6+((R57*'参数'!$B$45*(1+'参数'!$B$39*P57))^2/((R57*'参数'!$B$45*(1+'参数'!$B$39*P57))+'参数'!$B$22*(M57)))/'参数'!$B$46)+((S57*(1+'参数'!$B$39*P57))^2/((S57*(1+'参数'!$B$39*P57))+'参数'!$B$22*(M57)))*(1+'参数'!$B$42*P57)/'参数'!$J$7)*(1+'参数'!$B$37*('参数'!$B$38-1))</x:f>
        <x:v>3415.987066469787</x:v>
      </x:c>
      <x:c r="X57" s="26" t="n">
        <x:f>('参数'!$B$26+'参数'!$B$27*(D57-1)/99)*'参数'!$K$26*AD57</x:f>
        <x:v>13.818181818181818</x:v>
      </x:c>
      <x:c r="Y57" s="26" t="n">
        <x:f>('参数'!$B$28+'参数'!$B$29*(D57-1)/99)*'参数'!$K$26*AD57*IF(AE57=1,'参数'!$B$51,1)</x:f>
        <x:v>36.06060606060606</x:v>
      </x:c>
      <x:c r="Z57" s="22" t="n">
        <x:f>MIN('参数'!$B$36,U57/(U57+'参数'!$B$35))</x:f>
        <x:v>0.09274264172249508</x:v>
      </x:c>
      <x:c r="AA57" s="19" t="n">
        <x:f>T57*'参数'!$B$30/('参数'!$B$32*'参数'!$B$33)/(1-Z57)*AC57</x:f>
        <x:v>204.3193998112461</x:v>
      </x:c>
      <x:c r="AB57" s="19" t="n">
        <x:f>T57*'参数'!$B$31/'参数'!$B$34/(1-Z57)*AC57</x:f>
        <x:v>408.6387996224922</x:v>
      </x:c>
      <x:c r="AC57" s="20" t="n">
        <x:f>'参数'!$L$26*1</x:f>
        <x:v>1</x:v>
      </x:c>
      <x:c r="AD57" s="20" t="n">
        <x:f>1</x:f>
        <x:v>1</x:v>
      </x:c>
      <x:c r="AE57" s="19" t="n">
        <x:f>IF(MOD(B57,12)=0,1,0)</x:f>
        <x:v>0</x:v>
      </x:c>
    </x:row>
    <x:row r="58" ht="22" customHeight="1">
      <x:c r="A58" s="18" t="str">
        <x:v>简单</x:v>
      </x:c>
      <x:c r="B58" s="18" t="n">
        <x:v>53</x:v>
      </x:c>
      <x:c r="C58" s="18" t="n">
        <x:f>ROUNDUP(B58/12,0)</x:f>
        <x:v>5</x:v>
      </x:c>
      <x:c r="D58" s="18" t="n">
        <x:f>ROUND(MAX('参数'!$G$26,E58)+(IF(C58&lt;10,INDEX('参数'!$G$34:$P$34,1,MIN(10,C58+1)),'参数'!$H$26)-MAX('参数'!$G$26,E58))*MOD(B58-1,12)/11,0)</x:f>
        <x:v>32</x:v>
      </x:c>
      <x:c r="E58" s="18" t="n">
        <x:f>INDEX('参数'!$G$34:$P$34,1,C58)</x:f>
        <x:v>30</x:v>
      </x:c>
      <x:c r="F58" s="15" t="n">
        <x:f>'参数'!$I$26</x:f>
        <x:v>1.05</x:v>
      </x:c>
      <x:c r="G58" s="18" t="n">
        <x:f>ROUND(V58*X58/'参数'!$B$56,0)</x:f>
        <x:v>13614</x:v>
      </x:c>
      <x:c r="H58" s="18" t="n">
        <x:f>ROUND((AA58+SQRT(AA58^2+4*AA58*'参数'!$B$22*U58))/2,0)</x:f>
        <x:v>451</x:v>
      </x:c>
      <x:c r="I58" s="18" t="n">
        <x:f>ROUND(Q58*'参数'!$B$23/'参数'!$B$22,0)</x:f>
        <x:v>134</x:v>
      </x:c>
      <x:c r="J58" s="18" t="n">
        <x:f>ROUND(G58*'参数'!$B$50,0)</x:f>
        <x:v>40842</x:v>
      </x:c>
      <x:c r="K58" s="18" t="n">
        <x:f>ROUND(W58*Y58,0)</x:f>
        <x:v>125973</x:v>
      </x:c>
      <x:c r="L58" s="18" t="n">
        <x:f>ROUND((AB58+SQRT(AB58^2+4*AB58*'参数'!$B$22*U58))/2,0)</x:f>
        <x:v>721</x:v>
      </x:c>
      <x:c r="M58" s="18" t="n">
        <x:f>ROUND(I58*'参数'!$B$24,0)</x:f>
        <x:v>168</x:v>
      </x:c>
      <x:c r="N58" s="18" t="n">
        <x:f>'参数'!$B$9*'参数'!$B$10^(D58-1)</x:f>
        <x:v>1500.0482071952113</x:v>
      </x:c>
      <x:c r="O58" s="18" t="n">
        <x:f>'参数'!$B$18*'参数'!$B$19^(MIN(E58,MAX(1,5*INT(D58/5)))-1)*F58*'参数'!$J$26*P58</x:f>
        <x:v>108.41159527861828</x:v>
      </x:c>
      <x:c r="P58" s="21" t="n">
        <x:f>MIN(1,(D58-1)/19)</x:f>
        <x:v>1</x:v>
      </x:c>
      <x:c r="Q58" s="18" t="n">
        <x:f>INDEX('角色成长'!$F$6:$F$105,D58)+O58*'参数'!$K$21</x:f>
        <x:v>671.9730465440621</x:v>
      </x:c>
      <x:c r="R58" s="18" t="n">
        <x:f>INDEX('角色成长'!$I$6:$I$105,D58)+O58*'参数'!$K$21</x:f>
        <x:v>569.9730465440621</x:v>
      </x:c>
      <x:c r="S58" s="18" t="n">
        <x:f>INDEX('角色成长'!$L$6:$L$105,D58)+O58*'参数'!$K$21</x:f>
        <x:v>511.97304654406213</x:v>
      </x:c>
      <x:c r="T58" s="18" t="n">
        <x:f>(INDEX('角色成长'!$J$6:$J$105,D58)+O58*'参数'!$L$21)*(1+'参数'!$B$40*P58)</x:f>
        <x:v>7586.411156703859</x:v>
      </x:c>
      <x:c r="U58" s="18" t="n">
        <x:f>(INDEX('角色成长'!$K$6:$K$105,D58)+O58*'参数'!$M$21)*(1+'参数'!$B$41*P58)</x:f>
        <x:v>416.5923209113402</x:v>
      </x:c>
      <x:c r="V58" s="18" t="n">
        <x:f>(('参数'!$K$5*(((Q58*(1+'参数'!$B$39*P58))^2/((Q58*(1+'参数'!$B$39*P58))+'参数'!$B$22*(I58)))*(1+'参数'!$B$42*P58)/'参数'!$J$5+((Q58*'参数'!$B$43*(1+'参数'!$B$39*P58))^2/((Q58*'参数'!$B$43*(1+'参数'!$B$39*P58))+'参数'!$B$22*(I58)))/'参数'!$B$44))+(((R58*(1+'参数'!$B$39*P58))^2/((R58*(1+'参数'!$B$39*P58))+'参数'!$B$22*(I58)))*(1+'参数'!$B$42*P58)/'参数'!$J$6+((R58*'参数'!$B$45*(1+'参数'!$B$39*P58))^2/((R58*'参数'!$B$45*(1+'参数'!$B$39*P58))+'参数'!$B$22*(I58)))/'参数'!$B$46)+((S58*(1+'参数'!$B$39*P58))^2/((S58*(1+'参数'!$B$39*P58))+'参数'!$B$22*(I58)))*(1+'参数'!$B$42*P58)/'参数'!$J$7)*(1+'参数'!$B$37*('参数'!$B$38-1))*'参数'!$B$25</x:f>
        <x:v>4512.195212097592</x:v>
      </x:c>
      <x:c r="W58" s="18" t="n">
        <x:f>(('参数'!$K$5*(((Q58*(1+'参数'!$B$39*P58))^2/((Q58*(1+'参数'!$B$39*P58))+'参数'!$B$22*(M58)))*(1+'参数'!$B$42*P58)/'参数'!$J$5+((Q58*'参数'!$B$43*(1+'参数'!$B$39*P58))^2/((Q58*'参数'!$B$43*(1+'参数'!$B$39*P58))+'参数'!$B$22*(M58)))/'参数'!$B$44))+(((R58*(1+'参数'!$B$39*P58))^2/((R58*(1+'参数'!$B$39*P58))+'参数'!$B$22*(M58)))*(1+'参数'!$B$42*P58)/'参数'!$J$6+((R58*'参数'!$B$45*(1+'参数'!$B$39*P58))^2/((R58*'参数'!$B$45*(1+'参数'!$B$39*P58))+'参数'!$B$22*(M58)))/'参数'!$B$46)+((S58*(1+'参数'!$B$39*P58))^2/((S58*(1+'参数'!$B$39*P58))+'参数'!$B$22*(M58)))*(1+'参数'!$B$42*P58)/'参数'!$J$7)*(1+'参数'!$B$37*('参数'!$B$38-1))</x:f>
        <x:v>3473.9190365609447</x:v>
      </x:c>
      <x:c r="X58" s="25" t="n">
        <x:f>('参数'!$B$26+'参数'!$B$27*(D58-1)/99)*'参数'!$K$26*AD58</x:f>
        <x:v>13.878787878787879</x:v>
      </x:c>
      <x:c r="Y58" s="25" t="n">
        <x:f>('参数'!$B$28+'参数'!$B$29*(D58-1)/99)*'参数'!$K$26*AD58*IF(AE58=1,'参数'!$B$51,1)</x:f>
        <x:v>36.26262626262626</x:v>
      </x:c>
      <x:c r="Z58" s="21" t="n">
        <x:f>MIN('参数'!$B$36,U58/(U58+'参数'!$B$35))</x:f>
        <x:v>0.09432437740266203</x:v>
      </x:c>
      <x:c r="AA58" s="18" t="n">
        <x:f>T58*'参数'!$B$30/('参数'!$B$32*'参数'!$B$33)/(1-Z58)*AC58</x:f>
        <x:v>209.4130328623399</x:v>
      </x:c>
      <x:c r="AB58" s="18" t="n">
        <x:f>T58*'参数'!$B$31/'参数'!$B$34/(1-Z58)*AC58</x:f>
        <x:v>418.82606572467984</x:v>
      </x:c>
      <x:c r="AC58" s="15" t="n">
        <x:f>'参数'!$L$26*1</x:f>
        <x:v>1</x:v>
      </x:c>
      <x:c r="AD58" s="15" t="n">
        <x:f>1</x:f>
        <x:v>1</x:v>
      </x:c>
      <x:c r="AE58" s="18" t="n">
        <x:f>IF(MOD(B58,12)=0,1,0)</x:f>
        <x:v>0</x:v>
      </x:c>
    </x:row>
    <x:row r="59" ht="22" customHeight="1">
      <x:c r="A59" s="19" t="str">
        <x:v>简单</x:v>
      </x:c>
      <x:c r="B59" s="19" t="n">
        <x:v>54</x:v>
      </x:c>
      <x:c r="C59" s="19" t="n">
        <x:f>ROUNDUP(B59/12,0)</x:f>
        <x:v>5</x:v>
      </x:c>
      <x:c r="D59" s="19" t="n">
        <x:f>ROUND(MAX('参数'!$G$26,E59)+(IF(C59&lt;10,INDEX('参数'!$G$34:$P$34,1,MIN(10,C59+1)),'参数'!$H$26)-MAX('参数'!$G$26,E59))*MOD(B59-1,12)/11,0)</x:f>
        <x:v>32</x:v>
      </x:c>
      <x:c r="E59" s="19" t="n">
        <x:f>INDEX('参数'!$G$34:$P$34,1,C59)</x:f>
        <x:v>30</x:v>
      </x:c>
      <x:c r="F59" s="20" t="n">
        <x:f>'参数'!$I$26</x:f>
        <x:v>1.05</x:v>
      </x:c>
      <x:c r="G59" s="19" t="n">
        <x:f>ROUND(V59*X59/'参数'!$B$56,0)</x:f>
        <x:v>13614</x:v>
      </x:c>
      <x:c r="H59" s="19" t="n">
        <x:f>ROUND((AA59+SQRT(AA59^2+4*AA59*'参数'!$B$22*U59))/2,0)</x:f>
        <x:v>451</x:v>
      </x:c>
      <x:c r="I59" s="19" t="n">
        <x:f>ROUND(Q59*'参数'!$B$23/'参数'!$B$22,0)</x:f>
        <x:v>134</x:v>
      </x:c>
      <x:c r="J59" s="19" t="n">
        <x:f>ROUND(G59*'参数'!$B$50,0)</x:f>
        <x:v>40842</x:v>
      </x:c>
      <x:c r="K59" s="19" t="n">
        <x:f>ROUND(W59*Y59,0)</x:f>
        <x:v>125973</x:v>
      </x:c>
      <x:c r="L59" s="19" t="n">
        <x:f>ROUND((AB59+SQRT(AB59^2+4*AB59*'参数'!$B$22*U59))/2,0)</x:f>
        <x:v>721</x:v>
      </x:c>
      <x:c r="M59" s="19" t="n">
        <x:f>ROUND(I59*'参数'!$B$24,0)</x:f>
        <x:v>168</x:v>
      </x:c>
      <x:c r="N59" s="19" t="n">
        <x:f>'参数'!$B$9*'参数'!$B$10^(D59-1)</x:f>
        <x:v>1500.0482071952113</x:v>
      </x:c>
      <x:c r="O59" s="19" t="n">
        <x:f>'参数'!$B$18*'参数'!$B$19^(MIN(E59,MAX(1,5*INT(D59/5)))-1)*F59*'参数'!$J$26*P59</x:f>
        <x:v>108.41159527861828</x:v>
      </x:c>
      <x:c r="P59" s="22" t="n">
        <x:f>MIN(1,(D59-1)/19)</x:f>
        <x:v>1</x:v>
      </x:c>
      <x:c r="Q59" s="19" t="n">
        <x:f>INDEX('角色成长'!$F$6:$F$105,D59)+O59*'参数'!$K$21</x:f>
        <x:v>671.9730465440621</x:v>
      </x:c>
      <x:c r="R59" s="19" t="n">
        <x:f>INDEX('角色成长'!$I$6:$I$105,D59)+O59*'参数'!$K$21</x:f>
        <x:v>569.9730465440621</x:v>
      </x:c>
      <x:c r="S59" s="19" t="n">
        <x:f>INDEX('角色成长'!$L$6:$L$105,D59)+O59*'参数'!$K$21</x:f>
        <x:v>511.97304654406213</x:v>
      </x:c>
      <x:c r="T59" s="19" t="n">
        <x:f>(INDEX('角色成长'!$J$6:$J$105,D59)+O59*'参数'!$L$21)*(1+'参数'!$B$40*P59)</x:f>
        <x:v>7586.411156703859</x:v>
      </x:c>
      <x:c r="U59" s="19" t="n">
        <x:f>(INDEX('角色成长'!$K$6:$K$105,D59)+O59*'参数'!$M$21)*(1+'参数'!$B$41*P59)</x:f>
        <x:v>416.5923209113402</x:v>
      </x:c>
      <x:c r="V59" s="19" t="n">
        <x:f>(('参数'!$K$5*(((Q59*(1+'参数'!$B$39*P59))^2/((Q59*(1+'参数'!$B$39*P59))+'参数'!$B$22*(I59)))*(1+'参数'!$B$42*P59)/'参数'!$J$5+((Q59*'参数'!$B$43*(1+'参数'!$B$39*P59))^2/((Q59*'参数'!$B$43*(1+'参数'!$B$39*P59))+'参数'!$B$22*(I59)))/'参数'!$B$44))+(((R59*(1+'参数'!$B$39*P59))^2/((R59*(1+'参数'!$B$39*P59))+'参数'!$B$22*(I59)))*(1+'参数'!$B$42*P59)/'参数'!$J$6+((R59*'参数'!$B$45*(1+'参数'!$B$39*P59))^2/((R59*'参数'!$B$45*(1+'参数'!$B$39*P59))+'参数'!$B$22*(I59)))/'参数'!$B$46)+((S59*(1+'参数'!$B$39*P59))^2/((S59*(1+'参数'!$B$39*P59))+'参数'!$B$22*(I59)))*(1+'参数'!$B$42*P59)/'参数'!$J$7)*(1+'参数'!$B$37*('参数'!$B$38-1))*'参数'!$B$25</x:f>
        <x:v>4512.195212097592</x:v>
      </x:c>
      <x:c r="W59" s="19" t="n">
        <x:f>(('参数'!$K$5*(((Q59*(1+'参数'!$B$39*P59))^2/((Q59*(1+'参数'!$B$39*P59))+'参数'!$B$22*(M59)))*(1+'参数'!$B$42*P59)/'参数'!$J$5+((Q59*'参数'!$B$43*(1+'参数'!$B$39*P59))^2/((Q59*'参数'!$B$43*(1+'参数'!$B$39*P59))+'参数'!$B$22*(M59)))/'参数'!$B$44))+(((R59*(1+'参数'!$B$39*P59))^2/((R59*(1+'参数'!$B$39*P59))+'参数'!$B$22*(M59)))*(1+'参数'!$B$42*P59)/'参数'!$J$6+((R59*'参数'!$B$45*(1+'参数'!$B$39*P59))^2/((R59*'参数'!$B$45*(1+'参数'!$B$39*P59))+'参数'!$B$22*(M59)))/'参数'!$B$46)+((S59*(1+'参数'!$B$39*P59))^2/((S59*(1+'参数'!$B$39*P59))+'参数'!$B$22*(M59)))*(1+'参数'!$B$42*P59)/'参数'!$J$7)*(1+'参数'!$B$37*('参数'!$B$38-1))</x:f>
        <x:v>3473.9190365609447</x:v>
      </x:c>
      <x:c r="X59" s="26" t="n">
        <x:f>('参数'!$B$26+'参数'!$B$27*(D59-1)/99)*'参数'!$K$26*AD59</x:f>
        <x:v>13.878787878787879</x:v>
      </x:c>
      <x:c r="Y59" s="26" t="n">
        <x:f>('参数'!$B$28+'参数'!$B$29*(D59-1)/99)*'参数'!$K$26*AD59*IF(AE59=1,'参数'!$B$51,1)</x:f>
        <x:v>36.26262626262626</x:v>
      </x:c>
      <x:c r="Z59" s="22" t="n">
        <x:f>MIN('参数'!$B$36,U59/(U59+'参数'!$B$35))</x:f>
        <x:v>0.09432437740266203</x:v>
      </x:c>
      <x:c r="AA59" s="19" t="n">
        <x:f>T59*'参数'!$B$30/('参数'!$B$32*'参数'!$B$33)/(1-Z59)*AC59</x:f>
        <x:v>209.4130328623399</x:v>
      </x:c>
      <x:c r="AB59" s="19" t="n">
        <x:f>T59*'参数'!$B$31/'参数'!$B$34/(1-Z59)*AC59</x:f>
        <x:v>418.82606572467984</x:v>
      </x:c>
      <x:c r="AC59" s="20" t="n">
        <x:f>'参数'!$L$26*1</x:f>
        <x:v>1</x:v>
      </x:c>
      <x:c r="AD59" s="20" t="n">
        <x:f>1</x:f>
        <x:v>1</x:v>
      </x:c>
      <x:c r="AE59" s="19" t="n">
        <x:f>IF(MOD(B59,12)=0,1,0)</x:f>
        <x:v>0</x:v>
      </x:c>
    </x:row>
    <x:row r="60" ht="22" customHeight="1">
      <x:c r="A60" s="18" t="str">
        <x:v>简单</x:v>
      </x:c>
      <x:c r="B60" s="18" t="n">
        <x:v>55</x:v>
      </x:c>
      <x:c r="C60" s="18" t="n">
        <x:f>ROUNDUP(B60/12,0)</x:f>
        <x:v>5</x:v>
      </x:c>
      <x:c r="D60" s="18" t="n">
        <x:f>ROUND(MAX('参数'!$G$26,E60)+(IF(C60&lt;10,INDEX('参数'!$G$34:$P$34,1,MIN(10,C60+1)),'参数'!$H$26)-MAX('参数'!$G$26,E60))*MOD(B60-1,12)/11,0)</x:f>
        <x:v>33</x:v>
      </x:c>
      <x:c r="E60" s="18" t="n">
        <x:f>INDEX('参数'!$G$34:$P$34,1,C60)</x:f>
        <x:v>30</x:v>
      </x:c>
      <x:c r="F60" s="15" t="n">
        <x:f>'参数'!$I$26</x:f>
        <x:v>1.05</x:v>
      </x:c>
      <x:c r="G60" s="18" t="n">
        <x:f>ROUND(V60*X60/'参数'!$B$56,0)</x:f>
        <x:v>13918</x:v>
      </x:c>
      <x:c r="H60" s="18" t="n">
        <x:f>ROUND((AA60+SQRT(AA60^2+4*AA60*'参数'!$B$22*U60))/2,0)</x:f>
        <x:v>461</x:v>
      </x:c>
      <x:c r="I60" s="18" t="n">
        <x:f>ROUND(Q60*'参数'!$B$23/'参数'!$B$22,0)</x:f>
        <x:v>137</x:v>
      </x:c>
      <x:c r="J60" s="18" t="n">
        <x:f>ROUND(G60*'参数'!$B$50,0)</x:f>
        <x:v>41754</x:v>
      </x:c>
      <x:c r="K60" s="18" t="n">
        <x:f>ROUND(W60*Y60,0)</x:f>
        <x:v>129037</x:v>
      </x:c>
      <x:c r="L60" s="18" t="n">
        <x:f>ROUND((AB60+SQRT(AB60^2+4*AB60*'参数'!$B$22*U60))/2,0)</x:f>
        <x:v>737</x:v>
      </x:c>
      <x:c r="M60" s="18" t="n">
        <x:f>ROUND(I60*'参数'!$B$24,0)</x:f>
        <x:v>171</x:v>
      </x:c>
      <x:c r="N60" s="18" t="n">
        <x:f>'参数'!$B$9*'参数'!$B$10^(D60-1)</x:f>
        <x:v>1545.0496534110678</x:v>
      </x:c>
      <x:c r="O60" s="18" t="n">
        <x:f>'参数'!$B$18*'参数'!$B$19^(MIN(E60,MAX(1,5*INT(D60/5)))-1)*F60*'参数'!$J$26*P60</x:f>
        <x:v>108.41159527861828</x:v>
      </x:c>
      <x:c r="P60" s="21" t="n">
        <x:f>MIN(1,(D60-1)/19)</x:f>
        <x:v>1</x:v>
      </x:c>
      <x:c r="Q60" s="18" t="n">
        <x:f>INDEX('角色成长'!$F$6:$F$105,D60)+O60*'参数'!$K$21</x:f>
        <x:v>684.9730465440621</x:v>
      </x:c>
      <x:c r="R60" s="18" t="n">
        <x:f>INDEX('角色成长'!$I$6:$I$105,D60)+O60*'参数'!$K$21</x:f>
        <x:v>579.9730465440621</x:v>
      </x:c>
      <x:c r="S60" s="18" t="n">
        <x:f>INDEX('角色成长'!$L$6:$L$105,D60)+O60*'参数'!$K$21</x:f>
        <x:v>518.9730465440621</x:v>
      </x:c>
      <x:c r="T60" s="18" t="n">
        <x:f>(INDEX('角色成长'!$J$6:$J$105,D60)+O60*'参数'!$L$21)*(1+'参数'!$B$40*P60)</x:f>
        <x:v>7764.611156703859</x:v>
      </x:c>
      <x:c r="U60" s="18" t="n">
        <x:f>(INDEX('角色成长'!$K$6:$K$105,D60)+O60*'参数'!$M$21)*(1+'参数'!$B$41*P60)</x:f>
        <x:v>423.19232091134023</x:v>
      </x:c>
      <x:c r="V60" s="18" t="n">
        <x:f>(('参数'!$K$5*(((Q60*(1+'参数'!$B$39*P60))^2/((Q60*(1+'参数'!$B$39*P60))+'参数'!$B$22*(I60)))*(1+'参数'!$B$42*P60)/'参数'!$J$5+((Q60*'参数'!$B$43*(1+'参数'!$B$39*P60))^2/((Q60*'参数'!$B$43*(1+'参数'!$B$39*P60))+'参数'!$B$22*(I60)))/'参数'!$B$44))+(((R60*(1+'参数'!$B$39*P60))^2/((R60*(1+'参数'!$B$39*P60))+'参数'!$B$22*(I60)))*(1+'参数'!$B$42*P60)/'参数'!$J$6+((R60*'参数'!$B$45*(1+'参数'!$B$39*P60))^2/((R60*'参数'!$B$45*(1+'参数'!$B$39*P60))+'参数'!$B$22*(I60)))/'参数'!$B$46)+((S60*(1+'参数'!$B$39*P60))^2/((S60*(1+'参数'!$B$39*P60))+'参数'!$B$22*(I60)))*(1+'参数'!$B$42*P60)/'参数'!$J$7)*(1+'参数'!$B$37*('参数'!$B$38-1))*'参数'!$B$25</x:f>
        <x:v>4593.03125222901</x:v>
      </x:c>
      <x:c r="W60" s="18" t="n">
        <x:f>(('参数'!$K$5*(((Q60*(1+'参数'!$B$39*P60))^2/((Q60*(1+'参数'!$B$39*P60))+'参数'!$B$22*(M60)))*(1+'参数'!$B$42*P60)/'参数'!$J$5+((Q60*'参数'!$B$43*(1+'参数'!$B$39*P60))^2/((Q60*'参数'!$B$43*(1+'参数'!$B$39*P60))+'参数'!$B$22*(M60)))/'参数'!$B$44))+(((R60*(1+'参数'!$B$39*P60))^2/((R60*(1+'参数'!$B$39*P60))+'参数'!$B$22*(M60)))*(1+'参数'!$B$42*P60)/'参数'!$J$6+((R60*'参数'!$B$45*(1+'参数'!$B$39*P60))^2/((R60*'参数'!$B$45*(1+'参数'!$B$39*P60))+'参数'!$B$22*(M60)))/'参数'!$B$46)+((S60*(1+'参数'!$B$39*P60))^2/((S60*(1+'参数'!$B$39*P60))+'参数'!$B$22*(M60)))*(1+'参数'!$B$42*P60)/'参数'!$J$7)*(1+'参数'!$B$37*('参数'!$B$38-1))</x:f>
        <x:v>3538.6790465474405</x:v>
      </x:c>
      <x:c r="X60" s="25" t="n">
        <x:f>('参数'!$B$26+'参数'!$B$27*(D60-1)/99)*'参数'!$K$26*AD60</x:f>
        <x:v>13.93939393939394</x:v>
      </x:c>
      <x:c r="Y60" s="25" t="n">
        <x:f>('参数'!$B$28+'参数'!$B$29*(D60-1)/99)*'参数'!$K$26*AD60*IF(AE60=1,'参数'!$B$51,1)</x:f>
        <x:v>36.464646464646464</x:v>
      </x:c>
      <x:c r="Z60" s="21" t="n">
        <x:f>MIN('参数'!$B$36,U60/(U60+'参数'!$B$35))</x:f>
        <x:v>0.09567576768268286</x:v>
      </x:c>
      <x:c r="AA60" s="18" t="n">
        <x:f>T60*'参数'!$B$30/('参数'!$B$32*'参数'!$B$33)/(1-Z60)*AC60</x:f>
        <x:v>214.65230276996888</x:v>
      </x:c>
      <x:c r="AB60" s="18" t="n">
        <x:f>T60*'参数'!$B$31/'参数'!$B$34/(1-Z60)*AC60</x:f>
        <x:v>429.3046055399378</x:v>
      </x:c>
      <x:c r="AC60" s="15" t="n">
        <x:f>'参数'!$L$26*1</x:f>
        <x:v>1</x:v>
      </x:c>
      <x:c r="AD60" s="15" t="n">
        <x:f>1</x:f>
        <x:v>1</x:v>
      </x:c>
      <x:c r="AE60" s="18" t="n">
        <x:f>IF(MOD(B60,12)=0,1,0)</x:f>
        <x:v>0</x:v>
      </x:c>
    </x:row>
    <x:row r="61" ht="22" customHeight="1">
      <x:c r="A61" s="19" t="str">
        <x:v>简单</x:v>
      </x:c>
      <x:c r="B61" s="19" t="n">
        <x:v>56</x:v>
      </x:c>
      <x:c r="C61" s="19" t="n">
        <x:f>ROUNDUP(B61/12,0)</x:f>
        <x:v>5</x:v>
      </x:c>
      <x:c r="D61" s="19" t="n">
        <x:f>ROUND(MAX('参数'!$G$26,E61)+(IF(C61&lt;10,INDEX('参数'!$G$34:$P$34,1,MIN(10,C61+1)),'参数'!$H$26)-MAX('参数'!$G$26,E61))*MOD(B61-1,12)/11,0)</x:f>
        <x:v>33</x:v>
      </x:c>
      <x:c r="E61" s="19" t="n">
        <x:f>INDEX('参数'!$G$34:$P$34,1,C61)</x:f>
        <x:v>30</x:v>
      </x:c>
      <x:c r="F61" s="20" t="n">
        <x:f>'参数'!$I$26</x:f>
        <x:v>1.05</x:v>
      </x:c>
      <x:c r="G61" s="19" t="n">
        <x:f>ROUND(V61*X61/'参数'!$B$56,0)</x:f>
        <x:v>13918</x:v>
      </x:c>
      <x:c r="H61" s="19" t="n">
        <x:f>ROUND((AA61+SQRT(AA61^2+4*AA61*'参数'!$B$22*U61))/2,0)</x:f>
        <x:v>461</x:v>
      </x:c>
      <x:c r="I61" s="19" t="n">
        <x:f>ROUND(Q61*'参数'!$B$23/'参数'!$B$22,0)</x:f>
        <x:v>137</x:v>
      </x:c>
      <x:c r="J61" s="19" t="n">
        <x:f>ROUND(G61*'参数'!$B$50,0)</x:f>
        <x:v>41754</x:v>
      </x:c>
      <x:c r="K61" s="19" t="n">
        <x:f>ROUND(W61*Y61,0)</x:f>
        <x:v>129037</x:v>
      </x:c>
      <x:c r="L61" s="19" t="n">
        <x:f>ROUND((AB61+SQRT(AB61^2+4*AB61*'参数'!$B$22*U61))/2,0)</x:f>
        <x:v>737</x:v>
      </x:c>
      <x:c r="M61" s="19" t="n">
        <x:f>ROUND(I61*'参数'!$B$24,0)</x:f>
        <x:v>171</x:v>
      </x:c>
      <x:c r="N61" s="19" t="n">
        <x:f>'参数'!$B$9*'参数'!$B$10^(D61-1)</x:f>
        <x:v>1545.0496534110678</x:v>
      </x:c>
      <x:c r="O61" s="19" t="n">
        <x:f>'参数'!$B$18*'参数'!$B$19^(MIN(E61,MAX(1,5*INT(D61/5)))-1)*F61*'参数'!$J$26*P61</x:f>
        <x:v>108.41159527861828</x:v>
      </x:c>
      <x:c r="P61" s="22" t="n">
        <x:f>MIN(1,(D61-1)/19)</x:f>
        <x:v>1</x:v>
      </x:c>
      <x:c r="Q61" s="19" t="n">
        <x:f>INDEX('角色成长'!$F$6:$F$105,D61)+O61*'参数'!$K$21</x:f>
        <x:v>684.9730465440621</x:v>
      </x:c>
      <x:c r="R61" s="19" t="n">
        <x:f>INDEX('角色成长'!$I$6:$I$105,D61)+O61*'参数'!$K$21</x:f>
        <x:v>579.9730465440621</x:v>
      </x:c>
      <x:c r="S61" s="19" t="n">
        <x:f>INDEX('角色成长'!$L$6:$L$105,D61)+O61*'参数'!$K$21</x:f>
        <x:v>518.9730465440621</x:v>
      </x:c>
      <x:c r="T61" s="19" t="n">
        <x:f>(INDEX('角色成长'!$J$6:$J$105,D61)+O61*'参数'!$L$21)*(1+'参数'!$B$40*P61)</x:f>
        <x:v>7764.611156703859</x:v>
      </x:c>
      <x:c r="U61" s="19" t="n">
        <x:f>(INDEX('角色成长'!$K$6:$K$105,D61)+O61*'参数'!$M$21)*(1+'参数'!$B$41*P61)</x:f>
        <x:v>423.19232091134023</x:v>
      </x:c>
      <x:c r="V61" s="19" t="n">
        <x:f>(('参数'!$K$5*(((Q61*(1+'参数'!$B$39*P61))^2/((Q61*(1+'参数'!$B$39*P61))+'参数'!$B$22*(I61)))*(1+'参数'!$B$42*P61)/'参数'!$J$5+((Q61*'参数'!$B$43*(1+'参数'!$B$39*P61))^2/((Q61*'参数'!$B$43*(1+'参数'!$B$39*P61))+'参数'!$B$22*(I61)))/'参数'!$B$44))+(((R61*(1+'参数'!$B$39*P61))^2/((R61*(1+'参数'!$B$39*P61))+'参数'!$B$22*(I61)))*(1+'参数'!$B$42*P61)/'参数'!$J$6+((R61*'参数'!$B$45*(1+'参数'!$B$39*P61))^2/((R61*'参数'!$B$45*(1+'参数'!$B$39*P61))+'参数'!$B$22*(I61)))/'参数'!$B$46)+((S61*(1+'参数'!$B$39*P61))^2/((S61*(1+'参数'!$B$39*P61))+'参数'!$B$22*(I61)))*(1+'参数'!$B$42*P61)/'参数'!$J$7)*(1+'参数'!$B$37*('参数'!$B$38-1))*'参数'!$B$25</x:f>
        <x:v>4593.03125222901</x:v>
      </x:c>
      <x:c r="W61" s="19" t="n">
        <x:f>(('参数'!$K$5*(((Q61*(1+'参数'!$B$39*P61))^2/((Q61*(1+'参数'!$B$39*P61))+'参数'!$B$22*(M61)))*(1+'参数'!$B$42*P61)/'参数'!$J$5+((Q61*'参数'!$B$43*(1+'参数'!$B$39*P61))^2/((Q61*'参数'!$B$43*(1+'参数'!$B$39*P61))+'参数'!$B$22*(M61)))/'参数'!$B$44))+(((R61*(1+'参数'!$B$39*P61))^2/((R61*(1+'参数'!$B$39*P61))+'参数'!$B$22*(M61)))*(1+'参数'!$B$42*P61)/'参数'!$J$6+((R61*'参数'!$B$45*(1+'参数'!$B$39*P61))^2/((R61*'参数'!$B$45*(1+'参数'!$B$39*P61))+'参数'!$B$22*(M61)))/'参数'!$B$46)+((S61*(1+'参数'!$B$39*P61))^2/((S61*(1+'参数'!$B$39*P61))+'参数'!$B$22*(M61)))*(1+'参数'!$B$42*P61)/'参数'!$J$7)*(1+'参数'!$B$37*('参数'!$B$38-1))</x:f>
        <x:v>3538.6790465474405</x:v>
      </x:c>
      <x:c r="X61" s="26" t="n">
        <x:f>('参数'!$B$26+'参数'!$B$27*(D61-1)/99)*'参数'!$K$26*AD61</x:f>
        <x:v>13.93939393939394</x:v>
      </x:c>
      <x:c r="Y61" s="26" t="n">
        <x:f>('参数'!$B$28+'参数'!$B$29*(D61-1)/99)*'参数'!$K$26*AD61*IF(AE61=1,'参数'!$B$51,1)</x:f>
        <x:v>36.464646464646464</x:v>
      </x:c>
      <x:c r="Z61" s="22" t="n">
        <x:f>MIN('参数'!$B$36,U61/(U61+'参数'!$B$35))</x:f>
        <x:v>0.09567576768268286</x:v>
      </x:c>
      <x:c r="AA61" s="19" t="n">
        <x:f>T61*'参数'!$B$30/('参数'!$B$32*'参数'!$B$33)/(1-Z61)*AC61</x:f>
        <x:v>214.65230276996888</x:v>
      </x:c>
      <x:c r="AB61" s="19" t="n">
        <x:f>T61*'参数'!$B$31/'参数'!$B$34/(1-Z61)*AC61</x:f>
        <x:v>429.3046055399378</x:v>
      </x:c>
      <x:c r="AC61" s="20" t="n">
        <x:f>'参数'!$L$26*1</x:f>
        <x:v>1</x:v>
      </x:c>
      <x:c r="AD61" s="20" t="n">
        <x:f>1</x:f>
        <x:v>1</x:v>
      </x:c>
      <x:c r="AE61" s="19" t="n">
        <x:f>IF(MOD(B61,12)=0,1,0)</x:f>
        <x:v>0</x:v>
      </x:c>
    </x:row>
    <x:row r="62" ht="22" customHeight="1">
      <x:c r="A62" s="18" t="str">
        <x:v>简单</x:v>
      </x:c>
      <x:c r="B62" s="18" t="n">
        <x:v>57</x:v>
      </x:c>
      <x:c r="C62" s="18" t="n">
        <x:f>ROUNDUP(B62/12,0)</x:f>
        <x:v>5</x:v>
      </x:c>
      <x:c r="D62" s="18" t="n">
        <x:f>ROUND(MAX('参数'!$G$26,E62)+(IF(C62&lt;10,INDEX('参数'!$G$34:$P$34,1,MIN(10,C62+1)),'参数'!$H$26)-MAX('参数'!$G$26,E62))*MOD(B62-1,12)/11,0)</x:f>
        <x:v>34</x:v>
      </x:c>
      <x:c r="E62" s="18" t="n">
        <x:f>INDEX('参数'!$G$34:$P$34,1,C62)</x:f>
        <x:v>30</x:v>
      </x:c>
      <x:c r="F62" s="15" t="n">
        <x:f>'参数'!$I$26</x:f>
        <x:v>1.05</x:v>
      </x:c>
      <x:c r="G62" s="18" t="n">
        <x:f>ROUND(V62*X62/'参数'!$B$56,0)</x:f>
        <x:v>14224</x:v>
      </x:c>
      <x:c r="H62" s="18" t="n">
        <x:f>ROUND((AA62+SQRT(AA62^2+4*AA62*'参数'!$B$22*U62))/2,0)</x:f>
        <x:v>472</x:v>
      </x:c>
      <x:c r="I62" s="18" t="n">
        <x:f>ROUND(Q62*'参数'!$B$23/'参数'!$B$22,0)</x:f>
        <x:v>140</x:v>
      </x:c>
      <x:c r="J62" s="18" t="n">
        <x:f>ROUND(G62*'参数'!$B$50,0)</x:f>
        <x:v>42672</x:v>
      </x:c>
      <x:c r="K62" s="18" t="n">
        <x:f>ROUND(W62*Y62,0)</x:f>
        <x:v>131973</x:v>
      </x:c>
      <x:c r="L62" s="18" t="n">
        <x:f>ROUND((AB62+SQRT(AB62^2+4*AB62*'参数'!$B$22*U62))/2,0)</x:f>
        <x:v>754</x:v>
      </x:c>
      <x:c r="M62" s="18" t="n">
        <x:f>ROUND(I62*'参数'!$B$24,0)</x:f>
        <x:v>175</x:v>
      </x:c>
      <x:c r="N62" s="18" t="n">
        <x:f>'参数'!$B$9*'参数'!$B$10^(D62-1)</x:f>
        <x:v>1591.4011430133996</x:v>
      </x:c>
      <x:c r="O62" s="18" t="n">
        <x:f>'参数'!$B$18*'参数'!$B$19^(MIN(E62,MAX(1,5*INT(D62/5)))-1)*F62*'参数'!$J$26*P62</x:f>
        <x:v>108.41159527861828</x:v>
      </x:c>
      <x:c r="P62" s="21" t="n">
        <x:f>MIN(1,(D62-1)/19)</x:f>
        <x:v>1</x:v>
      </x:c>
      <x:c r="Q62" s="18" t="n">
        <x:f>INDEX('角色成长'!$F$6:$F$105,D62)+O62*'参数'!$K$21</x:f>
        <x:v>697.9730465440621</x:v>
      </x:c>
      <x:c r="R62" s="18" t="n">
        <x:f>INDEX('角色成长'!$I$6:$I$105,D62)+O62*'参数'!$K$21</x:f>
        <x:v>588.9730465440621</x:v>
      </x:c>
      <x:c r="S62" s="18" t="n">
        <x:f>INDEX('角色成长'!$L$6:$L$105,D62)+O62*'参数'!$K$21</x:f>
        <x:v>526.9730465440621</x:v>
      </x:c>
      <x:c r="T62" s="18" t="n">
        <x:f>(INDEX('角色成长'!$J$6:$J$105,D62)+O62*'参数'!$L$21)*(1+'参数'!$B$40*P62)</x:f>
        <x:v>7948.311156703859</x:v>
      </x:c>
      <x:c r="U62" s="18" t="n">
        <x:f>(INDEX('角色成长'!$K$6:$K$105,D62)+O62*'参数'!$M$21)*(1+'参数'!$B$41*P62)</x:f>
        <x:v>430.8923209113402</x:v>
      </x:c>
      <x:c r="V62" s="18" t="n">
        <x:f>(('参数'!$K$5*(((Q62*(1+'参数'!$B$39*P62))^2/((Q62*(1+'参数'!$B$39*P62))+'参数'!$B$22*(I62)))*(1+'参数'!$B$42*P62)/'参数'!$J$5+((Q62*'参数'!$B$43*(1+'参数'!$B$39*P62))^2/((Q62*'参数'!$B$43*(1+'参数'!$B$39*P62))+'参数'!$B$22*(I62)))/'参数'!$B$44))+(((R62*(1+'参数'!$B$39*P62))^2/((R62*(1+'参数'!$B$39*P62))+'参数'!$B$22*(I62)))*(1+'参数'!$B$42*P62)/'参数'!$J$6+((R62*'参数'!$B$45*(1+'参数'!$B$39*P62))^2/((R62*'参数'!$B$45*(1+'参数'!$B$39*P62))+'参数'!$B$22*(I62)))/'参数'!$B$46)+((S62*(1+'参数'!$B$39*P62))^2/((S62*(1+'参数'!$B$39*P62))+'参数'!$B$22*(I62)))*(1+'参数'!$B$42*P62)/'参数'!$J$7)*(1+'参数'!$B$37*('参数'!$B$38-1))*'参数'!$B$25</x:f>
        <x:v>4673.439496279158</x:v>
      </x:c>
      <x:c r="W62" s="18" t="n">
        <x:f>(('参数'!$K$5*(((Q62*(1+'参数'!$B$39*P62))^2/((Q62*(1+'参数'!$B$39*P62))+'参数'!$B$22*(M62)))*(1+'参数'!$B$42*P62)/'参数'!$J$5+((Q62*'参数'!$B$43*(1+'参数'!$B$39*P62))^2/((Q62*'参数'!$B$43*(1+'参数'!$B$39*P62))+'参数'!$B$22*(M62)))/'参数'!$B$44))+(((R62*(1+'参数'!$B$39*P62))^2/((R62*(1+'参数'!$B$39*P62))+'参数'!$B$22*(M62)))*(1+'参数'!$B$42*P62)/'参数'!$J$6+((R62*'参数'!$B$45*(1+'参数'!$B$39*P62))^2/((R62*'参数'!$B$45*(1+'参数'!$B$39*P62))+'参数'!$B$22*(M62)))/'参数'!$B$46)+((S62*(1+'参数'!$B$39*P62))^2/((S62*(1+'参数'!$B$39*P62))+'参数'!$B$22*(M62)))*(1+'参数'!$B$42*P62)/'参数'!$J$7)*(1+'参数'!$B$37*('参数'!$B$38-1))</x:f>
        <x:v>3599.2675629016744</x:v>
      </x:c>
      <x:c r="X62" s="25" t="n">
        <x:f>('参数'!$B$26+'参数'!$B$27*(D62-1)/99)*'参数'!$K$26*AD62</x:f>
        <x:v>14</x:v>
      </x:c>
      <x:c r="Y62" s="25" t="n">
        <x:f>('参数'!$B$28+'参数'!$B$29*(D62-1)/99)*'参数'!$K$26*AD62*IF(AE62=1,'参数'!$B$51,1)</x:f>
        <x:v>36.666666666666664</x:v>
      </x:c>
      <x:c r="Z62" s="21" t="n">
        <x:f>MIN('参数'!$B$36,U62/(U62+'参数'!$B$35))</x:f>
        <x:v>0.09724730137940135</x:v>
      </x:c>
      <x:c r="AA62" s="18" t="n">
        <x:f>T62*'参数'!$B$30/('参数'!$B$32*'参数'!$B$33)/(1-Z62)*AC62</x:f>
        <x:v>220.11319292783162</x:v>
      </x:c>
      <x:c r="AB62" s="18" t="n">
        <x:f>T62*'参数'!$B$31/'参数'!$B$34/(1-Z62)*AC62</x:f>
        <x:v>440.22638585566324</x:v>
      </x:c>
      <x:c r="AC62" s="15" t="n">
        <x:f>'参数'!$L$26*1</x:f>
        <x:v>1</x:v>
      </x:c>
      <x:c r="AD62" s="15" t="n">
        <x:f>1</x:f>
        <x:v>1</x:v>
      </x:c>
      <x:c r="AE62" s="18" t="n">
        <x:f>IF(MOD(B62,12)=0,1,0)</x:f>
        <x:v>0</x:v>
      </x:c>
    </x:row>
    <x:row r="63" ht="22" customHeight="1">
      <x:c r="A63" s="19" t="str">
        <x:v>简单</x:v>
      </x:c>
      <x:c r="B63" s="19" t="n">
        <x:v>58</x:v>
      </x:c>
      <x:c r="C63" s="19" t="n">
        <x:f>ROUNDUP(B63/12,0)</x:f>
        <x:v>5</x:v>
      </x:c>
      <x:c r="D63" s="19" t="n">
        <x:f>ROUND(MAX('参数'!$G$26,E63)+(IF(C63&lt;10,INDEX('参数'!$G$34:$P$34,1,MIN(10,C63+1)),'参数'!$H$26)-MAX('参数'!$G$26,E63))*MOD(B63-1,12)/11,0)</x:f>
        <x:v>34</x:v>
      </x:c>
      <x:c r="E63" s="19" t="n">
        <x:f>INDEX('参数'!$G$34:$P$34,1,C63)</x:f>
        <x:v>30</x:v>
      </x:c>
      <x:c r="F63" s="20" t="n">
        <x:f>'参数'!$I$26</x:f>
        <x:v>1.05</x:v>
      </x:c>
      <x:c r="G63" s="19" t="n">
        <x:f>ROUND(V63*X63/'参数'!$B$56,0)</x:f>
        <x:v>14224</x:v>
      </x:c>
      <x:c r="H63" s="19" t="n">
        <x:f>ROUND((AA63+SQRT(AA63^2+4*AA63*'参数'!$B$22*U63))/2,0)</x:f>
        <x:v>472</x:v>
      </x:c>
      <x:c r="I63" s="19" t="n">
        <x:f>ROUND(Q63*'参数'!$B$23/'参数'!$B$22,0)</x:f>
        <x:v>140</x:v>
      </x:c>
      <x:c r="J63" s="19" t="n">
        <x:f>ROUND(G63*'参数'!$B$50,0)</x:f>
        <x:v>42672</x:v>
      </x:c>
      <x:c r="K63" s="19" t="n">
        <x:f>ROUND(W63*Y63,0)</x:f>
        <x:v>131973</x:v>
      </x:c>
      <x:c r="L63" s="19" t="n">
        <x:f>ROUND((AB63+SQRT(AB63^2+4*AB63*'参数'!$B$22*U63))/2,0)</x:f>
        <x:v>754</x:v>
      </x:c>
      <x:c r="M63" s="19" t="n">
        <x:f>ROUND(I63*'参数'!$B$24,0)</x:f>
        <x:v>175</x:v>
      </x:c>
      <x:c r="N63" s="19" t="n">
        <x:f>'参数'!$B$9*'参数'!$B$10^(D63-1)</x:f>
        <x:v>1591.4011430133996</x:v>
      </x:c>
      <x:c r="O63" s="19" t="n">
        <x:f>'参数'!$B$18*'参数'!$B$19^(MIN(E63,MAX(1,5*INT(D63/5)))-1)*F63*'参数'!$J$26*P63</x:f>
        <x:v>108.41159527861828</x:v>
      </x:c>
      <x:c r="P63" s="22" t="n">
        <x:f>MIN(1,(D63-1)/19)</x:f>
        <x:v>1</x:v>
      </x:c>
      <x:c r="Q63" s="19" t="n">
        <x:f>INDEX('角色成长'!$F$6:$F$105,D63)+O63*'参数'!$K$21</x:f>
        <x:v>697.9730465440621</x:v>
      </x:c>
      <x:c r="R63" s="19" t="n">
        <x:f>INDEX('角色成长'!$I$6:$I$105,D63)+O63*'参数'!$K$21</x:f>
        <x:v>588.9730465440621</x:v>
      </x:c>
      <x:c r="S63" s="19" t="n">
        <x:f>INDEX('角色成长'!$L$6:$L$105,D63)+O63*'参数'!$K$21</x:f>
        <x:v>526.9730465440621</x:v>
      </x:c>
      <x:c r="T63" s="19" t="n">
        <x:f>(INDEX('角色成长'!$J$6:$J$105,D63)+O63*'参数'!$L$21)*(1+'参数'!$B$40*P63)</x:f>
        <x:v>7948.311156703859</x:v>
      </x:c>
      <x:c r="U63" s="19" t="n">
        <x:f>(INDEX('角色成长'!$K$6:$K$105,D63)+O63*'参数'!$M$21)*(1+'参数'!$B$41*P63)</x:f>
        <x:v>430.8923209113402</x:v>
      </x:c>
      <x:c r="V63" s="19" t="n">
        <x:f>(('参数'!$K$5*(((Q63*(1+'参数'!$B$39*P63))^2/((Q63*(1+'参数'!$B$39*P63))+'参数'!$B$22*(I63)))*(1+'参数'!$B$42*P63)/'参数'!$J$5+((Q63*'参数'!$B$43*(1+'参数'!$B$39*P63))^2/((Q63*'参数'!$B$43*(1+'参数'!$B$39*P63))+'参数'!$B$22*(I63)))/'参数'!$B$44))+(((R63*(1+'参数'!$B$39*P63))^2/((R63*(1+'参数'!$B$39*P63))+'参数'!$B$22*(I63)))*(1+'参数'!$B$42*P63)/'参数'!$J$6+((R63*'参数'!$B$45*(1+'参数'!$B$39*P63))^2/((R63*'参数'!$B$45*(1+'参数'!$B$39*P63))+'参数'!$B$22*(I63)))/'参数'!$B$46)+((S63*(1+'参数'!$B$39*P63))^2/((S63*(1+'参数'!$B$39*P63))+'参数'!$B$22*(I63)))*(1+'参数'!$B$42*P63)/'参数'!$J$7)*(1+'参数'!$B$37*('参数'!$B$38-1))*'参数'!$B$25</x:f>
        <x:v>4673.439496279158</x:v>
      </x:c>
      <x:c r="W63" s="19" t="n">
        <x:f>(('参数'!$K$5*(((Q63*(1+'参数'!$B$39*P63))^2/((Q63*(1+'参数'!$B$39*P63))+'参数'!$B$22*(M63)))*(1+'参数'!$B$42*P63)/'参数'!$J$5+((Q63*'参数'!$B$43*(1+'参数'!$B$39*P63))^2/((Q63*'参数'!$B$43*(1+'参数'!$B$39*P63))+'参数'!$B$22*(M63)))/'参数'!$B$44))+(((R63*(1+'参数'!$B$39*P63))^2/((R63*(1+'参数'!$B$39*P63))+'参数'!$B$22*(M63)))*(1+'参数'!$B$42*P63)/'参数'!$J$6+((R63*'参数'!$B$45*(1+'参数'!$B$39*P63))^2/((R63*'参数'!$B$45*(1+'参数'!$B$39*P63))+'参数'!$B$22*(M63)))/'参数'!$B$46)+((S63*(1+'参数'!$B$39*P63))^2/((S63*(1+'参数'!$B$39*P63))+'参数'!$B$22*(M63)))*(1+'参数'!$B$42*P63)/'参数'!$J$7)*(1+'参数'!$B$37*('参数'!$B$38-1))</x:f>
        <x:v>3599.2675629016744</x:v>
      </x:c>
      <x:c r="X63" s="26" t="n">
        <x:f>('参数'!$B$26+'参数'!$B$27*(D63-1)/99)*'参数'!$K$26*AD63</x:f>
        <x:v>14</x:v>
      </x:c>
      <x:c r="Y63" s="26" t="n">
        <x:f>('参数'!$B$28+'参数'!$B$29*(D63-1)/99)*'参数'!$K$26*AD63*IF(AE63=1,'参数'!$B$51,1)</x:f>
        <x:v>36.666666666666664</x:v>
      </x:c>
      <x:c r="Z63" s="22" t="n">
        <x:f>MIN('参数'!$B$36,U63/(U63+'参数'!$B$35))</x:f>
        <x:v>0.09724730137940135</x:v>
      </x:c>
      <x:c r="AA63" s="19" t="n">
        <x:f>T63*'参数'!$B$30/('参数'!$B$32*'参数'!$B$33)/(1-Z63)*AC63</x:f>
        <x:v>220.11319292783162</x:v>
      </x:c>
      <x:c r="AB63" s="19" t="n">
        <x:f>T63*'参数'!$B$31/'参数'!$B$34/(1-Z63)*AC63</x:f>
        <x:v>440.22638585566324</x:v>
      </x:c>
      <x:c r="AC63" s="20" t="n">
        <x:f>'参数'!$L$26*1</x:f>
        <x:v>1</x:v>
      </x:c>
      <x:c r="AD63" s="20" t="n">
        <x:f>1</x:f>
        <x:v>1</x:v>
      </x:c>
      <x:c r="AE63" s="19" t="n">
        <x:f>IF(MOD(B63,12)=0,1,0)</x:f>
        <x:v>0</x:v>
      </x:c>
    </x:row>
    <x:row r="64" ht="22" customHeight="1">
      <x:c r="A64" s="18" t="str">
        <x:v>简单</x:v>
      </x:c>
      <x:c r="B64" s="18" t="n">
        <x:v>59</x:v>
      </x:c>
      <x:c r="C64" s="18" t="n">
        <x:f>ROUNDUP(B64/12,0)</x:f>
        <x:v>5</x:v>
      </x:c>
      <x:c r="D64" s="18" t="n">
        <x:f>ROUND(MAX('参数'!$G$26,E64)+(IF(C64&lt;10,INDEX('参数'!$G$34:$P$34,1,MIN(10,C64+1)),'参数'!$H$26)-MAX('参数'!$G$26,E64))*MOD(B64-1,12)/11,0)</x:f>
        <x:v>35</x:v>
      </x:c>
      <x:c r="E64" s="18" t="n">
        <x:f>INDEX('参数'!$G$34:$P$34,1,C64)</x:f>
        <x:v>30</x:v>
      </x:c>
      <x:c r="F64" s="15" t="n">
        <x:f>'参数'!$I$26</x:f>
        <x:v>1.05</x:v>
      </x:c>
      <x:c r="G64" s="18" t="n">
        <x:f>ROUND(V64*X64/'参数'!$B$56,0)</x:f>
        <x:v>14566</x:v>
      </x:c>
      <x:c r="H64" s="18" t="n">
        <x:f>ROUND((AA64+SQRT(AA64^2+4*AA64*'参数'!$B$22*U64))/2,0)</x:f>
        <x:v>482</x:v>
      </x:c>
      <x:c r="I64" s="18" t="n">
        <x:f>ROUND(Q64*'参数'!$B$23/'参数'!$B$22,0)</x:f>
        <x:v>142</x:v>
      </x:c>
      <x:c r="J64" s="18" t="n">
        <x:f>ROUND(G64*'参数'!$B$50,0)</x:f>
        <x:v>43698</x:v>
      </x:c>
      <x:c r="K64" s="18" t="n">
        <x:f>ROUND(W64*Y64,0)</x:f>
        <x:v>135257</x:v>
      </x:c>
      <x:c r="L64" s="18" t="n">
        <x:f>ROUND((AB64+SQRT(AB64^2+4*AB64*'参数'!$B$22*U64))/2,0)</x:f>
        <x:v>772</x:v>
      </x:c>
      <x:c r="M64" s="18" t="n">
        <x:f>ROUND(I64*'参数'!$B$24,0)</x:f>
        <x:v>178</x:v>
      </x:c>
      <x:c r="N64" s="18" t="n">
        <x:f>'参数'!$B$9*'参数'!$B$10^(D64-1)</x:f>
        <x:v>1639.1431773038016</x:v>
      </x:c>
      <x:c r="O64" s="18" t="n">
        <x:f>'参数'!$B$18*'参数'!$B$19^(MIN(E64,MAX(1,5*INT(D64/5)))-1)*F64*'参数'!$J$26*P64</x:f>
        <x:v>108.41159527861828</x:v>
      </x:c>
      <x:c r="P64" s="21" t="n">
        <x:f>MIN(1,(D64-1)/19)</x:f>
        <x:v>1</x:v>
      </x:c>
      <x:c r="Q64" s="18" t="n">
        <x:f>INDEX('角色成长'!$F$6:$F$105,D64)+O64*'参数'!$K$21</x:f>
        <x:v>711.9730465440621</x:v>
      </x:c>
      <x:c r="R64" s="18" t="n">
        <x:f>INDEX('角色成长'!$I$6:$I$105,D64)+O64*'参数'!$K$21</x:f>
        <x:v>598.9730465440621</x:v>
      </x:c>
      <x:c r="S64" s="18" t="n">
        <x:f>INDEX('角色成长'!$L$6:$L$105,D64)+O64*'参数'!$K$21</x:f>
        <x:v>533.9730465440621</x:v>
      </x:c>
      <x:c r="T64" s="18" t="n">
        <x:f>(INDEX('角色成长'!$J$6:$J$105,D64)+O64*'参数'!$L$21)*(1+'参数'!$B$40*P64)</x:f>
        <x:v>8139.711156703859</x:v>
      </x:c>
      <x:c r="U64" s="18" t="n">
        <x:f>(INDEX('角色成长'!$K$6:$K$105,D64)+O64*'参数'!$M$21)*(1+'参数'!$B$41*P64)</x:f>
        <x:v>438.5923209113402</x:v>
      </x:c>
      <x:c r="V64" s="18" t="n">
        <x:f>(('参数'!$K$5*(((Q64*(1+'参数'!$B$39*P64))^2/((Q64*(1+'参数'!$B$39*P64))+'参数'!$B$22*(I64)))*(1+'参数'!$B$42*P64)/'参数'!$J$5+((Q64*'参数'!$B$43*(1+'参数'!$B$39*P64))^2/((Q64*'参数'!$B$43*(1+'参数'!$B$39*P64))+'参数'!$B$22*(I64)))/'参数'!$B$44))+(((R64*(1+'参数'!$B$39*P64))^2/((R64*(1+'参数'!$B$39*P64))+'参数'!$B$22*(I64)))*(1+'参数'!$B$42*P64)/'参数'!$J$6+((R64*'参数'!$B$45*(1+'参数'!$B$39*P64))^2/((R64*'参数'!$B$45*(1+'参数'!$B$39*P64))+'参数'!$B$22*(I64)))/'参数'!$B$46)+((S64*(1+'参数'!$B$39*P64))^2/((S64*(1+'参数'!$B$39*P64))+'参数'!$B$22*(I64)))*(1+'参数'!$B$42*P64)/'参数'!$J$7)*(1+'参数'!$B$37*('参数'!$B$38-1))*'参数'!$B$25</x:f>
        <x:v>4765.26910232796</x:v>
      </x:c>
      <x:c r="W64" s="18" t="n">
        <x:f>(('参数'!$K$5*(((Q64*(1+'参数'!$B$39*P64))^2/((Q64*(1+'参数'!$B$39*P64))+'参数'!$B$22*(M64)))*(1+'参数'!$B$42*P64)/'参数'!$J$5+((Q64*'参数'!$B$43*(1+'参数'!$B$39*P64))^2/((Q64*'参数'!$B$43*(1+'参数'!$B$39*P64))+'参数'!$B$22*(M64)))/'参数'!$B$44))+(((R64*(1+'参数'!$B$39*P64))^2/((R64*(1+'参数'!$B$39*P64))+'参数'!$B$22*(M64)))*(1+'参数'!$B$42*P64)/'参数'!$J$6+((R64*'参数'!$B$45*(1+'参数'!$B$39*P64))^2/((R64*'参数'!$B$45*(1+'参数'!$B$39*P64))+'参数'!$B$22*(M64)))/'参数'!$B$46)+((S64*(1+'参数'!$B$39*P64))^2/((S64*(1+'参数'!$B$39*P64))+'参数'!$B$22*(M64)))*(1+'参数'!$B$42*P64)/'参数'!$J$7)*(1+'参数'!$B$37*('参数'!$B$38-1))</x:f>
        <x:v>3668.61458188549</x:v>
      </x:c>
      <x:c r="X64" s="25" t="n">
        <x:f>('参数'!$B$26+'参数'!$B$27*(D64-1)/99)*'参数'!$K$26*AD64</x:f>
        <x:v>14.06060606060606</x:v>
      </x:c>
      <x:c r="Y64" s="25" t="n">
        <x:f>('参数'!$B$28+'参数'!$B$29*(D64-1)/99)*'参数'!$K$26*AD64*IF(AE64=1,'参数'!$B$51,1)</x:f>
        <x:v>36.868686868686865</x:v>
      </x:c>
      <x:c r="Z64" s="21" t="n">
        <x:f>MIN('参数'!$B$36,U64/(U64+'参数'!$B$35))</x:f>
        <x:v>0.09881338253234477</x:v>
      </x:c>
      <x:c r="AA64" s="18" t="n">
        <x:f>T64*'参数'!$B$30/('参数'!$B$32*'参数'!$B$33)/(1-Z64)*AC64</x:f>
        <x:v>225.80537146613818</x:v>
      </x:c>
      <x:c r="AB64" s="18" t="n">
        <x:f>T64*'参数'!$B$31/'参数'!$B$34/(1-Z64)*AC64</x:f>
        <x:v>451.61074293227637</x:v>
      </x:c>
      <x:c r="AC64" s="15" t="n">
        <x:f>'参数'!$L$26*1</x:f>
        <x:v>1</x:v>
      </x:c>
      <x:c r="AD64" s="15" t="n">
        <x:f>1</x:f>
        <x:v>1</x:v>
      </x:c>
      <x:c r="AE64" s="18" t="n">
        <x:f>IF(MOD(B64,12)=0,1,0)</x:f>
        <x:v>0</x:v>
      </x:c>
    </x:row>
    <x:row r="65" ht="22" customHeight="1">
      <x:c r="A65" s="19" t="str">
        <x:v>简单</x:v>
      </x:c>
      <x:c r="B65" s="19" t="n">
        <x:v>60</x:v>
      </x:c>
      <x:c r="C65" s="19" t="n">
        <x:f>ROUNDUP(B65/12,0)</x:f>
        <x:v>5</x:v>
      </x:c>
      <x:c r="D65" s="19" t="n">
        <x:f>ROUND(MAX('参数'!$G$26,E65)+(IF(C65&lt;10,INDEX('参数'!$G$34:$P$34,1,MIN(10,C65+1)),'参数'!$H$26)-MAX('参数'!$G$26,E65))*MOD(B65-1,12)/11,0)</x:f>
        <x:v>35</x:v>
      </x:c>
      <x:c r="E65" s="19" t="n">
        <x:f>INDEX('参数'!$G$34:$P$34,1,C65)</x:f>
        <x:v>30</x:v>
      </x:c>
      <x:c r="F65" s="20" t="n">
        <x:f>'参数'!$I$26</x:f>
        <x:v>1.05</x:v>
      </x:c>
      <x:c r="G65" s="19" t="n">
        <x:f>ROUND(V65*X65/'参数'!$B$56,0)</x:f>
        <x:v>14566</x:v>
      </x:c>
      <x:c r="H65" s="19" t="n">
        <x:f>ROUND((AA65+SQRT(AA65^2+4*AA65*'参数'!$B$22*U65))/2,0)</x:f>
        <x:v>482</x:v>
      </x:c>
      <x:c r="I65" s="19" t="n">
        <x:f>ROUND(Q65*'参数'!$B$23/'参数'!$B$22,0)</x:f>
        <x:v>142</x:v>
      </x:c>
      <x:c r="J65" s="19" t="n">
        <x:f>ROUND(G65*'参数'!$B$50,0)</x:f>
        <x:v>43698</x:v>
      </x:c>
      <x:c r="K65" s="19" t="n">
        <x:f>ROUND(W65*Y65,0)</x:f>
        <x:v>155546</x:v>
      </x:c>
      <x:c r="L65" s="19" t="n">
        <x:f>ROUND((AB65+SQRT(AB65^2+4*AB65*'参数'!$B$22*U65))/2,0)</x:f>
        <x:v>772</x:v>
      </x:c>
      <x:c r="M65" s="19" t="n">
        <x:f>ROUND(I65*'参数'!$B$24,0)</x:f>
        <x:v>178</x:v>
      </x:c>
      <x:c r="N65" s="19" t="n">
        <x:f>'参数'!$B$9*'参数'!$B$10^(D65-1)</x:f>
        <x:v>1639.1431773038016</x:v>
      </x:c>
      <x:c r="O65" s="19" t="n">
        <x:f>'参数'!$B$18*'参数'!$B$19^(MIN(E65,MAX(1,5*INT(D65/5)))-1)*F65*'参数'!$J$26*P65</x:f>
        <x:v>108.41159527861828</x:v>
      </x:c>
      <x:c r="P65" s="22" t="n">
        <x:f>MIN(1,(D65-1)/19)</x:f>
        <x:v>1</x:v>
      </x:c>
      <x:c r="Q65" s="19" t="n">
        <x:f>INDEX('角色成长'!$F$6:$F$105,D65)+O65*'参数'!$K$21</x:f>
        <x:v>711.9730465440621</x:v>
      </x:c>
      <x:c r="R65" s="19" t="n">
        <x:f>INDEX('角色成长'!$I$6:$I$105,D65)+O65*'参数'!$K$21</x:f>
        <x:v>598.9730465440621</x:v>
      </x:c>
      <x:c r="S65" s="19" t="n">
        <x:f>INDEX('角色成长'!$L$6:$L$105,D65)+O65*'参数'!$K$21</x:f>
        <x:v>533.9730465440621</x:v>
      </x:c>
      <x:c r="T65" s="19" t="n">
        <x:f>(INDEX('角色成长'!$J$6:$J$105,D65)+O65*'参数'!$L$21)*(1+'参数'!$B$40*P65)</x:f>
        <x:v>8139.711156703859</x:v>
      </x:c>
      <x:c r="U65" s="19" t="n">
        <x:f>(INDEX('角色成长'!$K$6:$K$105,D65)+O65*'参数'!$M$21)*(1+'参数'!$B$41*P65)</x:f>
        <x:v>438.5923209113402</x:v>
      </x:c>
      <x:c r="V65" s="19" t="n">
        <x:f>(('参数'!$K$5*(((Q65*(1+'参数'!$B$39*P65))^2/((Q65*(1+'参数'!$B$39*P65))+'参数'!$B$22*(I65)))*(1+'参数'!$B$42*P65)/'参数'!$J$5+((Q65*'参数'!$B$43*(1+'参数'!$B$39*P65))^2/((Q65*'参数'!$B$43*(1+'参数'!$B$39*P65))+'参数'!$B$22*(I65)))/'参数'!$B$44))+(((R65*(1+'参数'!$B$39*P65))^2/((R65*(1+'参数'!$B$39*P65))+'参数'!$B$22*(I65)))*(1+'参数'!$B$42*P65)/'参数'!$J$6+((R65*'参数'!$B$45*(1+'参数'!$B$39*P65))^2/((R65*'参数'!$B$45*(1+'参数'!$B$39*P65))+'参数'!$B$22*(I65)))/'参数'!$B$46)+((S65*(1+'参数'!$B$39*P65))^2/((S65*(1+'参数'!$B$39*P65))+'参数'!$B$22*(I65)))*(1+'参数'!$B$42*P65)/'参数'!$J$7)*(1+'参数'!$B$37*('参数'!$B$38-1))*'参数'!$B$25</x:f>
        <x:v>4765.26910232796</x:v>
      </x:c>
      <x:c r="W65" s="19" t="n">
        <x:f>(('参数'!$K$5*(((Q65*(1+'参数'!$B$39*P65))^2/((Q65*(1+'参数'!$B$39*P65))+'参数'!$B$22*(M65)))*(1+'参数'!$B$42*P65)/'参数'!$J$5+((Q65*'参数'!$B$43*(1+'参数'!$B$39*P65))^2/((Q65*'参数'!$B$43*(1+'参数'!$B$39*P65))+'参数'!$B$22*(M65)))/'参数'!$B$44))+(((R65*(1+'参数'!$B$39*P65))^2/((R65*(1+'参数'!$B$39*P65))+'参数'!$B$22*(M65)))*(1+'参数'!$B$42*P65)/'参数'!$J$6+((R65*'参数'!$B$45*(1+'参数'!$B$39*P65))^2/((R65*'参数'!$B$45*(1+'参数'!$B$39*P65))+'参数'!$B$22*(M65)))/'参数'!$B$46)+((S65*(1+'参数'!$B$39*P65))^2/((S65*(1+'参数'!$B$39*P65))+'参数'!$B$22*(M65)))*(1+'参数'!$B$42*P65)/'参数'!$J$7)*(1+'参数'!$B$37*('参数'!$B$38-1))</x:f>
        <x:v>3668.61458188549</x:v>
      </x:c>
      <x:c r="X65" s="26" t="n">
        <x:f>('参数'!$B$26+'参数'!$B$27*(D65-1)/99)*'参数'!$K$26*AD65</x:f>
        <x:v>14.06060606060606</x:v>
      </x:c>
      <x:c r="Y65" s="26" t="n">
        <x:f>('参数'!$B$28+'参数'!$B$29*(D65-1)/99)*'参数'!$K$26*AD65*IF(AE65=1,'参数'!$B$51,1)</x:f>
        <x:v>42.39898989898989</x:v>
      </x:c>
      <x:c r="Z65" s="22" t="n">
        <x:f>MIN('参数'!$B$36,U65/(U65+'参数'!$B$35))</x:f>
        <x:v>0.09881338253234477</x:v>
      </x:c>
      <x:c r="AA65" s="19" t="n">
        <x:f>T65*'参数'!$B$30/('参数'!$B$32*'参数'!$B$33)/(1-Z65)*AC65</x:f>
        <x:v>225.80537146613818</x:v>
      </x:c>
      <x:c r="AB65" s="19" t="n">
        <x:f>T65*'参数'!$B$31/'参数'!$B$34/(1-Z65)*AC65</x:f>
        <x:v>451.61074293227637</x:v>
      </x:c>
      <x:c r="AC65" s="20" t="n">
        <x:f>'参数'!$L$26*1</x:f>
        <x:v>1</x:v>
      </x:c>
      <x:c r="AD65" s="20" t="n">
        <x:f>1</x:f>
        <x:v>1</x:v>
      </x:c>
      <x:c r="AE65" s="19" t="n">
        <x:f>IF(MOD(B65,12)=0,1,0)</x:f>
        <x:v>1</x:v>
      </x:c>
    </x:row>
    <x:row r="66" ht="22" customHeight="1">
      <x:c r="A66" s="18" t="str">
        <x:v>简单</x:v>
      </x:c>
      <x:c r="B66" s="18" t="n">
        <x:v>61</x:v>
      </x:c>
      <x:c r="C66" s="18" t="n">
        <x:f>ROUNDUP(B66/12,0)</x:f>
        <x:v>6</x:v>
      </x:c>
      <x:c r="D66" s="18" t="n">
        <x:f>ROUND(MAX('参数'!$G$26,E66)+(IF(C66&lt;10,INDEX('参数'!$G$34:$P$34,1,MIN(10,C66+1)),'参数'!$H$26)-MAX('参数'!$G$26,E66))*MOD(B66-1,12)/11,0)</x:f>
        <x:v>35</x:v>
      </x:c>
      <x:c r="E66" s="18" t="n">
        <x:f>INDEX('参数'!$G$34:$P$34,1,C66)</x:f>
        <x:v>35</x:v>
      </x:c>
      <x:c r="F66" s="15" t="n">
        <x:f>'参数'!$I$26</x:f>
        <x:v>1.05</x:v>
      </x:c>
      <x:c r="G66" s="18" t="n">
        <x:f>ROUND(V66*X66/'参数'!$B$56,0)</x:f>
        <x:v>15902</x:v>
      </x:c>
      <x:c r="H66" s="18" t="n">
        <x:f>ROUND((AA66+SQRT(AA66^2+4*AA66*'参数'!$B$22*U66))/2,0)</x:f>
        <x:v>522</x:v>
      </x:c>
      <x:c r="I66" s="18" t="n">
        <x:f>ROUND(Q66*'参数'!$B$23/'参数'!$B$22,0)</x:f>
        <x:v>155</x:v>
      </x:c>
      <x:c r="J66" s="18" t="n">
        <x:f>ROUND(G66*'参数'!$B$50,0)</x:f>
        <x:v>47706</x:v>
      </x:c>
      <x:c r="K66" s="18" t="n">
        <x:f>ROUND(W66*Y66,0)</x:f>
        <x:v>147707</x:v>
      </x:c>
      <x:c r="L66" s="18" t="n">
        <x:f>ROUND((AB66+SQRT(AB66^2+4*AB66*'参数'!$B$22*U66))/2,0)</x:f>
        <x:v>834</x:v>
      </x:c>
      <x:c r="M66" s="18" t="n">
        <x:f>ROUND(I66*'参数'!$B$24,0)</x:f>
        <x:v>194</x:v>
      </x:c>
      <x:c r="N66" s="18" t="n">
        <x:f>'参数'!$B$9*'参数'!$B$10^(D66-1)</x:f>
        <x:v>1639.1431773038016</x:v>
      </x:c>
      <x:c r="O66" s="18" t="n">
        <x:f>'参数'!$B$18*'参数'!$B$19^(MIN(E66,MAX(1,5*INT(D66/5)))-1)*F66*'参数'!$J$26*P66</x:f>
        <x:v>130.00783229149147</x:v>
      </x:c>
      <x:c r="P66" s="21" t="n">
        <x:f>MIN(1,(D66-1)/19)</x:f>
        <x:v>1</x:v>
      </x:c>
      <x:c r="Q66" s="18" t="n">
        <x:f>INDEX('角色成长'!$F$6:$F$105,D66)+O66*'参数'!$K$21</x:f>
        <x:v>773.5223220307507</x:v>
      </x:c>
      <x:c r="R66" s="18" t="n">
        <x:f>INDEX('角色成长'!$I$6:$I$105,D66)+O66*'参数'!$K$21</x:f>
        <x:v>660.5223220307507</x:v>
      </x:c>
      <x:c r="S66" s="18" t="n">
        <x:f>INDEX('角色成长'!$L$6:$L$105,D66)+O66*'参数'!$K$21</x:f>
        <x:v>595.5223220307507</x:v>
      </x:c>
      <x:c r="T66" s="18" t="n">
        <x:f>(INDEX('角色成长'!$J$6:$J$105,D66)+O66*'参数'!$L$21)*(1+'参数'!$B$40*P66)</x:f>
        <x:v>8667.091264558223</x:v>
      </x:c>
      <x:c r="U66" s="18" t="n">
        <x:f>(INDEX('角色成长'!$K$6:$K$105,D66)+O66*'参数'!$M$21)*(1+'参数'!$B$41*P66)</x:f>
        <x:v>480.16507716112113</x:v>
      </x:c>
      <x:c r="V66" s="18" t="n">
        <x:f>(('参数'!$K$5*(((Q66*(1+'参数'!$B$39*P66))^2/((Q66*(1+'参数'!$B$39*P66))+'参数'!$B$22*(I66)))*(1+'参数'!$B$42*P66)/'参数'!$J$5+((Q66*'参数'!$B$43*(1+'参数'!$B$39*P66))^2/((Q66*'参数'!$B$43*(1+'参数'!$B$39*P66))+'参数'!$B$22*(I66)))/'参数'!$B$44))+(((R66*(1+'参数'!$B$39*P66))^2/((R66*(1+'参数'!$B$39*P66))+'参数'!$B$22*(I66)))*(1+'参数'!$B$42*P66)/'参数'!$J$6+((R66*'参数'!$B$45*(1+'参数'!$B$39*P66))^2/((R66*'参数'!$B$45*(1+'参数'!$B$39*P66))+'参数'!$B$22*(I66)))/'参数'!$B$46)+((S66*(1+'参数'!$B$39*P66))^2/((S66*(1+'参数'!$B$39*P66))+'参数'!$B$22*(I66)))*(1+'参数'!$B$42*P66)/'参数'!$J$7)*(1+'参数'!$B$37*('参数'!$B$38-1))*'参数'!$B$25</x:f>
        <x:v>5202.5806499836835</x:v>
      </x:c>
      <x:c r="W66" s="18" t="n">
        <x:f>(('参数'!$K$5*(((Q66*(1+'参数'!$B$39*P66))^2/((Q66*(1+'参数'!$B$39*P66))+'参数'!$B$22*(M66)))*(1+'参数'!$B$42*P66)/'参数'!$J$5+((Q66*'参数'!$B$43*(1+'参数'!$B$39*P66))^2/((Q66*'参数'!$B$43*(1+'参数'!$B$39*P66))+'参数'!$B$22*(M66)))/'参数'!$B$44))+(((R66*(1+'参数'!$B$39*P66))^2/((R66*(1+'参数'!$B$39*P66))+'参数'!$B$22*(M66)))*(1+'参数'!$B$42*P66)/'参数'!$J$6+((R66*'参数'!$B$45*(1+'参数'!$B$39*P66))^2/((R66*'参数'!$B$45*(1+'参数'!$B$39*P66))+'参数'!$B$22*(M66)))/'参数'!$B$46)+((S66*(1+'参数'!$B$39*P66))^2/((S66*(1+'参数'!$B$39*P66))+'参数'!$B$22*(M66)))*(1+'参数'!$B$42*P66)/'参数'!$J$7)*(1+'参数'!$B$37*('参数'!$B$38-1))</x:f>
        <x:v>4006.3037698607745</x:v>
      </x:c>
      <x:c r="X66" s="25" t="n">
        <x:f>('参数'!$B$26+'参数'!$B$27*(D66-1)/99)*'参数'!$K$26*AD66</x:f>
        <x:v>14.06060606060606</x:v>
      </x:c>
      <x:c r="Y66" s="25" t="n">
        <x:f>('参数'!$B$28+'参数'!$B$29*(D66-1)/99)*'参数'!$K$26*AD66*IF(AE66=1,'参数'!$B$51,1)</x:f>
        <x:v>36.868686868686865</x:v>
      </x:c>
      <x:c r="Z66" s="21" t="n">
        <x:f>MIN('参数'!$B$36,U66/(U66+'参数'!$B$35))</x:f>
        <x:v>0.10717575555617252</x:v>
      </x:c>
      <x:c r="AA66" s="18" t="n">
        <x:f>T66*'参数'!$B$30/('参数'!$B$32*'参数'!$B$33)/(1-Z66)*AC66</x:f>
        <x:v>242.68749752526233</x:v>
      </x:c>
      <x:c r="AB66" s="18" t="n">
        <x:f>T66*'参数'!$B$31/'参数'!$B$34/(1-Z66)*AC66</x:f>
        <x:v>485.37499505052466</x:v>
      </x:c>
      <x:c r="AC66" s="15" t="n">
        <x:f>'参数'!$L$26*1</x:f>
        <x:v>1</x:v>
      </x:c>
      <x:c r="AD66" s="15" t="n">
        <x:f>1</x:f>
        <x:v>1</x:v>
      </x:c>
      <x:c r="AE66" s="18" t="n">
        <x:f>IF(MOD(B66,12)=0,1,0)</x:f>
        <x:v>0</x:v>
      </x:c>
    </x:row>
    <x:row r="67" ht="22" customHeight="1">
      <x:c r="A67" s="19" t="str">
        <x:v>简单</x:v>
      </x:c>
      <x:c r="B67" s="19" t="n">
        <x:v>62</x:v>
      </x:c>
      <x:c r="C67" s="19" t="n">
        <x:f>ROUNDUP(B67/12,0)</x:f>
        <x:v>6</x:v>
      </x:c>
      <x:c r="D67" s="19" t="n">
        <x:f>ROUND(MAX('参数'!$G$26,E67)+(IF(C67&lt;10,INDEX('参数'!$G$34:$P$34,1,MIN(10,C67+1)),'参数'!$H$26)-MAX('参数'!$G$26,E67))*MOD(B67-1,12)/11,0)</x:f>
        <x:v>35</x:v>
      </x:c>
      <x:c r="E67" s="19" t="n">
        <x:f>INDEX('参数'!$G$34:$P$34,1,C67)</x:f>
        <x:v>35</x:v>
      </x:c>
      <x:c r="F67" s="20" t="n">
        <x:f>'参数'!$I$26</x:f>
        <x:v>1.05</x:v>
      </x:c>
      <x:c r="G67" s="19" t="n">
        <x:f>ROUND(V67*X67/'参数'!$B$56,0)</x:f>
        <x:v>15902</x:v>
      </x:c>
      <x:c r="H67" s="19" t="n">
        <x:f>ROUND((AA67+SQRT(AA67^2+4*AA67*'参数'!$B$22*U67))/2,0)</x:f>
        <x:v>522</x:v>
      </x:c>
      <x:c r="I67" s="19" t="n">
        <x:f>ROUND(Q67*'参数'!$B$23/'参数'!$B$22,0)</x:f>
        <x:v>155</x:v>
      </x:c>
      <x:c r="J67" s="19" t="n">
        <x:f>ROUND(G67*'参数'!$B$50,0)</x:f>
        <x:v>47706</x:v>
      </x:c>
      <x:c r="K67" s="19" t="n">
        <x:f>ROUND(W67*Y67,0)</x:f>
        <x:v>147707</x:v>
      </x:c>
      <x:c r="L67" s="19" t="n">
        <x:f>ROUND((AB67+SQRT(AB67^2+4*AB67*'参数'!$B$22*U67))/2,0)</x:f>
        <x:v>834</x:v>
      </x:c>
      <x:c r="M67" s="19" t="n">
        <x:f>ROUND(I67*'参数'!$B$24,0)</x:f>
        <x:v>194</x:v>
      </x:c>
      <x:c r="N67" s="19" t="n">
        <x:f>'参数'!$B$9*'参数'!$B$10^(D67-1)</x:f>
        <x:v>1639.1431773038016</x:v>
      </x:c>
      <x:c r="O67" s="19" t="n">
        <x:f>'参数'!$B$18*'参数'!$B$19^(MIN(E67,MAX(1,5*INT(D67/5)))-1)*F67*'参数'!$J$26*P67</x:f>
        <x:v>130.00783229149147</x:v>
      </x:c>
      <x:c r="P67" s="22" t="n">
        <x:f>MIN(1,(D67-1)/19)</x:f>
        <x:v>1</x:v>
      </x:c>
      <x:c r="Q67" s="19" t="n">
        <x:f>INDEX('角色成长'!$F$6:$F$105,D67)+O67*'参数'!$K$21</x:f>
        <x:v>773.5223220307507</x:v>
      </x:c>
      <x:c r="R67" s="19" t="n">
        <x:f>INDEX('角色成长'!$I$6:$I$105,D67)+O67*'参数'!$K$21</x:f>
        <x:v>660.5223220307507</x:v>
      </x:c>
      <x:c r="S67" s="19" t="n">
        <x:f>INDEX('角色成长'!$L$6:$L$105,D67)+O67*'参数'!$K$21</x:f>
        <x:v>595.5223220307507</x:v>
      </x:c>
      <x:c r="T67" s="19" t="n">
        <x:f>(INDEX('角色成长'!$J$6:$J$105,D67)+O67*'参数'!$L$21)*(1+'参数'!$B$40*P67)</x:f>
        <x:v>8667.091264558223</x:v>
      </x:c>
      <x:c r="U67" s="19" t="n">
        <x:f>(INDEX('角色成长'!$K$6:$K$105,D67)+O67*'参数'!$M$21)*(1+'参数'!$B$41*P67)</x:f>
        <x:v>480.16507716112113</x:v>
      </x:c>
      <x:c r="V67" s="19" t="n">
        <x:f>(('参数'!$K$5*(((Q67*(1+'参数'!$B$39*P67))^2/((Q67*(1+'参数'!$B$39*P67))+'参数'!$B$22*(I67)))*(1+'参数'!$B$42*P67)/'参数'!$J$5+((Q67*'参数'!$B$43*(1+'参数'!$B$39*P67))^2/((Q67*'参数'!$B$43*(1+'参数'!$B$39*P67))+'参数'!$B$22*(I67)))/'参数'!$B$44))+(((R67*(1+'参数'!$B$39*P67))^2/((R67*(1+'参数'!$B$39*P67))+'参数'!$B$22*(I67)))*(1+'参数'!$B$42*P67)/'参数'!$J$6+((R67*'参数'!$B$45*(1+'参数'!$B$39*P67))^2/((R67*'参数'!$B$45*(1+'参数'!$B$39*P67))+'参数'!$B$22*(I67)))/'参数'!$B$46)+((S67*(1+'参数'!$B$39*P67))^2/((S67*(1+'参数'!$B$39*P67))+'参数'!$B$22*(I67)))*(1+'参数'!$B$42*P67)/'参数'!$J$7)*(1+'参数'!$B$37*('参数'!$B$38-1))*'参数'!$B$25</x:f>
        <x:v>5202.5806499836835</x:v>
      </x:c>
      <x:c r="W67" s="19" t="n">
        <x:f>(('参数'!$K$5*(((Q67*(1+'参数'!$B$39*P67))^2/((Q67*(1+'参数'!$B$39*P67))+'参数'!$B$22*(M67)))*(1+'参数'!$B$42*P67)/'参数'!$J$5+((Q67*'参数'!$B$43*(1+'参数'!$B$39*P67))^2/((Q67*'参数'!$B$43*(1+'参数'!$B$39*P67))+'参数'!$B$22*(M67)))/'参数'!$B$44))+(((R67*(1+'参数'!$B$39*P67))^2/((R67*(1+'参数'!$B$39*P67))+'参数'!$B$22*(M67)))*(1+'参数'!$B$42*P67)/'参数'!$J$6+((R67*'参数'!$B$45*(1+'参数'!$B$39*P67))^2/((R67*'参数'!$B$45*(1+'参数'!$B$39*P67))+'参数'!$B$22*(M67)))/'参数'!$B$46)+((S67*(1+'参数'!$B$39*P67))^2/((S67*(1+'参数'!$B$39*P67))+'参数'!$B$22*(M67)))*(1+'参数'!$B$42*P67)/'参数'!$J$7)*(1+'参数'!$B$37*('参数'!$B$38-1))</x:f>
        <x:v>4006.3037698607745</x:v>
      </x:c>
      <x:c r="X67" s="26" t="n">
        <x:f>('参数'!$B$26+'参数'!$B$27*(D67-1)/99)*'参数'!$K$26*AD67</x:f>
        <x:v>14.06060606060606</x:v>
      </x:c>
      <x:c r="Y67" s="26" t="n">
        <x:f>('参数'!$B$28+'参数'!$B$29*(D67-1)/99)*'参数'!$K$26*AD67*IF(AE67=1,'参数'!$B$51,1)</x:f>
        <x:v>36.868686868686865</x:v>
      </x:c>
      <x:c r="Z67" s="22" t="n">
        <x:f>MIN('参数'!$B$36,U67/(U67+'参数'!$B$35))</x:f>
        <x:v>0.10717575555617252</x:v>
      </x:c>
      <x:c r="AA67" s="19" t="n">
        <x:f>T67*'参数'!$B$30/('参数'!$B$32*'参数'!$B$33)/(1-Z67)*AC67</x:f>
        <x:v>242.68749752526233</x:v>
      </x:c>
      <x:c r="AB67" s="19" t="n">
        <x:f>T67*'参数'!$B$31/'参数'!$B$34/(1-Z67)*AC67</x:f>
        <x:v>485.37499505052466</x:v>
      </x:c>
      <x:c r="AC67" s="20" t="n">
        <x:f>'参数'!$L$26*1</x:f>
        <x:v>1</x:v>
      </x:c>
      <x:c r="AD67" s="20" t="n">
        <x:f>1</x:f>
        <x:v>1</x:v>
      </x:c>
      <x:c r="AE67" s="19" t="n">
        <x:f>IF(MOD(B67,12)=0,1,0)</x:f>
        <x:v>0</x:v>
      </x:c>
    </x:row>
    <x:row r="68" ht="22" customHeight="1">
      <x:c r="A68" s="18" t="str">
        <x:v>简单</x:v>
      </x:c>
      <x:c r="B68" s="18" t="n">
        <x:v>63</x:v>
      </x:c>
      <x:c r="C68" s="18" t="n">
        <x:f>ROUNDUP(B68/12,0)</x:f>
        <x:v>6</x:v>
      </x:c>
      <x:c r="D68" s="18" t="n">
        <x:f>ROUND(MAX('参数'!$G$26,E68)+(IF(C68&lt;10,INDEX('参数'!$G$34:$P$34,1,MIN(10,C68+1)),'参数'!$H$26)-MAX('参数'!$G$26,E68))*MOD(B68-1,12)/11,0)</x:f>
        <x:v>36</x:v>
      </x:c>
      <x:c r="E68" s="18" t="n">
        <x:f>INDEX('参数'!$G$34:$P$34,1,C68)</x:f>
        <x:v>35</x:v>
      </x:c>
      <x:c r="F68" s="15" t="n">
        <x:f>'参数'!$I$26</x:f>
        <x:v>1.05</x:v>
      </x:c>
      <x:c r="G68" s="18" t="n">
        <x:f>ROUND(V68*X68/'参数'!$B$56,0)</x:f>
        <x:v>16240</x:v>
      </x:c>
      <x:c r="H68" s="18" t="n">
        <x:f>ROUND((AA68+SQRT(AA68^2+4*AA68*'参数'!$B$22*U68))/2,0)</x:f>
        <x:v>534</x:v>
      </x:c>
      <x:c r="I68" s="18" t="n">
        <x:f>ROUND(Q68*'参数'!$B$23/'参数'!$B$22,0)</x:f>
        <x:v>158</x:v>
      </x:c>
      <x:c r="J68" s="18" t="n">
        <x:f>ROUND(G68*'参数'!$B$50,0)</x:f>
        <x:v>48720</x:v>
      </x:c>
      <x:c r="K68" s="18" t="n">
        <x:f>ROUND(W68*Y68,0)</x:f>
        <x:v>150974</x:v>
      </x:c>
      <x:c r="L68" s="18" t="n">
        <x:f>ROUND((AB68+SQRT(AB68^2+4*AB68*'参数'!$B$22*U68))/2,0)</x:f>
        <x:v>854</x:v>
      </x:c>
      <x:c r="M68" s="18" t="n">
        <x:f>ROUND(I68*'参数'!$B$24,0)</x:f>
        <x:v>198</x:v>
      </x:c>
      <x:c r="N68" s="18" t="n">
        <x:f>'参数'!$B$9*'参数'!$B$10^(D68-1)</x:f>
        <x:v>1688.3174726229158</x:v>
      </x:c>
      <x:c r="O68" s="18" t="n">
        <x:f>'参数'!$B$18*'参数'!$B$19^(MIN(E68,MAX(1,5*INT(D68/5)))-1)*F68*'参数'!$J$26*P68</x:f>
        <x:v>130.00783229149147</x:v>
      </x:c>
      <x:c r="P68" s="21" t="n">
        <x:f>MIN(1,(D68-1)/19)</x:f>
        <x:v>1</x:v>
      </x:c>
      <x:c r="Q68" s="18" t="n">
        <x:f>INDEX('角色成长'!$F$6:$F$105,D68)+O68*'参数'!$K$21</x:f>
        <x:v>787.5223220307507</x:v>
      </x:c>
      <x:c r="R68" s="18" t="n">
        <x:f>INDEX('角色成长'!$I$6:$I$105,D68)+O68*'参数'!$K$21</x:f>
        <x:v>670.5223220307507</x:v>
      </x:c>
      <x:c r="S68" s="18" t="n">
        <x:f>INDEX('角色成长'!$L$6:$L$105,D68)+O68*'参数'!$K$21</x:f>
        <x:v>603.5223220307507</x:v>
      </x:c>
      <x:c r="T68" s="18" t="n">
        <x:f>(INDEX('角色成长'!$J$6:$J$105,D68)+O68*'参数'!$L$21)*(1+'参数'!$B$40*P68)</x:f>
        <x:v>8863.991264558223</x:v>
      </x:c>
      <x:c r="U68" s="18" t="n">
        <x:f>(INDEX('角色成长'!$K$6:$K$105,D68)+O68*'参数'!$M$21)*(1+'参数'!$B$41*P68)</x:f>
        <x:v>488.9650771611211</x:v>
      </x:c>
      <x:c r="V68" s="18" t="n">
        <x:f>(('参数'!$K$5*(((Q68*(1+'参数'!$B$39*P68))^2/((Q68*(1+'参数'!$B$39*P68))+'参数'!$B$22*(I68)))*(1+'参数'!$B$42*P68)/'参数'!$J$5+((Q68*'参数'!$B$43*(1+'参数'!$B$39*P68))^2/((Q68*'参数'!$B$43*(1+'参数'!$B$39*P68))+'参数'!$B$22*(I68)))/'参数'!$B$44))+(((R68*(1+'参数'!$B$39*P68))^2/((R68*(1+'参数'!$B$39*P68))+'参数'!$B$22*(I68)))*(1+'参数'!$B$42*P68)/'参数'!$J$6+((R68*'参数'!$B$45*(1+'参数'!$B$39*P68))^2/((R68*'参数'!$B$45*(1+'参数'!$B$39*P68))+'参数'!$B$22*(I68)))/'参数'!$B$46)+((S68*(1+'参数'!$B$39*P68))^2/((S68*(1+'参数'!$B$39*P68))+'参数'!$B$22*(I68)))*(1+'参数'!$B$42*P68)/'参数'!$J$7)*(1+'参数'!$B$37*('参数'!$B$38-1))*'参数'!$B$25</x:f>
        <x:v>5290.196845579603</x:v>
      </x:c>
      <x:c r="W68" s="18" t="n">
        <x:f>(('参数'!$K$5*(((Q68*(1+'参数'!$B$39*P68))^2/((Q68*(1+'参数'!$B$39*P68))+'参数'!$B$22*(M68)))*(1+'参数'!$B$42*P68)/'参数'!$J$5+((Q68*'参数'!$B$43*(1+'参数'!$B$39*P68))^2/((Q68*'参数'!$B$43*(1+'参数'!$B$39*P68))+'参数'!$B$22*(M68)))/'参数'!$B$44))+(((R68*(1+'参数'!$B$39*P68))^2/((R68*(1+'参数'!$B$39*P68))+'参数'!$B$22*(M68)))*(1+'参数'!$B$42*P68)/'参数'!$J$6+((R68*'参数'!$B$45*(1+'参数'!$B$39*P68))^2/((R68*'参数'!$B$45*(1+'参数'!$B$39*P68))+'参数'!$B$22*(M68)))/'参数'!$B$46)+((S68*(1+'参数'!$B$39*P68))^2/((S68*(1+'参数'!$B$39*P68))+'参数'!$B$22*(M68)))*(1+'参数'!$B$42*P68)/'参数'!$J$7)*(1+'参数'!$B$37*('参数'!$B$38-1))</x:f>
        <x:v>4072.59423067018</x:v>
      </x:c>
      <x:c r="X68" s="25" t="n">
        <x:f>('参数'!$B$26+'参数'!$B$27*(D68-1)/99)*'参数'!$K$26*AD68</x:f>
        <x:v>14.121212121212121</x:v>
      </x:c>
      <x:c r="Y68" s="25" t="n">
        <x:f>('参数'!$B$28+'参数'!$B$29*(D68-1)/99)*'参数'!$K$26*AD68*IF(AE68=1,'参数'!$B$51,1)</x:f>
        <x:v>37.07070707070707</x:v>
      </x:c>
      <x:c r="Z68" s="21" t="n">
        <x:f>MIN('参数'!$B$36,U68/(U68+'参数'!$B$35))</x:f>
        <x:v>0.1089260149625287</x:v>
      </x:c>
      <x:c r="AA68" s="18" t="n">
        <x:f>T68*'参数'!$B$30/('参数'!$B$32*'参数'!$B$33)/(1-Z68)*AC68</x:f>
        <x:v>248.68842019289443</x:v>
      </x:c>
      <x:c r="AB68" s="18" t="n">
        <x:f>T68*'参数'!$B$31/'参数'!$B$34/(1-Z68)*AC68</x:f>
        <x:v>497.37684038578885</x:v>
      </x:c>
      <x:c r="AC68" s="15" t="n">
        <x:f>'参数'!$L$26*1</x:f>
        <x:v>1</x:v>
      </x:c>
      <x:c r="AD68" s="15" t="n">
        <x:f>1</x:f>
        <x:v>1</x:v>
      </x:c>
      <x:c r="AE68" s="18" t="n">
        <x:f>IF(MOD(B68,12)=0,1,0)</x:f>
        <x:v>0</x:v>
      </x:c>
    </x:row>
    <x:row r="69" ht="22" customHeight="1">
      <x:c r="A69" s="19" t="str">
        <x:v>简单</x:v>
      </x:c>
      <x:c r="B69" s="19" t="n">
        <x:v>64</x:v>
      </x:c>
      <x:c r="C69" s="19" t="n">
        <x:f>ROUNDUP(B69/12,0)</x:f>
        <x:v>6</x:v>
      </x:c>
      <x:c r="D69" s="19" t="n">
        <x:f>ROUND(MAX('参数'!$G$26,E69)+(IF(C69&lt;10,INDEX('参数'!$G$34:$P$34,1,MIN(10,C69+1)),'参数'!$H$26)-MAX('参数'!$G$26,E69))*MOD(B69-1,12)/11,0)</x:f>
        <x:v>36</x:v>
      </x:c>
      <x:c r="E69" s="19" t="n">
        <x:f>INDEX('参数'!$G$34:$P$34,1,C69)</x:f>
        <x:v>35</x:v>
      </x:c>
      <x:c r="F69" s="20" t="n">
        <x:f>'参数'!$I$26</x:f>
        <x:v>1.05</x:v>
      </x:c>
      <x:c r="G69" s="19" t="n">
        <x:f>ROUND(V69*X69/'参数'!$B$56,0)</x:f>
        <x:v>16240</x:v>
      </x:c>
      <x:c r="H69" s="19" t="n">
        <x:f>ROUND((AA69+SQRT(AA69^2+4*AA69*'参数'!$B$22*U69))/2,0)</x:f>
        <x:v>534</x:v>
      </x:c>
      <x:c r="I69" s="19" t="n">
        <x:f>ROUND(Q69*'参数'!$B$23/'参数'!$B$22,0)</x:f>
        <x:v>158</x:v>
      </x:c>
      <x:c r="J69" s="19" t="n">
        <x:f>ROUND(G69*'参数'!$B$50,0)</x:f>
        <x:v>48720</x:v>
      </x:c>
      <x:c r="K69" s="19" t="n">
        <x:f>ROUND(W69*Y69,0)</x:f>
        <x:v>150974</x:v>
      </x:c>
      <x:c r="L69" s="19" t="n">
        <x:f>ROUND((AB69+SQRT(AB69^2+4*AB69*'参数'!$B$22*U69))/2,0)</x:f>
        <x:v>854</x:v>
      </x:c>
      <x:c r="M69" s="19" t="n">
        <x:f>ROUND(I69*'参数'!$B$24,0)</x:f>
        <x:v>198</x:v>
      </x:c>
      <x:c r="N69" s="19" t="n">
        <x:f>'参数'!$B$9*'参数'!$B$10^(D69-1)</x:f>
        <x:v>1688.3174726229158</x:v>
      </x:c>
      <x:c r="O69" s="19" t="n">
        <x:f>'参数'!$B$18*'参数'!$B$19^(MIN(E69,MAX(1,5*INT(D69/5)))-1)*F69*'参数'!$J$26*P69</x:f>
        <x:v>130.00783229149147</x:v>
      </x:c>
      <x:c r="P69" s="22" t="n">
        <x:f>MIN(1,(D69-1)/19)</x:f>
        <x:v>1</x:v>
      </x:c>
      <x:c r="Q69" s="19" t="n">
        <x:f>INDEX('角色成长'!$F$6:$F$105,D69)+O69*'参数'!$K$21</x:f>
        <x:v>787.5223220307507</x:v>
      </x:c>
      <x:c r="R69" s="19" t="n">
        <x:f>INDEX('角色成长'!$I$6:$I$105,D69)+O69*'参数'!$K$21</x:f>
        <x:v>670.5223220307507</x:v>
      </x:c>
      <x:c r="S69" s="19" t="n">
        <x:f>INDEX('角色成长'!$L$6:$L$105,D69)+O69*'参数'!$K$21</x:f>
        <x:v>603.5223220307507</x:v>
      </x:c>
      <x:c r="T69" s="19" t="n">
        <x:f>(INDEX('角色成长'!$J$6:$J$105,D69)+O69*'参数'!$L$21)*(1+'参数'!$B$40*P69)</x:f>
        <x:v>8863.991264558223</x:v>
      </x:c>
      <x:c r="U69" s="19" t="n">
        <x:f>(INDEX('角色成长'!$K$6:$K$105,D69)+O69*'参数'!$M$21)*(1+'参数'!$B$41*P69)</x:f>
        <x:v>488.9650771611211</x:v>
      </x:c>
      <x:c r="V69" s="19" t="n">
        <x:f>(('参数'!$K$5*(((Q69*(1+'参数'!$B$39*P69))^2/((Q69*(1+'参数'!$B$39*P69))+'参数'!$B$22*(I69)))*(1+'参数'!$B$42*P69)/'参数'!$J$5+((Q69*'参数'!$B$43*(1+'参数'!$B$39*P69))^2/((Q69*'参数'!$B$43*(1+'参数'!$B$39*P69))+'参数'!$B$22*(I69)))/'参数'!$B$44))+(((R69*(1+'参数'!$B$39*P69))^2/((R69*(1+'参数'!$B$39*P69))+'参数'!$B$22*(I69)))*(1+'参数'!$B$42*P69)/'参数'!$J$6+((R69*'参数'!$B$45*(1+'参数'!$B$39*P69))^2/((R69*'参数'!$B$45*(1+'参数'!$B$39*P69))+'参数'!$B$22*(I69)))/'参数'!$B$46)+((S69*(1+'参数'!$B$39*P69))^2/((S69*(1+'参数'!$B$39*P69))+'参数'!$B$22*(I69)))*(1+'参数'!$B$42*P69)/'参数'!$J$7)*(1+'参数'!$B$37*('参数'!$B$38-1))*'参数'!$B$25</x:f>
        <x:v>5290.196845579603</x:v>
      </x:c>
      <x:c r="W69" s="19" t="n">
        <x:f>(('参数'!$K$5*(((Q69*(1+'参数'!$B$39*P69))^2/((Q69*(1+'参数'!$B$39*P69))+'参数'!$B$22*(M69)))*(1+'参数'!$B$42*P69)/'参数'!$J$5+((Q69*'参数'!$B$43*(1+'参数'!$B$39*P69))^2/((Q69*'参数'!$B$43*(1+'参数'!$B$39*P69))+'参数'!$B$22*(M69)))/'参数'!$B$44))+(((R69*(1+'参数'!$B$39*P69))^2/((R69*(1+'参数'!$B$39*P69))+'参数'!$B$22*(M69)))*(1+'参数'!$B$42*P69)/'参数'!$J$6+((R69*'参数'!$B$45*(1+'参数'!$B$39*P69))^2/((R69*'参数'!$B$45*(1+'参数'!$B$39*P69))+'参数'!$B$22*(M69)))/'参数'!$B$46)+((S69*(1+'参数'!$B$39*P69))^2/((S69*(1+'参数'!$B$39*P69))+'参数'!$B$22*(M69)))*(1+'参数'!$B$42*P69)/'参数'!$J$7)*(1+'参数'!$B$37*('参数'!$B$38-1))</x:f>
        <x:v>4072.59423067018</x:v>
      </x:c>
      <x:c r="X69" s="26" t="n">
        <x:f>('参数'!$B$26+'参数'!$B$27*(D69-1)/99)*'参数'!$K$26*AD69</x:f>
        <x:v>14.121212121212121</x:v>
      </x:c>
      <x:c r="Y69" s="26" t="n">
        <x:f>('参数'!$B$28+'参数'!$B$29*(D69-1)/99)*'参数'!$K$26*AD69*IF(AE69=1,'参数'!$B$51,1)</x:f>
        <x:v>37.07070707070707</x:v>
      </x:c>
      <x:c r="Z69" s="22" t="n">
        <x:f>MIN('参数'!$B$36,U69/(U69+'参数'!$B$35))</x:f>
        <x:v>0.1089260149625287</x:v>
      </x:c>
      <x:c r="AA69" s="19" t="n">
        <x:f>T69*'参数'!$B$30/('参数'!$B$32*'参数'!$B$33)/(1-Z69)*AC69</x:f>
        <x:v>248.68842019289443</x:v>
      </x:c>
      <x:c r="AB69" s="19" t="n">
        <x:f>T69*'参数'!$B$31/'参数'!$B$34/(1-Z69)*AC69</x:f>
        <x:v>497.37684038578885</x:v>
      </x:c>
      <x:c r="AC69" s="20" t="n">
        <x:f>'参数'!$L$26*1</x:f>
        <x:v>1</x:v>
      </x:c>
      <x:c r="AD69" s="20" t="n">
        <x:f>1</x:f>
        <x:v>1</x:v>
      </x:c>
      <x:c r="AE69" s="19" t="n">
        <x:f>IF(MOD(B69,12)=0,1,0)</x:f>
        <x:v>0</x:v>
      </x:c>
    </x:row>
    <x:row r="70" ht="22" customHeight="1">
      <x:c r="A70" s="18" t="str">
        <x:v>简单</x:v>
      </x:c>
      <x:c r="B70" s="18" t="n">
        <x:v>65</x:v>
      </x:c>
      <x:c r="C70" s="18" t="n">
        <x:f>ROUNDUP(B70/12,0)</x:f>
        <x:v>6</x:v>
      </x:c>
      <x:c r="D70" s="18" t="n">
        <x:f>ROUND(MAX('参数'!$G$26,E70)+(IF(C70&lt;10,INDEX('参数'!$G$34:$P$34,1,MIN(10,C70+1)),'参数'!$H$26)-MAX('参数'!$G$26,E70))*MOD(B70-1,12)/11,0)</x:f>
        <x:v>37</x:v>
      </x:c>
      <x:c r="E70" s="18" t="n">
        <x:f>INDEX('参数'!$G$34:$P$34,1,C70)</x:f>
        <x:v>35</x:v>
      </x:c>
      <x:c r="F70" s="15" t="n">
        <x:f>'参数'!$I$26</x:f>
        <x:v>1.05</x:v>
      </x:c>
      <x:c r="G70" s="18" t="n">
        <x:f>ROUND(V70*X70/'参数'!$B$56,0)</x:f>
        <x:v>16603</x:v>
      </x:c>
      <x:c r="H70" s="18" t="n">
        <x:f>ROUND((AA70+SQRT(AA70^2+4*AA70*'参数'!$B$22*U70))/2,0)</x:f>
        <x:v>545</x:v>
      </x:c>
      <x:c r="I70" s="18" t="n">
        <x:f>ROUND(Q70*'参数'!$B$23/'参数'!$B$22,0)</x:f>
        <x:v>160</x:v>
      </x:c>
      <x:c r="J70" s="18" t="n">
        <x:f>ROUND(G70*'参数'!$B$50,0)</x:f>
        <x:v>49809</x:v>
      </x:c>
      <x:c r="K70" s="18" t="n">
        <x:f>ROUND(W70*Y70,0)</x:f>
        <x:v>154624</x:v>
      </x:c>
      <x:c r="L70" s="18" t="n">
        <x:f>ROUND((AB70+SQRT(AB70^2+4*AB70*'参数'!$B$22*U70))/2,0)</x:f>
        <x:v>872</x:v>
      </x:c>
      <x:c r="M70" s="18" t="n">
        <x:f>ROUND(I70*'参数'!$B$24,0)</x:f>
        <x:v>200</x:v>
      </x:c>
      <x:c r="N70" s="18" t="n">
        <x:f>'参数'!$B$9*'参数'!$B$10^(D70-1)</x:f>
        <x:v>1738.9669968016035</x:v>
      </x:c>
      <x:c r="O70" s="18" t="n">
        <x:f>'参数'!$B$18*'参数'!$B$19^(MIN(E70,MAX(1,5*INT(D70/5)))-1)*F70*'参数'!$J$26*P70</x:f>
        <x:v>130.00783229149147</x:v>
      </x:c>
      <x:c r="P70" s="21" t="n">
        <x:f>MIN(1,(D70-1)/19)</x:f>
        <x:v>1</x:v>
      </x:c>
      <x:c r="Q70" s="18" t="n">
        <x:f>INDEX('角色成长'!$F$6:$F$105,D70)+O70*'参数'!$K$21</x:f>
        <x:v>801.5223220307507</x:v>
      </x:c>
      <x:c r="R70" s="18" t="n">
        <x:f>INDEX('角色成长'!$I$6:$I$105,D70)+O70*'参数'!$K$21</x:f>
        <x:v>681.5223220307507</x:v>
      </x:c>
      <x:c r="S70" s="18" t="n">
        <x:f>INDEX('角色成长'!$L$6:$L$105,D70)+O70*'参数'!$K$21</x:f>
        <x:v>612.5223220307507</x:v>
      </x:c>
      <x:c r="T70" s="18" t="n">
        <x:f>(INDEX('角色成长'!$J$6:$J$105,D70)+O70*'参数'!$L$21)*(1+'参数'!$B$40*P70)</x:f>
        <x:v>9068.591264558223</x:v>
      </x:c>
      <x:c r="U70" s="18" t="n">
        <x:f>(INDEX('角色成长'!$K$6:$K$105,D70)+O70*'参数'!$M$21)*(1+'参数'!$B$41*P70)</x:f>
        <x:v>496.66507716112113</x:v>
      </x:c>
      <x:c r="V70" s="18" t="n">
        <x:f>(('参数'!$K$5*(((Q70*(1+'参数'!$B$39*P70))^2/((Q70*(1+'参数'!$B$39*P70))+'参数'!$B$22*(I70)))*(1+'参数'!$B$42*P70)/'参数'!$J$5+((Q70*'参数'!$B$43*(1+'参数'!$B$39*P70))^2/((Q70*'参数'!$B$43*(1+'参数'!$B$39*P70))+'参数'!$B$22*(I70)))/'参数'!$B$44))+(((R70*(1+'参数'!$B$39*P70))^2/((R70*(1+'参数'!$B$39*P70))+'参数'!$B$22*(I70)))*(1+'参数'!$B$42*P70)/'参数'!$J$6+((R70*'参数'!$B$45*(1+'参数'!$B$39*P70))^2/((R70*'参数'!$B$45*(1+'参数'!$B$39*P70))+'参数'!$B$22*(I70)))/'参数'!$B$46)+((S70*(1+'参数'!$B$39*P70))^2/((S70*(1+'参数'!$B$39*P70))+'参数'!$B$22*(I70)))*(1+'参数'!$B$42*P70)/'参数'!$J$7)*(1+'参数'!$B$37*('参数'!$B$38-1))*'参数'!$B$25</x:f>
        <x:v>5385.429656720633</x:v>
      </x:c>
      <x:c r="W70" s="18" t="n">
        <x:f>(('参数'!$K$5*(((Q70*(1+'参数'!$B$39*P70))^2/((Q70*(1+'参数'!$B$39*P70))+'参数'!$B$22*(M70)))*(1+'参数'!$B$42*P70)/'参数'!$J$5+((Q70*'参数'!$B$43*(1+'参数'!$B$39*P70))^2/((Q70*'参数'!$B$43*(1+'参数'!$B$39*P70))+'参数'!$B$22*(M70)))/'参数'!$B$44))+(((R70*(1+'参数'!$B$39*P70))^2/((R70*(1+'参数'!$B$39*P70))+'参数'!$B$22*(M70)))*(1+'参数'!$B$42*P70)/'参数'!$J$6+((R70*'参数'!$B$45*(1+'参数'!$B$39*P70))^2/((R70*'参数'!$B$45*(1+'参数'!$B$39*P70))+'参数'!$B$22*(M70)))/'参数'!$B$46)+((S70*(1+'参数'!$B$39*P70))^2/((S70*(1+'参数'!$B$39*P70))+'参数'!$B$22*(M70)))*(1+'参数'!$B$42*P70)/'参数'!$J$7)*(1+'参数'!$B$37*('参数'!$B$38-1))</x:f>
        <x:v>4148.44291753704</x:v>
      </x:c>
      <x:c r="X70" s="25" t="n">
        <x:f>('参数'!$B$26+'参数'!$B$27*(D70-1)/99)*'参数'!$K$26*AD70</x:f>
        <x:v>14.181818181818182</x:v>
      </x:c>
      <x:c r="Y70" s="25" t="n">
        <x:f>('参数'!$B$28+'参数'!$B$29*(D70-1)/99)*'参数'!$K$26*AD70*IF(AE70=1,'参数'!$B$51,1)</x:f>
        <x:v>37.27272727272727</x:v>
      </x:c>
      <x:c r="Z70" s="21" t="n">
        <x:f>MIN('参数'!$B$36,U70/(U70+'参数'!$B$35))</x:f>
        <x:v>0.11045187236285799</x:v>
      </x:c>
      <x:c r="AA70" s="18" t="n">
        <x:f>T70*'参数'!$B$30/('参数'!$B$32*'参数'!$B$33)/(1-Z70)*AC70</x:f>
        <x:v>254.86511023992108</x:v>
      </x:c>
      <x:c r="AB70" s="18" t="n">
        <x:f>T70*'参数'!$B$31/'参数'!$B$34/(1-Z70)*AC70</x:f>
        <x:v>509.73022047984216</x:v>
      </x:c>
      <x:c r="AC70" s="15" t="n">
        <x:f>'参数'!$L$26*1</x:f>
        <x:v>1</x:v>
      </x:c>
      <x:c r="AD70" s="15" t="n">
        <x:f>1</x:f>
        <x:v>1</x:v>
      </x:c>
      <x:c r="AE70" s="18" t="n">
        <x:f>IF(MOD(B70,12)=0,1,0)</x:f>
        <x:v>0</x:v>
      </x:c>
    </x:row>
    <x:row r="71" ht="22" customHeight="1">
      <x:c r="A71" s="19" t="str">
        <x:v>简单</x:v>
      </x:c>
      <x:c r="B71" s="19" t="n">
        <x:v>66</x:v>
      </x:c>
      <x:c r="C71" s="19" t="n">
        <x:f>ROUNDUP(B71/12,0)</x:f>
        <x:v>6</x:v>
      </x:c>
      <x:c r="D71" s="19" t="n">
        <x:f>ROUND(MAX('参数'!$G$26,E71)+(IF(C71&lt;10,INDEX('参数'!$G$34:$P$34,1,MIN(10,C71+1)),'参数'!$H$26)-MAX('参数'!$G$26,E71))*MOD(B71-1,12)/11,0)</x:f>
        <x:v>37</x:v>
      </x:c>
      <x:c r="E71" s="19" t="n">
        <x:f>INDEX('参数'!$G$34:$P$34,1,C71)</x:f>
        <x:v>35</x:v>
      </x:c>
      <x:c r="F71" s="20" t="n">
        <x:f>'参数'!$I$26</x:f>
        <x:v>1.05</x:v>
      </x:c>
      <x:c r="G71" s="19" t="n">
        <x:f>ROUND(V71*X71/'参数'!$B$56,0)</x:f>
        <x:v>16603</x:v>
      </x:c>
      <x:c r="H71" s="19" t="n">
        <x:f>ROUND((AA71+SQRT(AA71^2+4*AA71*'参数'!$B$22*U71))/2,0)</x:f>
        <x:v>545</x:v>
      </x:c>
      <x:c r="I71" s="19" t="n">
        <x:f>ROUND(Q71*'参数'!$B$23/'参数'!$B$22,0)</x:f>
        <x:v>160</x:v>
      </x:c>
      <x:c r="J71" s="19" t="n">
        <x:f>ROUND(G71*'参数'!$B$50,0)</x:f>
        <x:v>49809</x:v>
      </x:c>
      <x:c r="K71" s="19" t="n">
        <x:f>ROUND(W71*Y71,0)</x:f>
        <x:v>154624</x:v>
      </x:c>
      <x:c r="L71" s="19" t="n">
        <x:f>ROUND((AB71+SQRT(AB71^2+4*AB71*'参数'!$B$22*U71))/2,0)</x:f>
        <x:v>872</x:v>
      </x:c>
      <x:c r="M71" s="19" t="n">
        <x:f>ROUND(I71*'参数'!$B$24,0)</x:f>
        <x:v>200</x:v>
      </x:c>
      <x:c r="N71" s="19" t="n">
        <x:f>'参数'!$B$9*'参数'!$B$10^(D71-1)</x:f>
        <x:v>1738.9669968016035</x:v>
      </x:c>
      <x:c r="O71" s="19" t="n">
        <x:f>'参数'!$B$18*'参数'!$B$19^(MIN(E71,MAX(1,5*INT(D71/5)))-1)*F71*'参数'!$J$26*P71</x:f>
        <x:v>130.00783229149147</x:v>
      </x:c>
      <x:c r="P71" s="22" t="n">
        <x:f>MIN(1,(D71-1)/19)</x:f>
        <x:v>1</x:v>
      </x:c>
      <x:c r="Q71" s="19" t="n">
        <x:f>INDEX('角色成长'!$F$6:$F$105,D71)+O71*'参数'!$K$21</x:f>
        <x:v>801.5223220307507</x:v>
      </x:c>
      <x:c r="R71" s="19" t="n">
        <x:f>INDEX('角色成长'!$I$6:$I$105,D71)+O71*'参数'!$K$21</x:f>
        <x:v>681.5223220307507</x:v>
      </x:c>
      <x:c r="S71" s="19" t="n">
        <x:f>INDEX('角色成长'!$L$6:$L$105,D71)+O71*'参数'!$K$21</x:f>
        <x:v>612.5223220307507</x:v>
      </x:c>
      <x:c r="T71" s="19" t="n">
        <x:f>(INDEX('角色成长'!$J$6:$J$105,D71)+O71*'参数'!$L$21)*(1+'参数'!$B$40*P71)</x:f>
        <x:v>9068.591264558223</x:v>
      </x:c>
      <x:c r="U71" s="19" t="n">
        <x:f>(INDEX('角色成长'!$K$6:$K$105,D71)+O71*'参数'!$M$21)*(1+'参数'!$B$41*P71)</x:f>
        <x:v>496.66507716112113</x:v>
      </x:c>
      <x:c r="V71" s="19" t="n">
        <x:f>(('参数'!$K$5*(((Q71*(1+'参数'!$B$39*P71))^2/((Q71*(1+'参数'!$B$39*P71))+'参数'!$B$22*(I71)))*(1+'参数'!$B$42*P71)/'参数'!$J$5+((Q71*'参数'!$B$43*(1+'参数'!$B$39*P71))^2/((Q71*'参数'!$B$43*(1+'参数'!$B$39*P71))+'参数'!$B$22*(I71)))/'参数'!$B$44))+(((R71*(1+'参数'!$B$39*P71))^2/((R71*(1+'参数'!$B$39*P71))+'参数'!$B$22*(I71)))*(1+'参数'!$B$42*P71)/'参数'!$J$6+((R71*'参数'!$B$45*(1+'参数'!$B$39*P71))^2/((R71*'参数'!$B$45*(1+'参数'!$B$39*P71))+'参数'!$B$22*(I71)))/'参数'!$B$46)+((S71*(1+'参数'!$B$39*P71))^2/((S71*(1+'参数'!$B$39*P71))+'参数'!$B$22*(I71)))*(1+'参数'!$B$42*P71)/'参数'!$J$7)*(1+'参数'!$B$37*('参数'!$B$38-1))*'参数'!$B$25</x:f>
        <x:v>5385.429656720633</x:v>
      </x:c>
      <x:c r="W71" s="19" t="n">
        <x:f>(('参数'!$K$5*(((Q71*(1+'参数'!$B$39*P71))^2/((Q71*(1+'参数'!$B$39*P71))+'参数'!$B$22*(M71)))*(1+'参数'!$B$42*P71)/'参数'!$J$5+((Q71*'参数'!$B$43*(1+'参数'!$B$39*P71))^2/((Q71*'参数'!$B$43*(1+'参数'!$B$39*P71))+'参数'!$B$22*(M71)))/'参数'!$B$44))+(((R71*(1+'参数'!$B$39*P71))^2/((R71*(1+'参数'!$B$39*P71))+'参数'!$B$22*(M71)))*(1+'参数'!$B$42*P71)/'参数'!$J$6+((R71*'参数'!$B$45*(1+'参数'!$B$39*P71))^2/((R71*'参数'!$B$45*(1+'参数'!$B$39*P71))+'参数'!$B$22*(M71)))/'参数'!$B$46)+((S71*(1+'参数'!$B$39*P71))^2/((S71*(1+'参数'!$B$39*P71))+'参数'!$B$22*(M71)))*(1+'参数'!$B$42*P71)/'参数'!$J$7)*(1+'参数'!$B$37*('参数'!$B$38-1))</x:f>
        <x:v>4148.44291753704</x:v>
      </x:c>
      <x:c r="X71" s="26" t="n">
        <x:f>('参数'!$B$26+'参数'!$B$27*(D71-1)/99)*'参数'!$K$26*AD71</x:f>
        <x:v>14.181818181818182</x:v>
      </x:c>
      <x:c r="Y71" s="26" t="n">
        <x:f>('参数'!$B$28+'参数'!$B$29*(D71-1)/99)*'参数'!$K$26*AD71*IF(AE71=1,'参数'!$B$51,1)</x:f>
        <x:v>37.27272727272727</x:v>
      </x:c>
      <x:c r="Z71" s="22" t="n">
        <x:f>MIN('参数'!$B$36,U71/(U71+'参数'!$B$35))</x:f>
        <x:v>0.11045187236285799</x:v>
      </x:c>
      <x:c r="AA71" s="19" t="n">
        <x:f>T71*'参数'!$B$30/('参数'!$B$32*'参数'!$B$33)/(1-Z71)*AC71</x:f>
        <x:v>254.86511023992108</x:v>
      </x:c>
      <x:c r="AB71" s="19" t="n">
        <x:f>T71*'参数'!$B$31/'参数'!$B$34/(1-Z71)*AC71</x:f>
        <x:v>509.73022047984216</x:v>
      </x:c>
      <x:c r="AC71" s="20" t="n">
        <x:f>'参数'!$L$26*1</x:f>
        <x:v>1</x:v>
      </x:c>
      <x:c r="AD71" s="20" t="n">
        <x:f>1</x:f>
        <x:v>1</x:v>
      </x:c>
      <x:c r="AE71" s="19" t="n">
        <x:f>IF(MOD(B71,12)=0,1,0)</x:f>
        <x:v>0</x:v>
      </x:c>
    </x:row>
    <x:row r="72" ht="22" customHeight="1">
      <x:c r="A72" s="18" t="str">
        <x:v>简单</x:v>
      </x:c>
      <x:c r="B72" s="18" t="n">
        <x:v>67</x:v>
      </x:c>
      <x:c r="C72" s="18" t="n">
        <x:f>ROUNDUP(B72/12,0)</x:f>
        <x:v>6</x:v>
      </x:c>
      <x:c r="D72" s="18" t="n">
        <x:f>ROUND(MAX('参数'!$G$26,E72)+(IF(C72&lt;10,INDEX('参数'!$G$34:$P$34,1,MIN(10,C72+1)),'参数'!$H$26)-MAX('参数'!$G$26,E72))*MOD(B72-1,12)/11,0)</x:f>
        <x:v>38</x:v>
      </x:c>
      <x:c r="E72" s="18" t="n">
        <x:f>INDEX('参数'!$G$34:$P$34,1,C72)</x:f>
        <x:v>35</x:v>
      </x:c>
      <x:c r="F72" s="15" t="n">
        <x:f>'参数'!$I$26</x:f>
        <x:v>1.05</x:v>
      </x:c>
      <x:c r="G72" s="18" t="n">
        <x:f>ROUND(V72*X72/'参数'!$B$56,0)</x:f>
        <x:v>16963</x:v>
      </x:c>
      <x:c r="H72" s="18" t="n">
        <x:f>ROUND((AA72+SQRT(AA72^2+4*AA72*'参数'!$B$22*U72))/2,0)</x:f>
        <x:v>558</x:v>
      </x:c>
      <x:c r="I72" s="18" t="n">
        <x:f>ROUND(Q72*'参数'!$B$23/'参数'!$B$22,0)</x:f>
        <x:v>163</x:v>
      </x:c>
      <x:c r="J72" s="18" t="n">
        <x:f>ROUND(G72*'参数'!$B$50,0)</x:f>
        <x:v>50889</x:v>
      </x:c>
      <x:c r="K72" s="18" t="n">
        <x:f>ROUND(W72*Y72,0)</x:f>
        <x:v>158118</x:v>
      </x:c>
      <x:c r="L72" s="18" t="n">
        <x:f>ROUND((AB72+SQRT(AB72^2+4*AB72*'参数'!$B$22*U72))/2,0)</x:f>
        <x:v>893</x:v>
      </x:c>
      <x:c r="M72" s="18" t="n">
        <x:f>ROUND(I72*'参数'!$B$24,0)</x:f>
        <x:v>204</x:v>
      </x:c>
      <x:c r="N72" s="18" t="n">
        <x:f>'参数'!$B$9*'参数'!$B$10^(D72-1)</x:f>
        <x:v>1791.1360067056514</x:v>
      </x:c>
      <x:c r="O72" s="18" t="n">
        <x:f>'参数'!$B$18*'参数'!$B$19^(MIN(E72,MAX(1,5*INT(D72/5)))-1)*F72*'参数'!$J$26*P72</x:f>
        <x:v>130.00783229149147</x:v>
      </x:c>
      <x:c r="P72" s="21" t="n">
        <x:f>MIN(1,(D72-1)/19)</x:f>
        <x:v>1</x:v>
      </x:c>
      <x:c r="Q72" s="18" t="n">
        <x:f>INDEX('角色成长'!$F$6:$F$105,D72)+O72*'参数'!$K$21</x:f>
        <x:v>816.5223220307507</x:v>
      </x:c>
      <x:c r="R72" s="18" t="n">
        <x:f>INDEX('角色成长'!$I$6:$I$105,D72)+O72*'参数'!$K$21</x:f>
        <x:v>691.5223220307507</x:v>
      </x:c>
      <x:c r="S72" s="18" t="n">
        <x:f>INDEX('角色成长'!$L$6:$L$105,D72)+O72*'参数'!$K$21</x:f>
        <x:v>620.5223220307507</x:v>
      </x:c>
      <x:c r="T72" s="18" t="n">
        <x:f>(INDEX('角色成长'!$J$6:$J$105,D72)+O72*'参数'!$L$21)*(1+'参数'!$B$40*P72)</x:f>
        <x:v>9280.891264558222</x:v>
      </x:c>
      <x:c r="U72" s="18" t="n">
        <x:f>(INDEX('角色成长'!$K$6:$K$105,D72)+O72*'参数'!$M$21)*(1+'参数'!$B$41*P72)</x:f>
        <x:v>505.46507716112114</x:v>
      </x:c>
      <x:c r="V72" s="18" t="n">
        <x:f>(('参数'!$K$5*(((Q72*(1+'参数'!$B$39*P72))^2/((Q72*(1+'参数'!$B$39*P72))+'参数'!$B$22*(I72)))*(1+'参数'!$B$42*P72)/'参数'!$J$5+((Q72*'参数'!$B$43*(1+'参数'!$B$39*P72))^2/((Q72*'参数'!$B$43*(1+'参数'!$B$39*P72))+'参数'!$B$22*(I72)))/'参数'!$B$44))+(((R72*(1+'参数'!$B$39*P72))^2/((R72*(1+'参数'!$B$39*P72))+'参数'!$B$22*(I72)))*(1+'参数'!$B$42*P72)/'参数'!$J$6+((R72*'参数'!$B$45*(1+'参数'!$B$39*P72))^2/((R72*'参数'!$B$45*(1+'参数'!$B$39*P72))+'参数'!$B$22*(I72)))/'参数'!$B$46)+((S72*(1+'参数'!$B$39*P72))^2/((S72*(1+'参数'!$B$39*P72))+'参数'!$B$22*(I72)))*(1+'参数'!$B$42*P72)/'参数'!$J$7)*(1+'参数'!$B$37*('参数'!$B$38-1))*'参数'!$B$25</x:f>
        <x:v>5478.837673559214</x:v>
      </x:c>
      <x:c r="W72" s="18" t="n">
        <x:f>(('参数'!$K$5*(((Q72*(1+'参数'!$B$39*P72))^2/((Q72*(1+'参数'!$B$39*P72))+'参数'!$B$22*(M72)))*(1+'参数'!$B$42*P72)/'参数'!$J$5+((Q72*'参数'!$B$43*(1+'参数'!$B$39*P72))^2/((Q72*'参数'!$B$43*(1+'参数'!$B$39*P72))+'参数'!$B$22*(M72)))/'参数'!$B$44))+(((R72*(1+'参数'!$B$39*P72))^2/((R72*(1+'参数'!$B$39*P72))+'参数'!$B$22*(M72)))*(1+'参数'!$B$42*P72)/'参数'!$J$6+((R72*'参数'!$B$45*(1+'参数'!$B$39*P72))^2/((R72*'参数'!$B$45*(1+'参数'!$B$39*P72))+'参数'!$B$22*(M72)))/'参数'!$B$46)+((S72*(1+'参数'!$B$39*P72))^2/((S72*(1+'参数'!$B$39*P72))+'参数'!$B$22*(M72)))*(1+'参数'!$B$42*P72)/'参数'!$J$7)*(1+'参数'!$B$37*('参数'!$B$38-1))</x:f>
        <x:v>4219.317167338821</x:v>
      </x:c>
      <x:c r="X72" s="25" t="n">
        <x:f>('参数'!$B$26+'参数'!$B$27*(D72-1)/99)*'参数'!$K$26*AD72</x:f>
        <x:v>14.242424242424242</x:v>
      </x:c>
      <x:c r="Y72" s="25" t="n">
        <x:f>('参数'!$B$28+'参数'!$B$29*(D72-1)/99)*'参数'!$K$26*AD72*IF(AE72=1,'参数'!$B$51,1)</x:f>
        <x:v>37.474747474747474</x:v>
      </x:c>
      <x:c r="Z72" s="21" t="n">
        <x:f>MIN('参数'!$B$36,U72/(U72+'参数'!$B$35))</x:f>
        <x:v>0.11218932307863165</x:v>
      </x:c>
      <x:c r="AA72" s="18" t="n">
        <x:f>T72*'参数'!$B$30/('参数'!$B$32*'参数'!$B$33)/(1-Z72)*AC72</x:f>
        <x:v>261.3420717337299</x:v>
      </x:c>
      <x:c r="AB72" s="18" t="n">
        <x:f>T72*'参数'!$B$31/'参数'!$B$34/(1-Z72)*AC72</x:f>
        <x:v>522.6841434674598</x:v>
      </x:c>
      <x:c r="AC72" s="15" t="n">
        <x:f>'参数'!$L$26*1</x:f>
        <x:v>1</x:v>
      </x:c>
      <x:c r="AD72" s="15" t="n">
        <x:f>1</x:f>
        <x:v>1</x:v>
      </x:c>
      <x:c r="AE72" s="18" t="n">
        <x:f>IF(MOD(B72,12)=0,1,0)</x:f>
        <x:v>0</x:v>
      </x:c>
    </x:row>
    <x:row r="73" ht="22" customHeight="1">
      <x:c r="A73" s="19" t="str">
        <x:v>简单</x:v>
      </x:c>
      <x:c r="B73" s="19" t="n">
        <x:v>68</x:v>
      </x:c>
      <x:c r="C73" s="19" t="n">
        <x:f>ROUNDUP(B73/12,0)</x:f>
        <x:v>6</x:v>
      </x:c>
      <x:c r="D73" s="19" t="n">
        <x:f>ROUND(MAX('参数'!$G$26,E73)+(IF(C73&lt;10,INDEX('参数'!$G$34:$P$34,1,MIN(10,C73+1)),'参数'!$H$26)-MAX('参数'!$G$26,E73))*MOD(B73-1,12)/11,0)</x:f>
        <x:v>38</x:v>
      </x:c>
      <x:c r="E73" s="19" t="n">
        <x:f>INDEX('参数'!$G$34:$P$34,1,C73)</x:f>
        <x:v>35</x:v>
      </x:c>
      <x:c r="F73" s="20" t="n">
        <x:f>'参数'!$I$26</x:f>
        <x:v>1.05</x:v>
      </x:c>
      <x:c r="G73" s="19" t="n">
        <x:f>ROUND(V73*X73/'参数'!$B$56,0)</x:f>
        <x:v>16963</x:v>
      </x:c>
      <x:c r="H73" s="19" t="n">
        <x:f>ROUND((AA73+SQRT(AA73^2+4*AA73*'参数'!$B$22*U73))/2,0)</x:f>
        <x:v>558</x:v>
      </x:c>
      <x:c r="I73" s="19" t="n">
        <x:f>ROUND(Q73*'参数'!$B$23/'参数'!$B$22,0)</x:f>
        <x:v>163</x:v>
      </x:c>
      <x:c r="J73" s="19" t="n">
        <x:f>ROUND(G73*'参数'!$B$50,0)</x:f>
        <x:v>50889</x:v>
      </x:c>
      <x:c r="K73" s="19" t="n">
        <x:f>ROUND(W73*Y73,0)</x:f>
        <x:v>158118</x:v>
      </x:c>
      <x:c r="L73" s="19" t="n">
        <x:f>ROUND((AB73+SQRT(AB73^2+4*AB73*'参数'!$B$22*U73))/2,0)</x:f>
        <x:v>893</x:v>
      </x:c>
      <x:c r="M73" s="19" t="n">
        <x:f>ROUND(I73*'参数'!$B$24,0)</x:f>
        <x:v>204</x:v>
      </x:c>
      <x:c r="N73" s="19" t="n">
        <x:f>'参数'!$B$9*'参数'!$B$10^(D73-1)</x:f>
        <x:v>1791.1360067056514</x:v>
      </x:c>
      <x:c r="O73" s="19" t="n">
        <x:f>'参数'!$B$18*'参数'!$B$19^(MIN(E73,MAX(1,5*INT(D73/5)))-1)*F73*'参数'!$J$26*P73</x:f>
        <x:v>130.00783229149147</x:v>
      </x:c>
      <x:c r="P73" s="22" t="n">
        <x:f>MIN(1,(D73-1)/19)</x:f>
        <x:v>1</x:v>
      </x:c>
      <x:c r="Q73" s="19" t="n">
        <x:f>INDEX('角色成长'!$F$6:$F$105,D73)+O73*'参数'!$K$21</x:f>
        <x:v>816.5223220307507</x:v>
      </x:c>
      <x:c r="R73" s="19" t="n">
        <x:f>INDEX('角色成长'!$I$6:$I$105,D73)+O73*'参数'!$K$21</x:f>
        <x:v>691.5223220307507</x:v>
      </x:c>
      <x:c r="S73" s="19" t="n">
        <x:f>INDEX('角色成长'!$L$6:$L$105,D73)+O73*'参数'!$K$21</x:f>
        <x:v>620.5223220307507</x:v>
      </x:c>
      <x:c r="T73" s="19" t="n">
        <x:f>(INDEX('角色成长'!$J$6:$J$105,D73)+O73*'参数'!$L$21)*(1+'参数'!$B$40*P73)</x:f>
        <x:v>9280.891264558222</x:v>
      </x:c>
      <x:c r="U73" s="19" t="n">
        <x:f>(INDEX('角色成长'!$K$6:$K$105,D73)+O73*'参数'!$M$21)*(1+'参数'!$B$41*P73)</x:f>
        <x:v>505.46507716112114</x:v>
      </x:c>
      <x:c r="V73" s="19" t="n">
        <x:f>(('参数'!$K$5*(((Q73*(1+'参数'!$B$39*P73))^2/((Q73*(1+'参数'!$B$39*P73))+'参数'!$B$22*(I73)))*(1+'参数'!$B$42*P73)/'参数'!$J$5+((Q73*'参数'!$B$43*(1+'参数'!$B$39*P73))^2/((Q73*'参数'!$B$43*(1+'参数'!$B$39*P73))+'参数'!$B$22*(I73)))/'参数'!$B$44))+(((R73*(1+'参数'!$B$39*P73))^2/((R73*(1+'参数'!$B$39*P73))+'参数'!$B$22*(I73)))*(1+'参数'!$B$42*P73)/'参数'!$J$6+((R73*'参数'!$B$45*(1+'参数'!$B$39*P73))^2/((R73*'参数'!$B$45*(1+'参数'!$B$39*P73))+'参数'!$B$22*(I73)))/'参数'!$B$46)+((S73*(1+'参数'!$B$39*P73))^2/((S73*(1+'参数'!$B$39*P73))+'参数'!$B$22*(I73)))*(1+'参数'!$B$42*P73)/'参数'!$J$7)*(1+'参数'!$B$37*('参数'!$B$38-1))*'参数'!$B$25</x:f>
        <x:v>5478.837673559214</x:v>
      </x:c>
      <x:c r="W73" s="19" t="n">
        <x:f>(('参数'!$K$5*(((Q73*(1+'参数'!$B$39*P73))^2/((Q73*(1+'参数'!$B$39*P73))+'参数'!$B$22*(M73)))*(1+'参数'!$B$42*P73)/'参数'!$J$5+((Q73*'参数'!$B$43*(1+'参数'!$B$39*P73))^2/((Q73*'参数'!$B$43*(1+'参数'!$B$39*P73))+'参数'!$B$22*(M73)))/'参数'!$B$44))+(((R73*(1+'参数'!$B$39*P73))^2/((R73*(1+'参数'!$B$39*P73))+'参数'!$B$22*(M73)))*(1+'参数'!$B$42*P73)/'参数'!$J$6+((R73*'参数'!$B$45*(1+'参数'!$B$39*P73))^2/((R73*'参数'!$B$45*(1+'参数'!$B$39*P73))+'参数'!$B$22*(M73)))/'参数'!$B$46)+((S73*(1+'参数'!$B$39*P73))^2/((S73*(1+'参数'!$B$39*P73))+'参数'!$B$22*(M73)))*(1+'参数'!$B$42*P73)/'参数'!$J$7)*(1+'参数'!$B$37*('参数'!$B$38-1))</x:f>
        <x:v>4219.317167338821</x:v>
      </x:c>
      <x:c r="X73" s="26" t="n">
        <x:f>('参数'!$B$26+'参数'!$B$27*(D73-1)/99)*'参数'!$K$26*AD73</x:f>
        <x:v>14.242424242424242</x:v>
      </x:c>
      <x:c r="Y73" s="26" t="n">
        <x:f>('参数'!$B$28+'参数'!$B$29*(D73-1)/99)*'参数'!$K$26*AD73*IF(AE73=1,'参数'!$B$51,1)</x:f>
        <x:v>37.474747474747474</x:v>
      </x:c>
      <x:c r="Z73" s="22" t="n">
        <x:f>MIN('参数'!$B$36,U73/(U73+'参数'!$B$35))</x:f>
        <x:v>0.11218932307863165</x:v>
      </x:c>
      <x:c r="AA73" s="19" t="n">
        <x:f>T73*'参数'!$B$30/('参数'!$B$32*'参数'!$B$33)/(1-Z73)*AC73</x:f>
        <x:v>261.3420717337299</x:v>
      </x:c>
      <x:c r="AB73" s="19" t="n">
        <x:f>T73*'参数'!$B$31/'参数'!$B$34/(1-Z73)*AC73</x:f>
        <x:v>522.6841434674598</x:v>
      </x:c>
      <x:c r="AC73" s="20" t="n">
        <x:f>'参数'!$L$26*1</x:f>
        <x:v>1</x:v>
      </x:c>
      <x:c r="AD73" s="20" t="n">
        <x:f>1</x:f>
        <x:v>1</x:v>
      </x:c>
      <x:c r="AE73" s="19" t="n">
        <x:f>IF(MOD(B73,12)=0,1,0)</x:f>
        <x:v>0</x:v>
      </x:c>
    </x:row>
    <x:row r="74" ht="22" customHeight="1">
      <x:c r="A74" s="18" t="str">
        <x:v>简单</x:v>
      </x:c>
      <x:c r="B74" s="18" t="n">
        <x:v>69</x:v>
      </x:c>
      <x:c r="C74" s="18" t="n">
        <x:f>ROUNDUP(B74/12,0)</x:f>
        <x:v>6</x:v>
      </x:c>
      <x:c r="D74" s="18" t="n">
        <x:f>ROUND(MAX('参数'!$G$26,E74)+(IF(C74&lt;10,INDEX('参数'!$G$34:$P$34,1,MIN(10,C74+1)),'参数'!$H$26)-MAX('参数'!$G$26,E74))*MOD(B74-1,12)/11,0)</x:f>
        <x:v>39</x:v>
      </x:c>
      <x:c r="E74" s="18" t="n">
        <x:f>INDEX('参数'!$G$34:$P$34,1,C74)</x:f>
        <x:v>35</x:v>
      </x:c>
      <x:c r="F74" s="15" t="n">
        <x:f>'参数'!$I$26</x:f>
        <x:v>1.05</x:v>
      </x:c>
      <x:c r="G74" s="18" t="n">
        <x:f>ROUND(V74*X74/'参数'!$B$56,0)</x:f>
        <x:v>17340</x:v>
      </x:c>
      <x:c r="H74" s="18" t="n">
        <x:f>ROUND((AA74+SQRT(AA74^2+4*AA74*'参数'!$B$22*U74))/2,0)</x:f>
        <x:v>570</x:v>
      </x:c>
      <x:c r="I74" s="18" t="n">
        <x:f>ROUND(Q74*'参数'!$B$23/'参数'!$B$22,0)</x:f>
        <x:v>167</x:v>
      </x:c>
      <x:c r="J74" s="18" t="n">
        <x:f>ROUND(G74*'参数'!$B$50,0)</x:f>
        <x:v>52020</x:v>
      </x:c>
      <x:c r="K74" s="18" t="n">
        <x:f>ROUND(W74*Y74,0)</x:f>
        <x:v>161783</x:v>
      </x:c>
      <x:c r="L74" s="18" t="n">
        <x:f>ROUND((AB74+SQRT(AB74^2+4*AB74*'参数'!$B$22*U74))/2,0)</x:f>
        <x:v>913</x:v>
      </x:c>
      <x:c r="M74" s="18" t="n">
        <x:f>ROUND(I74*'参数'!$B$24,0)</x:f>
        <x:v>209</x:v>
      </x:c>
      <x:c r="N74" s="18" t="n">
        <x:f>'参数'!$B$9*'参数'!$B$10^(D74-1)</x:f>
        <x:v>1844.8700869068214</x:v>
      </x:c>
      <x:c r="O74" s="18" t="n">
        <x:f>'参数'!$B$18*'参数'!$B$19^(MIN(E74,MAX(1,5*INT(D74/5)))-1)*F74*'参数'!$J$26*P74</x:f>
        <x:v>130.00783229149147</x:v>
      </x:c>
      <x:c r="P74" s="21" t="n">
        <x:f>MIN(1,(D74-1)/19)</x:f>
        <x:v>1</x:v>
      </x:c>
      <x:c r="Q74" s="18" t="n">
        <x:f>INDEX('角色成长'!$F$6:$F$105,D74)+O74*'参数'!$K$21</x:f>
        <x:v>832.5223220307507</x:v>
      </x:c>
      <x:c r="R74" s="18" t="n">
        <x:f>INDEX('角色成长'!$I$6:$I$105,D74)+O74*'参数'!$K$21</x:f>
        <x:v>703.5223220307507</x:v>
      </x:c>
      <x:c r="S74" s="18" t="n">
        <x:f>INDEX('角色成长'!$L$6:$L$105,D74)+O74*'参数'!$K$21</x:f>
        <x:v>629.5223220307507</x:v>
      </x:c>
      <x:c r="T74" s="18" t="n">
        <x:f>(INDEX('角色成长'!$J$6:$J$105,D74)+O74*'参数'!$L$21)*(1+'参数'!$B$40*P74)</x:f>
        <x:v>9500.891264558222</x:v>
      </x:c>
      <x:c r="U74" s="18" t="n">
        <x:f>(INDEX('角色成长'!$K$6:$K$105,D74)+O74*'参数'!$M$21)*(1+'参数'!$B$41*P74)</x:f>
        <x:v>514.2650771611211</x:v>
      </x:c>
      <x:c r="V74" s="18" t="n">
        <x:f>(('参数'!$K$5*(((Q74*(1+'参数'!$B$39*P74))^2/((Q74*(1+'参数'!$B$39*P74))+'参数'!$B$22*(I74)))*(1+'参数'!$B$42*P74)/'参数'!$J$5+((Q74*'参数'!$B$43*(1+'参数'!$B$39*P74))^2/((Q74*'参数'!$B$43*(1+'参数'!$B$39*P74))+'参数'!$B$22*(I74)))/'参数'!$B$44))+(((R74*(1+'参数'!$B$39*P74))^2/((R74*(1+'参数'!$B$39*P74))+'参数'!$B$22*(I74)))*(1+'参数'!$B$42*P74)/'参数'!$J$6+((R74*'参数'!$B$45*(1+'参数'!$B$39*P74))^2/((R74*'参数'!$B$45*(1+'参数'!$B$39*P74))+'参数'!$B$22*(I74)))/'参数'!$B$46)+((S74*(1+'参数'!$B$39*P74))^2/((S74*(1+'参数'!$B$39*P74))+'参数'!$B$22*(I74)))*(1+'参数'!$B$42*P74)/'参数'!$J$7)*(1+'参数'!$B$37*('参数'!$B$38-1))*'参数'!$B$25</x:f>
        <x:v>5576.67541150544</x:v>
      </x:c>
      <x:c r="W74" s="18" t="n">
        <x:f>(('参数'!$K$5*(((Q74*(1+'参数'!$B$39*P74))^2/((Q74*(1+'参数'!$B$39*P74))+'参数'!$B$22*(M74)))*(1+'参数'!$B$42*P74)/'参数'!$J$5+((Q74*'参数'!$B$43*(1+'参数'!$B$39*P74))^2/((Q74*'参数'!$B$43*(1+'参数'!$B$39*P74))+'参数'!$B$22*(M74)))/'参数'!$B$44))+(((R74*(1+'参数'!$B$39*P74))^2/((R74*(1+'参数'!$B$39*P74))+'参数'!$B$22*(M74)))*(1+'参数'!$B$42*P74)/'参数'!$J$6+((R74*'参数'!$B$45*(1+'参数'!$B$39*P74))^2/((R74*'参数'!$B$45*(1+'参数'!$B$39*P74))+'参数'!$B$22*(M74)))/'参数'!$B$46)+((S74*(1+'参数'!$B$39*P74))^2/((S74*(1+'参数'!$B$39*P74))+'参数'!$B$22*(M74)))*(1+'参数'!$B$42*P74)/'参数'!$J$7)*(1+'参数'!$B$37*('参数'!$B$38-1))</x:f>
        <x:v>4293.971214756596</x:v>
      </x:c>
      <x:c r="X74" s="25" t="n">
        <x:f>('参数'!$B$26+'参数'!$B$27*(D74-1)/99)*'参数'!$K$26*AD74</x:f>
        <x:v>14.303030303030303</x:v>
      </x:c>
      <x:c r="Y74" s="25" t="n">
        <x:f>('参数'!$B$28+'参数'!$B$29*(D74-1)/99)*'参数'!$K$26*AD74*IF(AE74=1,'参数'!$B$51,1)</x:f>
        <x:v>37.676767676767675</x:v>
      </x:c>
      <x:c r="Z74" s="21" t="n">
        <x:f>MIN('参数'!$B$36,U74/(U74+'参数'!$B$35))</x:f>
        <x:v>0.11391999990495158</x:v>
      </x:c>
      <x:c r="AA74" s="18" t="n">
        <x:f>T74*'参数'!$B$30/('参数'!$B$32*'参数'!$B$33)/(1-Z74)*AC74</x:f>
        <x:v>268.05963523437714</x:v>
      </x:c>
      <x:c r="AB74" s="18" t="n">
        <x:f>T74*'参数'!$B$31/'参数'!$B$34/(1-Z74)*AC74</x:f>
        <x:v>536.1192704687543</x:v>
      </x:c>
      <x:c r="AC74" s="15" t="n">
        <x:f>'参数'!$L$26*1</x:f>
        <x:v>1</x:v>
      </x:c>
      <x:c r="AD74" s="15" t="n">
        <x:f>1</x:f>
        <x:v>1</x:v>
      </x:c>
      <x:c r="AE74" s="18" t="n">
        <x:f>IF(MOD(B74,12)=0,1,0)</x:f>
        <x:v>0</x:v>
      </x:c>
    </x:row>
    <x:row r="75" ht="22" customHeight="1">
      <x:c r="A75" s="19" t="str">
        <x:v>简单</x:v>
      </x:c>
      <x:c r="B75" s="19" t="n">
        <x:v>70</x:v>
      </x:c>
      <x:c r="C75" s="19" t="n">
        <x:f>ROUNDUP(B75/12,0)</x:f>
        <x:v>6</x:v>
      </x:c>
      <x:c r="D75" s="19" t="n">
        <x:f>ROUND(MAX('参数'!$G$26,E75)+(IF(C75&lt;10,INDEX('参数'!$G$34:$P$34,1,MIN(10,C75+1)),'参数'!$H$26)-MAX('参数'!$G$26,E75))*MOD(B75-1,12)/11,0)</x:f>
        <x:v>39</x:v>
      </x:c>
      <x:c r="E75" s="19" t="n">
        <x:f>INDEX('参数'!$G$34:$P$34,1,C75)</x:f>
        <x:v>35</x:v>
      </x:c>
      <x:c r="F75" s="20" t="n">
        <x:f>'参数'!$I$26</x:f>
        <x:v>1.05</x:v>
      </x:c>
      <x:c r="G75" s="19" t="n">
        <x:f>ROUND(V75*X75/'参数'!$B$56,0)</x:f>
        <x:v>17340</x:v>
      </x:c>
      <x:c r="H75" s="19" t="n">
        <x:f>ROUND((AA75+SQRT(AA75^2+4*AA75*'参数'!$B$22*U75))/2,0)</x:f>
        <x:v>570</x:v>
      </x:c>
      <x:c r="I75" s="19" t="n">
        <x:f>ROUND(Q75*'参数'!$B$23/'参数'!$B$22,0)</x:f>
        <x:v>167</x:v>
      </x:c>
      <x:c r="J75" s="19" t="n">
        <x:f>ROUND(G75*'参数'!$B$50,0)</x:f>
        <x:v>52020</x:v>
      </x:c>
      <x:c r="K75" s="19" t="n">
        <x:f>ROUND(W75*Y75,0)</x:f>
        <x:v>161783</x:v>
      </x:c>
      <x:c r="L75" s="19" t="n">
        <x:f>ROUND((AB75+SQRT(AB75^2+4*AB75*'参数'!$B$22*U75))/2,0)</x:f>
        <x:v>913</x:v>
      </x:c>
      <x:c r="M75" s="19" t="n">
        <x:f>ROUND(I75*'参数'!$B$24,0)</x:f>
        <x:v>209</x:v>
      </x:c>
      <x:c r="N75" s="19" t="n">
        <x:f>'参数'!$B$9*'参数'!$B$10^(D75-1)</x:f>
        <x:v>1844.8700869068214</x:v>
      </x:c>
      <x:c r="O75" s="19" t="n">
        <x:f>'参数'!$B$18*'参数'!$B$19^(MIN(E75,MAX(1,5*INT(D75/5)))-1)*F75*'参数'!$J$26*P75</x:f>
        <x:v>130.00783229149147</x:v>
      </x:c>
      <x:c r="P75" s="22" t="n">
        <x:f>MIN(1,(D75-1)/19)</x:f>
        <x:v>1</x:v>
      </x:c>
      <x:c r="Q75" s="19" t="n">
        <x:f>INDEX('角色成长'!$F$6:$F$105,D75)+O75*'参数'!$K$21</x:f>
        <x:v>832.5223220307507</x:v>
      </x:c>
      <x:c r="R75" s="19" t="n">
        <x:f>INDEX('角色成长'!$I$6:$I$105,D75)+O75*'参数'!$K$21</x:f>
        <x:v>703.5223220307507</x:v>
      </x:c>
      <x:c r="S75" s="19" t="n">
        <x:f>INDEX('角色成长'!$L$6:$L$105,D75)+O75*'参数'!$K$21</x:f>
        <x:v>629.5223220307507</x:v>
      </x:c>
      <x:c r="T75" s="19" t="n">
        <x:f>(INDEX('角色成长'!$J$6:$J$105,D75)+O75*'参数'!$L$21)*(1+'参数'!$B$40*P75)</x:f>
        <x:v>9500.891264558222</x:v>
      </x:c>
      <x:c r="U75" s="19" t="n">
        <x:f>(INDEX('角色成长'!$K$6:$K$105,D75)+O75*'参数'!$M$21)*(1+'参数'!$B$41*P75)</x:f>
        <x:v>514.2650771611211</x:v>
      </x:c>
      <x:c r="V75" s="19" t="n">
        <x:f>(('参数'!$K$5*(((Q75*(1+'参数'!$B$39*P75))^2/((Q75*(1+'参数'!$B$39*P75))+'参数'!$B$22*(I75)))*(1+'参数'!$B$42*P75)/'参数'!$J$5+((Q75*'参数'!$B$43*(1+'参数'!$B$39*P75))^2/((Q75*'参数'!$B$43*(1+'参数'!$B$39*P75))+'参数'!$B$22*(I75)))/'参数'!$B$44))+(((R75*(1+'参数'!$B$39*P75))^2/((R75*(1+'参数'!$B$39*P75))+'参数'!$B$22*(I75)))*(1+'参数'!$B$42*P75)/'参数'!$J$6+((R75*'参数'!$B$45*(1+'参数'!$B$39*P75))^2/((R75*'参数'!$B$45*(1+'参数'!$B$39*P75))+'参数'!$B$22*(I75)))/'参数'!$B$46)+((S75*(1+'参数'!$B$39*P75))^2/((S75*(1+'参数'!$B$39*P75))+'参数'!$B$22*(I75)))*(1+'参数'!$B$42*P75)/'参数'!$J$7)*(1+'参数'!$B$37*('参数'!$B$38-1))*'参数'!$B$25</x:f>
        <x:v>5576.67541150544</x:v>
      </x:c>
      <x:c r="W75" s="19" t="n">
        <x:f>(('参数'!$K$5*(((Q75*(1+'参数'!$B$39*P75))^2/((Q75*(1+'参数'!$B$39*P75))+'参数'!$B$22*(M75)))*(1+'参数'!$B$42*P75)/'参数'!$J$5+((Q75*'参数'!$B$43*(1+'参数'!$B$39*P75))^2/((Q75*'参数'!$B$43*(1+'参数'!$B$39*P75))+'参数'!$B$22*(M75)))/'参数'!$B$44))+(((R75*(1+'参数'!$B$39*P75))^2/((R75*(1+'参数'!$B$39*P75))+'参数'!$B$22*(M75)))*(1+'参数'!$B$42*P75)/'参数'!$J$6+((R75*'参数'!$B$45*(1+'参数'!$B$39*P75))^2/((R75*'参数'!$B$45*(1+'参数'!$B$39*P75))+'参数'!$B$22*(M75)))/'参数'!$B$46)+((S75*(1+'参数'!$B$39*P75))^2/((S75*(1+'参数'!$B$39*P75))+'参数'!$B$22*(M75)))*(1+'参数'!$B$42*P75)/'参数'!$J$7)*(1+'参数'!$B$37*('参数'!$B$38-1))</x:f>
        <x:v>4293.971214756596</x:v>
      </x:c>
      <x:c r="X75" s="26" t="n">
        <x:f>('参数'!$B$26+'参数'!$B$27*(D75-1)/99)*'参数'!$K$26*AD75</x:f>
        <x:v>14.303030303030303</x:v>
      </x:c>
      <x:c r="Y75" s="26" t="n">
        <x:f>('参数'!$B$28+'参数'!$B$29*(D75-1)/99)*'参数'!$K$26*AD75*IF(AE75=1,'参数'!$B$51,1)</x:f>
        <x:v>37.676767676767675</x:v>
      </x:c>
      <x:c r="Z75" s="22" t="n">
        <x:f>MIN('参数'!$B$36,U75/(U75+'参数'!$B$35))</x:f>
        <x:v>0.11391999990495158</x:v>
      </x:c>
      <x:c r="AA75" s="19" t="n">
        <x:f>T75*'参数'!$B$30/('参数'!$B$32*'参数'!$B$33)/(1-Z75)*AC75</x:f>
        <x:v>268.05963523437714</x:v>
      </x:c>
      <x:c r="AB75" s="19" t="n">
        <x:f>T75*'参数'!$B$31/'参数'!$B$34/(1-Z75)*AC75</x:f>
        <x:v>536.1192704687543</x:v>
      </x:c>
      <x:c r="AC75" s="20" t="n">
        <x:f>'参数'!$L$26*1</x:f>
        <x:v>1</x:v>
      </x:c>
      <x:c r="AD75" s="20" t="n">
        <x:f>1</x:f>
        <x:v>1</x:v>
      </x:c>
      <x:c r="AE75" s="19" t="n">
        <x:f>IF(MOD(B75,12)=0,1,0)</x:f>
        <x:v>0</x:v>
      </x:c>
    </x:row>
    <x:row r="76" ht="22" customHeight="1">
      <x:c r="A76" s="18" t="str">
        <x:v>简单</x:v>
      </x:c>
      <x:c r="B76" s="18" t="n">
        <x:v>71</x:v>
      </x:c>
      <x:c r="C76" s="18" t="n">
        <x:f>ROUNDUP(B76/12,0)</x:f>
        <x:v>6</x:v>
      </x:c>
      <x:c r="D76" s="18" t="n">
        <x:f>ROUND(MAX('参数'!$G$26,E76)+(IF(C76&lt;10,INDEX('参数'!$G$34:$P$34,1,MIN(10,C76+1)),'参数'!$H$26)-MAX('参数'!$G$26,E76))*MOD(B76-1,12)/11,0)</x:f>
        <x:v>40</x:v>
      </x:c>
      <x:c r="E76" s="18" t="n">
        <x:f>INDEX('参数'!$G$34:$P$34,1,C76)</x:f>
        <x:v>35</x:v>
      </x:c>
      <x:c r="F76" s="15" t="n">
        <x:f>'参数'!$I$26</x:f>
        <x:v>1.05</x:v>
      </x:c>
      <x:c r="G76" s="18" t="n">
        <x:f>ROUND(V76*X76/'参数'!$B$56,0)</x:f>
        <x:v>17731</x:v>
      </x:c>
      <x:c r="H76" s="18" t="n">
        <x:f>ROUND((AA76+SQRT(AA76^2+4*AA76*'参数'!$B$22*U76))/2,0)</x:f>
        <x:v>584</x:v>
      </x:c>
      <x:c r="I76" s="18" t="n">
        <x:f>ROUND(Q76*'参数'!$B$23/'参数'!$B$22,0)</x:f>
        <x:v>170</x:v>
      </x:c>
      <x:c r="J76" s="18" t="n">
        <x:f>ROUND(G76*'参数'!$B$50,0)</x:f>
        <x:v>53193</x:v>
      </x:c>
      <x:c r="K76" s="18" t="n">
        <x:f>ROUND(W76*Y76,0)</x:f>
        <x:v>165581</x:v>
      </x:c>
      <x:c r="L76" s="18" t="n">
        <x:f>ROUND((AB76+SQRT(AB76^2+4*AB76*'参数'!$B$22*U76))/2,0)</x:f>
        <x:v>936</x:v>
      </x:c>
      <x:c r="M76" s="18" t="n">
        <x:f>ROUND(I76*'参数'!$B$24,0)</x:f>
        <x:v>213</x:v>
      </x:c>
      <x:c r="N76" s="18" t="n">
        <x:f>'参数'!$B$9*'参数'!$B$10^(D76-1)</x:f>
        <x:v>1900.2161895140257</x:v>
      </x:c>
      <x:c r="O76" s="18" t="n">
        <x:f>'参数'!$B$18*'参数'!$B$19^(MIN(E76,MAX(1,5*INT(D76/5)))-1)*F76*'参数'!$J$26*P76</x:f>
        <x:v>130.00783229149147</x:v>
      </x:c>
      <x:c r="P76" s="21" t="n">
        <x:f>MIN(1,(D76-1)/19)</x:f>
        <x:v>1</x:v>
      </x:c>
      <x:c r="Q76" s="18" t="n">
        <x:f>INDEX('角色成长'!$F$6:$F$105,D76)+O76*'参数'!$K$21</x:f>
        <x:v>848.5223220307507</x:v>
      </x:c>
      <x:c r="R76" s="18" t="n">
        <x:f>INDEX('角色成长'!$I$6:$I$105,D76)+O76*'参数'!$K$21</x:f>
        <x:v>714.5223220307507</x:v>
      </x:c>
      <x:c r="S76" s="18" t="n">
        <x:f>INDEX('角色成长'!$L$6:$L$105,D76)+O76*'参数'!$K$21</x:f>
        <x:v>638.5223220307507</x:v>
      </x:c>
      <x:c r="T76" s="18" t="n">
        <x:f>(INDEX('角色成长'!$J$6:$J$105,D76)+O76*'参数'!$L$21)*(1+'参数'!$B$40*P76)</x:f>
        <x:v>9728.591264558223</x:v>
      </x:c>
      <x:c r="U76" s="18" t="n">
        <x:f>(INDEX('角色成长'!$K$6:$K$105,D76)+O76*'参数'!$M$21)*(1+'参数'!$B$41*P76)</x:f>
        <x:v>524.1650771611211</x:v>
      </x:c>
      <x:c r="V76" s="18" t="n">
        <x:f>(('参数'!$K$5*(((Q76*(1+'参数'!$B$39*P76))^2/((Q76*(1+'参数'!$B$39*P76))+'参数'!$B$22*(I76)))*(1+'参数'!$B$42*P76)/'参数'!$J$5+((Q76*'参数'!$B$43*(1+'参数'!$B$39*P76))^2/((Q76*'参数'!$B$43*(1+'参数'!$B$39*P76))+'参数'!$B$22*(I76)))/'参数'!$B$44))+(((R76*(1+'参数'!$B$39*P76))^2/((R76*(1+'参数'!$B$39*P76))+'参数'!$B$22*(I76)))*(1+'参数'!$B$42*P76)/'参数'!$J$6+((R76*'参数'!$B$45*(1+'参数'!$B$39*P76))^2/((R76*'参数'!$B$45*(1+'参数'!$B$39*P76))+'参数'!$B$22*(I76)))/'参数'!$B$46)+((S76*(1+'参数'!$B$39*P76))^2/((S76*(1+'参数'!$B$39*P76))+'参数'!$B$22*(I76)))*(1+'参数'!$B$42*P76)/'参数'!$J$7)*(1+'参数'!$B$37*('参数'!$B$38-1))*'参数'!$B$25</x:f>
        <x:v>5678.291168929778</x:v>
      </x:c>
      <x:c r="W76" s="18" t="n">
        <x:f>(('参数'!$K$5*(((Q76*(1+'参数'!$B$39*P76))^2/((Q76*(1+'参数'!$B$39*P76))+'参数'!$B$22*(M76)))*(1+'参数'!$B$42*P76)/'参数'!$J$5+((Q76*'参数'!$B$43*(1+'参数'!$B$39*P76))^2/((Q76*'参数'!$B$43*(1+'参数'!$B$39*P76))+'参数'!$B$22*(M76)))/'参数'!$B$44))+(((R76*(1+'参数'!$B$39*P76))^2/((R76*(1+'参数'!$B$39*P76))+'参数'!$B$22*(M76)))*(1+'参数'!$B$42*P76)/'参数'!$J$6+((R76*'参数'!$B$45*(1+'参数'!$B$39*P76))^2/((R76*'参数'!$B$45*(1+'参数'!$B$39*P76))+'参数'!$B$22*(M76)))/'参数'!$B$46)+((S76*(1+'参数'!$B$39*P76))^2/((S76*(1+'参数'!$B$39*P76))+'参数'!$B$22*(M76)))*(1+'参数'!$B$42*P76)/'参数'!$J$7)*(1+'参数'!$B$37*('参数'!$B$38-1))</x:f>
        <x:v>4371.335249047424</x:v>
      </x:c>
      <x:c r="X76" s="25" t="n">
        <x:f>('参数'!$B$26+'参数'!$B$27*(D76-1)/99)*'参数'!$K$26*AD76</x:f>
        <x:v>14.363636363636363</x:v>
      </x:c>
      <x:c r="Y76" s="25" t="n">
        <x:f>('参数'!$B$28+'参数'!$B$29*(D76-1)/99)*'参数'!$K$26*AD76*IF(AE76=1,'参数'!$B$51,1)</x:f>
        <x:v>37.878787878787875</x:v>
      </x:c>
      <x:c r="Z76" s="21" t="n">
        <x:f>MIN('参数'!$B$36,U76/(U76+'参数'!$B$35))</x:f>
        <x:v>0.11585896363667407</x:v>
      </x:c>
      <x:c r="AA76" s="18" t="n">
        <x:f>T76*'参数'!$B$30/('参数'!$B$32*'参数'!$B$33)/(1-Z76)*AC76</x:f>
        <x:v>275.0859553068066</x:v>
      </x:c>
      <x:c r="AB76" s="18" t="n">
        <x:f>T76*'参数'!$B$31/'参数'!$B$34/(1-Z76)*AC76</x:f>
        <x:v>550.1719106136132</x:v>
      </x:c>
      <x:c r="AC76" s="15" t="n">
        <x:f>'参数'!$L$26*1</x:f>
        <x:v>1</x:v>
      </x:c>
      <x:c r="AD76" s="15" t="n">
        <x:f>1</x:f>
        <x:v>1</x:v>
      </x:c>
      <x:c r="AE76" s="18" t="n">
        <x:f>IF(MOD(B76,12)=0,1,0)</x:f>
        <x:v>0</x:v>
      </x:c>
    </x:row>
    <x:row r="77" ht="22" customHeight="1">
      <x:c r="A77" s="19" t="str">
        <x:v>简单</x:v>
      </x:c>
      <x:c r="B77" s="19" t="n">
        <x:v>72</x:v>
      </x:c>
      <x:c r="C77" s="19" t="n">
        <x:f>ROUNDUP(B77/12,0)</x:f>
        <x:v>6</x:v>
      </x:c>
      <x:c r="D77" s="19" t="n">
        <x:f>ROUND(MAX('参数'!$G$26,E77)+(IF(C77&lt;10,INDEX('参数'!$G$34:$P$34,1,MIN(10,C77+1)),'参数'!$H$26)-MAX('参数'!$G$26,E77))*MOD(B77-1,12)/11,0)</x:f>
        <x:v>40</x:v>
      </x:c>
      <x:c r="E77" s="19" t="n">
        <x:f>INDEX('参数'!$G$34:$P$34,1,C77)</x:f>
        <x:v>35</x:v>
      </x:c>
      <x:c r="F77" s="20" t="n">
        <x:f>'参数'!$I$26</x:f>
        <x:v>1.05</x:v>
      </x:c>
      <x:c r="G77" s="19" t="n">
        <x:f>ROUND(V77*X77/'参数'!$B$56,0)</x:f>
        <x:v>17731</x:v>
      </x:c>
      <x:c r="H77" s="19" t="n">
        <x:f>ROUND((AA77+SQRT(AA77^2+4*AA77*'参数'!$B$22*U77))/2,0)</x:f>
        <x:v>584</x:v>
      </x:c>
      <x:c r="I77" s="19" t="n">
        <x:f>ROUND(Q77*'参数'!$B$23/'参数'!$B$22,0)</x:f>
        <x:v>170</x:v>
      </x:c>
      <x:c r="J77" s="19" t="n">
        <x:f>ROUND(G77*'参数'!$B$50,0)</x:f>
        <x:v>53193</x:v>
      </x:c>
      <x:c r="K77" s="19" t="n">
        <x:f>ROUND(W77*Y77,0)</x:f>
        <x:v>190418</x:v>
      </x:c>
      <x:c r="L77" s="19" t="n">
        <x:f>ROUND((AB77+SQRT(AB77^2+4*AB77*'参数'!$B$22*U77))/2,0)</x:f>
        <x:v>936</x:v>
      </x:c>
      <x:c r="M77" s="19" t="n">
        <x:f>ROUND(I77*'参数'!$B$24,0)</x:f>
        <x:v>213</x:v>
      </x:c>
      <x:c r="N77" s="19" t="n">
        <x:f>'参数'!$B$9*'参数'!$B$10^(D77-1)</x:f>
        <x:v>1900.2161895140257</x:v>
      </x:c>
      <x:c r="O77" s="19" t="n">
        <x:f>'参数'!$B$18*'参数'!$B$19^(MIN(E77,MAX(1,5*INT(D77/5)))-1)*F77*'参数'!$J$26*P77</x:f>
        <x:v>130.00783229149147</x:v>
      </x:c>
      <x:c r="P77" s="22" t="n">
        <x:f>MIN(1,(D77-1)/19)</x:f>
        <x:v>1</x:v>
      </x:c>
      <x:c r="Q77" s="19" t="n">
        <x:f>INDEX('角色成长'!$F$6:$F$105,D77)+O77*'参数'!$K$21</x:f>
        <x:v>848.5223220307507</x:v>
      </x:c>
      <x:c r="R77" s="19" t="n">
        <x:f>INDEX('角色成长'!$I$6:$I$105,D77)+O77*'参数'!$K$21</x:f>
        <x:v>714.5223220307507</x:v>
      </x:c>
      <x:c r="S77" s="19" t="n">
        <x:f>INDEX('角色成长'!$L$6:$L$105,D77)+O77*'参数'!$K$21</x:f>
        <x:v>638.5223220307507</x:v>
      </x:c>
      <x:c r="T77" s="19" t="n">
        <x:f>(INDEX('角色成长'!$J$6:$J$105,D77)+O77*'参数'!$L$21)*(1+'参数'!$B$40*P77)</x:f>
        <x:v>9728.591264558223</x:v>
      </x:c>
      <x:c r="U77" s="19" t="n">
        <x:f>(INDEX('角色成长'!$K$6:$K$105,D77)+O77*'参数'!$M$21)*(1+'参数'!$B$41*P77)</x:f>
        <x:v>524.1650771611211</x:v>
      </x:c>
      <x:c r="V77" s="19" t="n">
        <x:f>(('参数'!$K$5*(((Q77*(1+'参数'!$B$39*P77))^2/((Q77*(1+'参数'!$B$39*P77))+'参数'!$B$22*(I77)))*(1+'参数'!$B$42*P77)/'参数'!$J$5+((Q77*'参数'!$B$43*(1+'参数'!$B$39*P77))^2/((Q77*'参数'!$B$43*(1+'参数'!$B$39*P77))+'参数'!$B$22*(I77)))/'参数'!$B$44))+(((R77*(1+'参数'!$B$39*P77))^2/((R77*(1+'参数'!$B$39*P77))+'参数'!$B$22*(I77)))*(1+'参数'!$B$42*P77)/'参数'!$J$6+((R77*'参数'!$B$45*(1+'参数'!$B$39*P77))^2/((R77*'参数'!$B$45*(1+'参数'!$B$39*P77))+'参数'!$B$22*(I77)))/'参数'!$B$46)+((S77*(1+'参数'!$B$39*P77))^2/((S77*(1+'参数'!$B$39*P77))+'参数'!$B$22*(I77)))*(1+'参数'!$B$42*P77)/'参数'!$J$7)*(1+'参数'!$B$37*('参数'!$B$38-1))*'参数'!$B$25</x:f>
        <x:v>5678.291168929778</x:v>
      </x:c>
      <x:c r="W77" s="19" t="n">
        <x:f>(('参数'!$K$5*(((Q77*(1+'参数'!$B$39*P77))^2/((Q77*(1+'参数'!$B$39*P77))+'参数'!$B$22*(M77)))*(1+'参数'!$B$42*P77)/'参数'!$J$5+((Q77*'参数'!$B$43*(1+'参数'!$B$39*P77))^2/((Q77*'参数'!$B$43*(1+'参数'!$B$39*P77))+'参数'!$B$22*(M77)))/'参数'!$B$44))+(((R77*(1+'参数'!$B$39*P77))^2/((R77*(1+'参数'!$B$39*P77))+'参数'!$B$22*(M77)))*(1+'参数'!$B$42*P77)/'参数'!$J$6+((R77*'参数'!$B$45*(1+'参数'!$B$39*P77))^2/((R77*'参数'!$B$45*(1+'参数'!$B$39*P77))+'参数'!$B$22*(M77)))/'参数'!$B$46)+((S77*(1+'参数'!$B$39*P77))^2/((S77*(1+'参数'!$B$39*P77))+'参数'!$B$22*(M77)))*(1+'参数'!$B$42*P77)/'参数'!$J$7)*(1+'参数'!$B$37*('参数'!$B$38-1))</x:f>
        <x:v>4371.335249047424</x:v>
      </x:c>
      <x:c r="X77" s="26" t="n">
        <x:f>('参数'!$B$26+'参数'!$B$27*(D77-1)/99)*'参数'!$K$26*AD77</x:f>
        <x:v>14.363636363636363</x:v>
      </x:c>
      <x:c r="Y77" s="26" t="n">
        <x:f>('参数'!$B$28+'参数'!$B$29*(D77-1)/99)*'参数'!$K$26*AD77*IF(AE77=1,'参数'!$B$51,1)</x:f>
        <x:v>43.560606060606055</x:v>
      </x:c>
      <x:c r="Z77" s="22" t="n">
        <x:f>MIN('参数'!$B$36,U77/(U77+'参数'!$B$35))</x:f>
        <x:v>0.11585896363667407</x:v>
      </x:c>
      <x:c r="AA77" s="19" t="n">
        <x:f>T77*'参数'!$B$30/('参数'!$B$32*'参数'!$B$33)/(1-Z77)*AC77</x:f>
        <x:v>275.0859553068066</x:v>
      </x:c>
      <x:c r="AB77" s="19" t="n">
        <x:f>T77*'参数'!$B$31/'参数'!$B$34/(1-Z77)*AC77</x:f>
        <x:v>550.1719106136132</x:v>
      </x:c>
      <x:c r="AC77" s="20" t="n">
        <x:f>'参数'!$L$26*1</x:f>
        <x:v>1</x:v>
      </x:c>
      <x:c r="AD77" s="20" t="n">
        <x:f>1</x:f>
        <x:v>1</x:v>
      </x:c>
      <x:c r="AE77" s="19" t="n">
        <x:f>IF(MOD(B77,12)=0,1,0)</x:f>
        <x:v>1</x:v>
      </x:c>
    </x:row>
    <x:row r="78" ht="22" customHeight="1">
      <x:c r="A78" s="18" t="str">
        <x:v>简单</x:v>
      </x:c>
      <x:c r="B78" s="18" t="n">
        <x:v>73</x:v>
      </x:c>
      <x:c r="C78" s="18" t="n">
        <x:f>ROUNDUP(B78/12,0)</x:f>
        <x:v>7</x:v>
      </x:c>
      <x:c r="D78" s="18" t="n">
        <x:f>ROUND(MAX('参数'!$G$26,E78)+(IF(C78&lt;10,INDEX('参数'!$G$34:$P$34,1,MIN(10,C78+1)),'参数'!$H$26)-MAX('参数'!$G$26,E78))*MOD(B78-1,12)/11,0)</x:f>
        <x:v>40</x:v>
      </x:c>
      <x:c r="E78" s="18" t="n">
        <x:f>INDEX('参数'!$G$34:$P$34,1,C78)</x:f>
        <x:v>40</x:v>
      </x:c>
      <x:c r="F78" s="15" t="n">
        <x:f>'参数'!$I$26</x:f>
        <x:v>1.05</x:v>
      </x:c>
      <x:c r="G78" s="18" t="n">
        <x:f>ROUND(V78*X78/'参数'!$B$56,0)</x:f>
        <x:v>19394</x:v>
      </x:c>
      <x:c r="H78" s="18" t="n">
        <x:f>ROUND((AA78+SQRT(AA78^2+4*AA78*'参数'!$B$22*U78))/2,0)</x:f>
        <x:v>632</x:v>
      </x:c>
      <x:c r="I78" s="18" t="n">
        <x:f>ROUND(Q78*'参数'!$B$23/'参数'!$B$22,0)</x:f>
        <x:v>184</x:v>
      </x:c>
      <x:c r="J78" s="18" t="n">
        <x:f>ROUND(G78*'参数'!$B$50,0)</x:f>
        <x:v>58182</x:v>
      </x:c>
      <x:c r="K78" s="18" t="n">
        <x:f>ROUND(W78*Y78,0)</x:f>
        <x:v>181238</x:v>
      </x:c>
      <x:c r="L78" s="18" t="n">
        <x:f>ROUND((AB78+SQRT(AB78^2+4*AB78*'参数'!$B$22*U78))/2,0)</x:f>
        <x:v>1012</x:v>
      </x:c>
      <x:c r="M78" s="18" t="n">
        <x:f>ROUND(I78*'参数'!$B$24,0)</x:f>
        <x:v>230</x:v>
      </x:c>
      <x:c r="N78" s="18" t="n">
        <x:f>'参数'!$B$9*'参数'!$B$10^(D78-1)</x:f>
        <x:v>1900.2161895140257</x:v>
      </x:c>
      <x:c r="O78" s="18" t="n">
        <x:f>'参数'!$B$18*'参数'!$B$19^(MIN(E78,MAX(1,5*INT(D78/5)))-1)*F78*'参数'!$J$26*P78</x:f>
        <x:v>155.90616865008087</x:v>
      </x:c>
      <x:c r="P78" s="21" t="n">
        <x:f>MIN(1,(D78-1)/19)</x:f>
        <x:v>1</x:v>
      </x:c>
      <x:c r="Q78" s="18" t="n">
        <x:f>INDEX('角色成长'!$F$6:$F$105,D78)+O78*'参数'!$K$21</x:f>
        <x:v>922.3325806527305</x:v>
      </x:c>
      <x:c r="R78" s="18" t="n">
        <x:f>INDEX('角色成长'!$I$6:$I$105,D78)+O78*'参数'!$K$21</x:f>
        <x:v>788.3325806527305</x:v>
      </x:c>
      <x:c r="S78" s="18" t="n">
        <x:f>INDEX('角色成长'!$L$6:$L$105,D78)+O78*'参数'!$K$21</x:f>
        <x:v>712.3325806527305</x:v>
      </x:c>
      <x:c r="T78" s="18" t="n">
        <x:f>(INDEX('角色成长'!$J$6:$J$105,D78)+O78*'参数'!$L$21)*(1+'参数'!$B$40*P78)</x:f>
        <x:v>10361.028638434977</x:v>
      </x:c>
      <x:c r="U78" s="18" t="n">
        <x:f>(INDEX('角色成长'!$K$6:$K$105,D78)+O78*'参数'!$M$21)*(1+'参数'!$B$41*P78)</x:f>
        <x:v>574.0193746514058</x:v>
      </x:c>
      <x:c r="V78" s="18" t="n">
        <x:f>(('参数'!$K$5*(((Q78*(1+'参数'!$B$39*P78))^2/((Q78*(1+'参数'!$B$39*P78))+'参数'!$B$22*(I78)))*(1+'参数'!$B$42*P78)/'参数'!$J$5+((Q78*'参数'!$B$43*(1+'参数'!$B$39*P78))^2/((Q78*'参数'!$B$43*(1+'参数'!$B$39*P78))+'参数'!$B$22*(I78)))/'参数'!$B$44))+(((R78*(1+'参数'!$B$39*P78))^2/((R78*(1+'参数'!$B$39*P78))+'参数'!$B$22*(I78)))*(1+'参数'!$B$42*P78)/'参数'!$J$6+((R78*'参数'!$B$45*(1+'参数'!$B$39*P78))^2/((R78*'参数'!$B$45*(1+'参数'!$B$39*P78))+'参数'!$B$22*(I78)))/'参数'!$B$46)+((S78*(1+'参数'!$B$39*P78))^2/((S78*(1+'参数'!$B$39*P78))+'参数'!$B$22*(I78)))*(1+'参数'!$B$42*P78)/'参数'!$J$7)*(1+'参数'!$B$37*('参数'!$B$38-1))*'参数'!$B$25</x:f>
        <x:v>6210.993653858278</x:v>
      </x:c>
      <x:c r="W78" s="18" t="n">
        <x:f>(('参数'!$K$5*(((Q78*(1+'参数'!$B$39*P78))^2/((Q78*(1+'参数'!$B$39*P78))+'参数'!$B$22*(M78)))*(1+'参数'!$B$42*P78)/'参数'!$J$5+((Q78*'参数'!$B$43*(1+'参数'!$B$39*P78))^2/((Q78*'参数'!$B$43*(1+'参数'!$B$39*P78))+'参数'!$B$22*(M78)))/'参数'!$B$44))+(((R78*(1+'参数'!$B$39*P78))^2/((R78*(1+'参数'!$B$39*P78))+'参数'!$B$22*(M78)))*(1+'参数'!$B$42*P78)/'参数'!$J$6+((R78*'参数'!$B$45*(1+'参数'!$B$39*P78))^2/((R78*'参数'!$B$45*(1+'参数'!$B$39*P78))+'参数'!$B$22*(M78)))/'参数'!$B$46)+((S78*(1+'参数'!$B$39*P78))^2/((S78*(1+'参数'!$B$39*P78))+'参数'!$B$22*(M78)))*(1+'参数'!$B$42*P78)/'参数'!$J$7)*(1+'参数'!$B$37*('参数'!$B$38-1))</x:f>
        <x:v>4784.679924593661</x:v>
      </x:c>
      <x:c r="X78" s="25" t="n">
        <x:f>('参数'!$B$26+'参数'!$B$27*(D78-1)/99)*'参数'!$K$26*AD78</x:f>
        <x:v>14.363636363636363</x:v>
      </x:c>
      <x:c r="Y78" s="25" t="n">
        <x:f>('参数'!$B$28+'参数'!$B$29*(D78-1)/99)*'参数'!$K$26*AD78*IF(AE78=1,'参数'!$B$51,1)</x:f>
        <x:v>37.878787878787875</x:v>
      </x:c>
      <x:c r="Z78" s="21" t="n">
        <x:f>MIN('参数'!$B$36,U78/(U78+'参数'!$B$35))</x:f>
        <x:v>0.12549561504538945</x:v>
      </x:c>
      <x:c r="AA78" s="18" t="n">
        <x:f>T78*'参数'!$B$30/('参数'!$B$32*'参数'!$B$33)/(1-Z78)*AC78</x:f>
        <x:v>296.1971608344979</x:v>
      </x:c>
      <x:c r="AB78" s="18" t="n">
        <x:f>T78*'参数'!$B$31/'参数'!$B$34/(1-Z78)*AC78</x:f>
        <x:v>592.3943216689958</x:v>
      </x:c>
      <x:c r="AC78" s="15" t="n">
        <x:f>'参数'!$L$26*1</x:f>
        <x:v>1</x:v>
      </x:c>
      <x:c r="AD78" s="15" t="n">
        <x:f>1</x:f>
        <x:v>1</x:v>
      </x:c>
      <x:c r="AE78" s="18" t="n">
        <x:f>IF(MOD(B78,12)=0,1,0)</x:f>
        <x:v>0</x:v>
      </x:c>
    </x:row>
    <x:row r="79" ht="22" customHeight="1">
      <x:c r="A79" s="19" t="str">
        <x:v>简单</x:v>
      </x:c>
      <x:c r="B79" s="19" t="n">
        <x:v>74</x:v>
      </x:c>
      <x:c r="C79" s="19" t="n">
        <x:f>ROUNDUP(B79/12,0)</x:f>
        <x:v>7</x:v>
      </x:c>
      <x:c r="D79" s="19" t="n">
        <x:f>ROUND(MAX('参数'!$G$26,E79)+(IF(C79&lt;10,INDEX('参数'!$G$34:$P$34,1,MIN(10,C79+1)),'参数'!$H$26)-MAX('参数'!$G$26,E79))*MOD(B79-1,12)/11,0)</x:f>
        <x:v>40</x:v>
      </x:c>
      <x:c r="E79" s="19" t="n">
        <x:f>INDEX('参数'!$G$34:$P$34,1,C79)</x:f>
        <x:v>40</x:v>
      </x:c>
      <x:c r="F79" s="20" t="n">
        <x:f>'参数'!$I$26</x:f>
        <x:v>1.05</x:v>
      </x:c>
      <x:c r="G79" s="19" t="n">
        <x:f>ROUND(V79*X79/'参数'!$B$56,0)</x:f>
        <x:v>19394</x:v>
      </x:c>
      <x:c r="H79" s="19" t="n">
        <x:f>ROUND((AA79+SQRT(AA79^2+4*AA79*'参数'!$B$22*U79))/2,0)</x:f>
        <x:v>632</x:v>
      </x:c>
      <x:c r="I79" s="19" t="n">
        <x:f>ROUND(Q79*'参数'!$B$23/'参数'!$B$22,0)</x:f>
        <x:v>184</x:v>
      </x:c>
      <x:c r="J79" s="19" t="n">
        <x:f>ROUND(G79*'参数'!$B$50,0)</x:f>
        <x:v>58182</x:v>
      </x:c>
      <x:c r="K79" s="19" t="n">
        <x:f>ROUND(W79*Y79,0)</x:f>
        <x:v>181238</x:v>
      </x:c>
      <x:c r="L79" s="19" t="n">
        <x:f>ROUND((AB79+SQRT(AB79^2+4*AB79*'参数'!$B$22*U79))/2,0)</x:f>
        <x:v>1012</x:v>
      </x:c>
      <x:c r="M79" s="19" t="n">
        <x:f>ROUND(I79*'参数'!$B$24,0)</x:f>
        <x:v>230</x:v>
      </x:c>
      <x:c r="N79" s="19" t="n">
        <x:f>'参数'!$B$9*'参数'!$B$10^(D79-1)</x:f>
        <x:v>1900.2161895140257</x:v>
      </x:c>
      <x:c r="O79" s="19" t="n">
        <x:f>'参数'!$B$18*'参数'!$B$19^(MIN(E79,MAX(1,5*INT(D79/5)))-1)*F79*'参数'!$J$26*P79</x:f>
        <x:v>155.90616865008087</x:v>
      </x:c>
      <x:c r="P79" s="22" t="n">
        <x:f>MIN(1,(D79-1)/19)</x:f>
        <x:v>1</x:v>
      </x:c>
      <x:c r="Q79" s="19" t="n">
        <x:f>INDEX('角色成长'!$F$6:$F$105,D79)+O79*'参数'!$K$21</x:f>
        <x:v>922.3325806527305</x:v>
      </x:c>
      <x:c r="R79" s="19" t="n">
        <x:f>INDEX('角色成长'!$I$6:$I$105,D79)+O79*'参数'!$K$21</x:f>
        <x:v>788.3325806527305</x:v>
      </x:c>
      <x:c r="S79" s="19" t="n">
        <x:f>INDEX('角色成长'!$L$6:$L$105,D79)+O79*'参数'!$K$21</x:f>
        <x:v>712.3325806527305</x:v>
      </x:c>
      <x:c r="T79" s="19" t="n">
        <x:f>(INDEX('角色成长'!$J$6:$J$105,D79)+O79*'参数'!$L$21)*(1+'参数'!$B$40*P79)</x:f>
        <x:v>10361.028638434977</x:v>
      </x:c>
      <x:c r="U79" s="19" t="n">
        <x:f>(INDEX('角色成长'!$K$6:$K$105,D79)+O79*'参数'!$M$21)*(1+'参数'!$B$41*P79)</x:f>
        <x:v>574.0193746514058</x:v>
      </x:c>
      <x:c r="V79" s="19" t="n">
        <x:f>(('参数'!$K$5*(((Q79*(1+'参数'!$B$39*P79))^2/((Q79*(1+'参数'!$B$39*P79))+'参数'!$B$22*(I79)))*(1+'参数'!$B$42*P79)/'参数'!$J$5+((Q79*'参数'!$B$43*(1+'参数'!$B$39*P79))^2/((Q79*'参数'!$B$43*(1+'参数'!$B$39*P79))+'参数'!$B$22*(I79)))/'参数'!$B$44))+(((R79*(1+'参数'!$B$39*P79))^2/((R79*(1+'参数'!$B$39*P79))+'参数'!$B$22*(I79)))*(1+'参数'!$B$42*P79)/'参数'!$J$6+((R79*'参数'!$B$45*(1+'参数'!$B$39*P79))^2/((R79*'参数'!$B$45*(1+'参数'!$B$39*P79))+'参数'!$B$22*(I79)))/'参数'!$B$46)+((S79*(1+'参数'!$B$39*P79))^2/((S79*(1+'参数'!$B$39*P79))+'参数'!$B$22*(I79)))*(1+'参数'!$B$42*P79)/'参数'!$J$7)*(1+'参数'!$B$37*('参数'!$B$38-1))*'参数'!$B$25</x:f>
        <x:v>6210.993653858278</x:v>
      </x:c>
      <x:c r="W79" s="19" t="n">
        <x:f>(('参数'!$K$5*(((Q79*(1+'参数'!$B$39*P79))^2/((Q79*(1+'参数'!$B$39*P79))+'参数'!$B$22*(M79)))*(1+'参数'!$B$42*P79)/'参数'!$J$5+((Q79*'参数'!$B$43*(1+'参数'!$B$39*P79))^2/((Q79*'参数'!$B$43*(1+'参数'!$B$39*P79))+'参数'!$B$22*(M79)))/'参数'!$B$44))+(((R79*(1+'参数'!$B$39*P79))^2/((R79*(1+'参数'!$B$39*P79))+'参数'!$B$22*(M79)))*(1+'参数'!$B$42*P79)/'参数'!$J$6+((R79*'参数'!$B$45*(1+'参数'!$B$39*P79))^2/((R79*'参数'!$B$45*(1+'参数'!$B$39*P79))+'参数'!$B$22*(M79)))/'参数'!$B$46)+((S79*(1+'参数'!$B$39*P79))^2/((S79*(1+'参数'!$B$39*P79))+'参数'!$B$22*(M79)))*(1+'参数'!$B$42*P79)/'参数'!$J$7)*(1+'参数'!$B$37*('参数'!$B$38-1))</x:f>
        <x:v>4784.679924593661</x:v>
      </x:c>
      <x:c r="X79" s="26" t="n">
        <x:f>('参数'!$B$26+'参数'!$B$27*(D79-1)/99)*'参数'!$K$26*AD79</x:f>
        <x:v>14.363636363636363</x:v>
      </x:c>
      <x:c r="Y79" s="26" t="n">
        <x:f>('参数'!$B$28+'参数'!$B$29*(D79-1)/99)*'参数'!$K$26*AD79*IF(AE79=1,'参数'!$B$51,1)</x:f>
        <x:v>37.878787878787875</x:v>
      </x:c>
      <x:c r="Z79" s="22" t="n">
        <x:f>MIN('参数'!$B$36,U79/(U79+'参数'!$B$35))</x:f>
        <x:v>0.12549561504538945</x:v>
      </x:c>
      <x:c r="AA79" s="19" t="n">
        <x:f>T79*'参数'!$B$30/('参数'!$B$32*'参数'!$B$33)/(1-Z79)*AC79</x:f>
        <x:v>296.1971608344979</x:v>
      </x:c>
      <x:c r="AB79" s="19" t="n">
        <x:f>T79*'参数'!$B$31/'参数'!$B$34/(1-Z79)*AC79</x:f>
        <x:v>592.3943216689958</x:v>
      </x:c>
      <x:c r="AC79" s="20" t="n">
        <x:f>'参数'!$L$26*1</x:f>
        <x:v>1</x:v>
      </x:c>
      <x:c r="AD79" s="20" t="n">
        <x:f>1</x:f>
        <x:v>1</x:v>
      </x:c>
      <x:c r="AE79" s="19" t="n">
        <x:f>IF(MOD(B79,12)=0,1,0)</x:f>
        <x:v>0</x:v>
      </x:c>
    </x:row>
    <x:row r="80" ht="22" customHeight="1">
      <x:c r="A80" s="18" t="str">
        <x:v>简单</x:v>
      </x:c>
      <x:c r="B80" s="18" t="n">
        <x:v>75</x:v>
      </x:c>
      <x:c r="C80" s="18" t="n">
        <x:f>ROUNDUP(B80/12,0)</x:f>
        <x:v>7</x:v>
      </x:c>
      <x:c r="D80" s="18" t="n">
        <x:f>ROUND(MAX('参数'!$G$26,E80)+(IF(C80&lt;10,INDEX('参数'!$G$34:$P$34,1,MIN(10,C80+1)),'参数'!$H$26)-MAX('参数'!$G$26,E80))*MOD(B80-1,12)/11,0)</x:f>
        <x:v>40</x:v>
      </x:c>
      <x:c r="E80" s="18" t="n">
        <x:f>INDEX('参数'!$G$34:$P$34,1,C80)</x:f>
        <x:v>40</x:v>
      </x:c>
      <x:c r="F80" s="15" t="n">
        <x:f>'参数'!$I$26</x:f>
        <x:v>1.05</x:v>
      </x:c>
      <x:c r="G80" s="18" t="n">
        <x:f>ROUND(V80*X80/'参数'!$B$56,0)</x:f>
        <x:v>19394</x:v>
      </x:c>
      <x:c r="H80" s="18" t="n">
        <x:f>ROUND((AA80+SQRT(AA80^2+4*AA80*'参数'!$B$22*U80))/2,0)</x:f>
        <x:v>632</x:v>
      </x:c>
      <x:c r="I80" s="18" t="n">
        <x:f>ROUND(Q80*'参数'!$B$23/'参数'!$B$22,0)</x:f>
        <x:v>184</x:v>
      </x:c>
      <x:c r="J80" s="18" t="n">
        <x:f>ROUND(G80*'参数'!$B$50,0)</x:f>
        <x:v>58182</x:v>
      </x:c>
      <x:c r="K80" s="18" t="n">
        <x:f>ROUND(W80*Y80,0)</x:f>
        <x:v>181238</x:v>
      </x:c>
      <x:c r="L80" s="18" t="n">
        <x:f>ROUND((AB80+SQRT(AB80^2+4*AB80*'参数'!$B$22*U80))/2,0)</x:f>
        <x:v>1012</x:v>
      </x:c>
      <x:c r="M80" s="18" t="n">
        <x:f>ROUND(I80*'参数'!$B$24,0)</x:f>
        <x:v>230</x:v>
      </x:c>
      <x:c r="N80" s="18" t="n">
        <x:f>'参数'!$B$9*'参数'!$B$10^(D80-1)</x:f>
        <x:v>1900.2161895140257</x:v>
      </x:c>
      <x:c r="O80" s="18" t="n">
        <x:f>'参数'!$B$18*'参数'!$B$19^(MIN(E80,MAX(1,5*INT(D80/5)))-1)*F80*'参数'!$J$26*P80</x:f>
        <x:v>155.90616865008087</x:v>
      </x:c>
      <x:c r="P80" s="21" t="n">
        <x:f>MIN(1,(D80-1)/19)</x:f>
        <x:v>1</x:v>
      </x:c>
      <x:c r="Q80" s="18" t="n">
        <x:f>INDEX('角色成长'!$F$6:$F$105,D80)+O80*'参数'!$K$21</x:f>
        <x:v>922.3325806527305</x:v>
      </x:c>
      <x:c r="R80" s="18" t="n">
        <x:f>INDEX('角色成长'!$I$6:$I$105,D80)+O80*'参数'!$K$21</x:f>
        <x:v>788.3325806527305</x:v>
      </x:c>
      <x:c r="S80" s="18" t="n">
        <x:f>INDEX('角色成长'!$L$6:$L$105,D80)+O80*'参数'!$K$21</x:f>
        <x:v>712.3325806527305</x:v>
      </x:c>
      <x:c r="T80" s="18" t="n">
        <x:f>(INDEX('角色成长'!$J$6:$J$105,D80)+O80*'参数'!$L$21)*(1+'参数'!$B$40*P80)</x:f>
        <x:v>10361.028638434977</x:v>
      </x:c>
      <x:c r="U80" s="18" t="n">
        <x:f>(INDEX('角色成长'!$K$6:$K$105,D80)+O80*'参数'!$M$21)*(1+'参数'!$B$41*P80)</x:f>
        <x:v>574.0193746514058</x:v>
      </x:c>
      <x:c r="V80" s="18" t="n">
        <x:f>(('参数'!$K$5*(((Q80*(1+'参数'!$B$39*P80))^2/((Q80*(1+'参数'!$B$39*P80))+'参数'!$B$22*(I80)))*(1+'参数'!$B$42*P80)/'参数'!$J$5+((Q80*'参数'!$B$43*(1+'参数'!$B$39*P80))^2/((Q80*'参数'!$B$43*(1+'参数'!$B$39*P80))+'参数'!$B$22*(I80)))/'参数'!$B$44))+(((R80*(1+'参数'!$B$39*P80))^2/((R80*(1+'参数'!$B$39*P80))+'参数'!$B$22*(I80)))*(1+'参数'!$B$42*P80)/'参数'!$J$6+((R80*'参数'!$B$45*(1+'参数'!$B$39*P80))^2/((R80*'参数'!$B$45*(1+'参数'!$B$39*P80))+'参数'!$B$22*(I80)))/'参数'!$B$46)+((S80*(1+'参数'!$B$39*P80))^2/((S80*(1+'参数'!$B$39*P80))+'参数'!$B$22*(I80)))*(1+'参数'!$B$42*P80)/'参数'!$J$7)*(1+'参数'!$B$37*('参数'!$B$38-1))*'参数'!$B$25</x:f>
        <x:v>6210.993653858278</x:v>
      </x:c>
      <x:c r="W80" s="18" t="n">
        <x:f>(('参数'!$K$5*(((Q80*(1+'参数'!$B$39*P80))^2/((Q80*(1+'参数'!$B$39*P80))+'参数'!$B$22*(M80)))*(1+'参数'!$B$42*P80)/'参数'!$J$5+((Q80*'参数'!$B$43*(1+'参数'!$B$39*P80))^2/((Q80*'参数'!$B$43*(1+'参数'!$B$39*P80))+'参数'!$B$22*(M80)))/'参数'!$B$44))+(((R80*(1+'参数'!$B$39*P80))^2/((R80*(1+'参数'!$B$39*P80))+'参数'!$B$22*(M80)))*(1+'参数'!$B$42*P80)/'参数'!$J$6+((R80*'参数'!$B$45*(1+'参数'!$B$39*P80))^2/((R80*'参数'!$B$45*(1+'参数'!$B$39*P80))+'参数'!$B$22*(M80)))/'参数'!$B$46)+((S80*(1+'参数'!$B$39*P80))^2/((S80*(1+'参数'!$B$39*P80))+'参数'!$B$22*(M80)))*(1+'参数'!$B$42*P80)/'参数'!$J$7)*(1+'参数'!$B$37*('参数'!$B$38-1))</x:f>
        <x:v>4784.679924593661</x:v>
      </x:c>
      <x:c r="X80" s="25" t="n">
        <x:f>('参数'!$B$26+'参数'!$B$27*(D80-1)/99)*'参数'!$K$26*AD80</x:f>
        <x:v>14.363636363636363</x:v>
      </x:c>
      <x:c r="Y80" s="25" t="n">
        <x:f>('参数'!$B$28+'参数'!$B$29*(D80-1)/99)*'参数'!$K$26*AD80*IF(AE80=1,'参数'!$B$51,1)</x:f>
        <x:v>37.878787878787875</x:v>
      </x:c>
      <x:c r="Z80" s="21" t="n">
        <x:f>MIN('参数'!$B$36,U80/(U80+'参数'!$B$35))</x:f>
        <x:v>0.12549561504538945</x:v>
      </x:c>
      <x:c r="AA80" s="18" t="n">
        <x:f>T80*'参数'!$B$30/('参数'!$B$32*'参数'!$B$33)/(1-Z80)*AC80</x:f>
        <x:v>296.1971608344979</x:v>
      </x:c>
      <x:c r="AB80" s="18" t="n">
        <x:f>T80*'参数'!$B$31/'参数'!$B$34/(1-Z80)*AC80</x:f>
        <x:v>592.3943216689958</x:v>
      </x:c>
      <x:c r="AC80" s="15" t="n">
        <x:f>'参数'!$L$26*1</x:f>
        <x:v>1</x:v>
      </x:c>
      <x:c r="AD80" s="15" t="n">
        <x:f>1</x:f>
        <x:v>1</x:v>
      </x:c>
      <x:c r="AE80" s="18" t="n">
        <x:f>IF(MOD(B80,12)=0,1,0)</x:f>
        <x:v>0</x:v>
      </x:c>
    </x:row>
    <x:row r="81" ht="22" customHeight="1">
      <x:c r="A81" s="19" t="str">
        <x:v>简单</x:v>
      </x:c>
      <x:c r="B81" s="19" t="n">
        <x:v>76</x:v>
      </x:c>
      <x:c r="C81" s="19" t="n">
        <x:f>ROUNDUP(B81/12,0)</x:f>
        <x:v>7</x:v>
      </x:c>
      <x:c r="D81" s="19" t="n">
        <x:f>ROUND(MAX('参数'!$G$26,E81)+(IF(C81&lt;10,INDEX('参数'!$G$34:$P$34,1,MIN(10,C81+1)),'参数'!$H$26)-MAX('参数'!$G$26,E81))*MOD(B81-1,12)/11,0)</x:f>
        <x:v>40</x:v>
      </x:c>
      <x:c r="E81" s="19" t="n">
        <x:f>INDEX('参数'!$G$34:$P$34,1,C81)</x:f>
        <x:v>40</x:v>
      </x:c>
      <x:c r="F81" s="20" t="n">
        <x:f>'参数'!$I$26</x:f>
        <x:v>1.05</x:v>
      </x:c>
      <x:c r="G81" s="19" t="n">
        <x:f>ROUND(V81*X81/'参数'!$B$56,0)</x:f>
        <x:v>19394</x:v>
      </x:c>
      <x:c r="H81" s="19" t="n">
        <x:f>ROUND((AA81+SQRT(AA81^2+4*AA81*'参数'!$B$22*U81))/2,0)</x:f>
        <x:v>632</x:v>
      </x:c>
      <x:c r="I81" s="19" t="n">
        <x:f>ROUND(Q81*'参数'!$B$23/'参数'!$B$22,0)</x:f>
        <x:v>184</x:v>
      </x:c>
      <x:c r="J81" s="19" t="n">
        <x:f>ROUND(G81*'参数'!$B$50,0)</x:f>
        <x:v>58182</x:v>
      </x:c>
      <x:c r="K81" s="19" t="n">
        <x:f>ROUND(W81*Y81,0)</x:f>
        <x:v>181238</x:v>
      </x:c>
      <x:c r="L81" s="19" t="n">
        <x:f>ROUND((AB81+SQRT(AB81^2+4*AB81*'参数'!$B$22*U81))/2,0)</x:f>
        <x:v>1012</x:v>
      </x:c>
      <x:c r="M81" s="19" t="n">
        <x:f>ROUND(I81*'参数'!$B$24,0)</x:f>
        <x:v>230</x:v>
      </x:c>
      <x:c r="N81" s="19" t="n">
        <x:f>'参数'!$B$9*'参数'!$B$10^(D81-1)</x:f>
        <x:v>1900.2161895140257</x:v>
      </x:c>
      <x:c r="O81" s="19" t="n">
        <x:f>'参数'!$B$18*'参数'!$B$19^(MIN(E81,MAX(1,5*INT(D81/5)))-1)*F81*'参数'!$J$26*P81</x:f>
        <x:v>155.90616865008087</x:v>
      </x:c>
      <x:c r="P81" s="22" t="n">
        <x:f>MIN(1,(D81-1)/19)</x:f>
        <x:v>1</x:v>
      </x:c>
      <x:c r="Q81" s="19" t="n">
        <x:f>INDEX('角色成长'!$F$6:$F$105,D81)+O81*'参数'!$K$21</x:f>
        <x:v>922.3325806527305</x:v>
      </x:c>
      <x:c r="R81" s="19" t="n">
        <x:f>INDEX('角色成长'!$I$6:$I$105,D81)+O81*'参数'!$K$21</x:f>
        <x:v>788.3325806527305</x:v>
      </x:c>
      <x:c r="S81" s="19" t="n">
        <x:f>INDEX('角色成长'!$L$6:$L$105,D81)+O81*'参数'!$K$21</x:f>
        <x:v>712.3325806527305</x:v>
      </x:c>
      <x:c r="T81" s="19" t="n">
        <x:f>(INDEX('角色成长'!$J$6:$J$105,D81)+O81*'参数'!$L$21)*(1+'参数'!$B$40*P81)</x:f>
        <x:v>10361.028638434977</x:v>
      </x:c>
      <x:c r="U81" s="19" t="n">
        <x:f>(INDEX('角色成长'!$K$6:$K$105,D81)+O81*'参数'!$M$21)*(1+'参数'!$B$41*P81)</x:f>
        <x:v>574.0193746514058</x:v>
      </x:c>
      <x:c r="V81" s="19" t="n">
        <x:f>(('参数'!$K$5*(((Q81*(1+'参数'!$B$39*P81))^2/((Q81*(1+'参数'!$B$39*P81))+'参数'!$B$22*(I81)))*(1+'参数'!$B$42*P81)/'参数'!$J$5+((Q81*'参数'!$B$43*(1+'参数'!$B$39*P81))^2/((Q81*'参数'!$B$43*(1+'参数'!$B$39*P81))+'参数'!$B$22*(I81)))/'参数'!$B$44))+(((R81*(1+'参数'!$B$39*P81))^2/((R81*(1+'参数'!$B$39*P81))+'参数'!$B$22*(I81)))*(1+'参数'!$B$42*P81)/'参数'!$J$6+((R81*'参数'!$B$45*(1+'参数'!$B$39*P81))^2/((R81*'参数'!$B$45*(1+'参数'!$B$39*P81))+'参数'!$B$22*(I81)))/'参数'!$B$46)+((S81*(1+'参数'!$B$39*P81))^2/((S81*(1+'参数'!$B$39*P81))+'参数'!$B$22*(I81)))*(1+'参数'!$B$42*P81)/'参数'!$J$7)*(1+'参数'!$B$37*('参数'!$B$38-1))*'参数'!$B$25</x:f>
        <x:v>6210.993653858278</x:v>
      </x:c>
      <x:c r="W81" s="19" t="n">
        <x:f>(('参数'!$K$5*(((Q81*(1+'参数'!$B$39*P81))^2/((Q81*(1+'参数'!$B$39*P81))+'参数'!$B$22*(M81)))*(1+'参数'!$B$42*P81)/'参数'!$J$5+((Q81*'参数'!$B$43*(1+'参数'!$B$39*P81))^2/((Q81*'参数'!$B$43*(1+'参数'!$B$39*P81))+'参数'!$B$22*(M81)))/'参数'!$B$44))+(((R81*(1+'参数'!$B$39*P81))^2/((R81*(1+'参数'!$B$39*P81))+'参数'!$B$22*(M81)))*(1+'参数'!$B$42*P81)/'参数'!$J$6+((R81*'参数'!$B$45*(1+'参数'!$B$39*P81))^2/((R81*'参数'!$B$45*(1+'参数'!$B$39*P81))+'参数'!$B$22*(M81)))/'参数'!$B$46)+((S81*(1+'参数'!$B$39*P81))^2/((S81*(1+'参数'!$B$39*P81))+'参数'!$B$22*(M81)))*(1+'参数'!$B$42*P81)/'参数'!$J$7)*(1+'参数'!$B$37*('参数'!$B$38-1))</x:f>
        <x:v>4784.679924593661</x:v>
      </x:c>
      <x:c r="X81" s="26" t="n">
        <x:f>('参数'!$B$26+'参数'!$B$27*(D81-1)/99)*'参数'!$K$26*AD81</x:f>
        <x:v>14.363636363636363</x:v>
      </x:c>
      <x:c r="Y81" s="26" t="n">
        <x:f>('参数'!$B$28+'参数'!$B$29*(D81-1)/99)*'参数'!$K$26*AD81*IF(AE81=1,'参数'!$B$51,1)</x:f>
        <x:v>37.878787878787875</x:v>
      </x:c>
      <x:c r="Z81" s="22" t="n">
        <x:f>MIN('参数'!$B$36,U81/(U81+'参数'!$B$35))</x:f>
        <x:v>0.12549561504538945</x:v>
      </x:c>
      <x:c r="AA81" s="19" t="n">
        <x:f>T81*'参数'!$B$30/('参数'!$B$32*'参数'!$B$33)/(1-Z81)*AC81</x:f>
        <x:v>296.1971608344979</x:v>
      </x:c>
      <x:c r="AB81" s="19" t="n">
        <x:f>T81*'参数'!$B$31/'参数'!$B$34/(1-Z81)*AC81</x:f>
        <x:v>592.3943216689958</x:v>
      </x:c>
      <x:c r="AC81" s="20" t="n">
        <x:f>'参数'!$L$26*1</x:f>
        <x:v>1</x:v>
      </x:c>
      <x:c r="AD81" s="20" t="n">
        <x:f>1</x:f>
        <x:v>1</x:v>
      </x:c>
      <x:c r="AE81" s="19" t="n">
        <x:f>IF(MOD(B81,12)=0,1,0)</x:f>
        <x:v>0</x:v>
      </x:c>
    </x:row>
    <x:row r="82" ht="22" customHeight="1">
      <x:c r="A82" s="18" t="str">
        <x:v>简单</x:v>
      </x:c>
      <x:c r="B82" s="18" t="n">
        <x:v>77</x:v>
      </x:c>
      <x:c r="C82" s="18" t="n">
        <x:f>ROUNDUP(B82/12,0)</x:f>
        <x:v>7</x:v>
      </x:c>
      <x:c r="D82" s="18" t="n">
        <x:f>ROUND(MAX('参数'!$G$26,E82)+(IF(C82&lt;10,INDEX('参数'!$G$34:$P$34,1,MIN(10,C82+1)),'参数'!$H$26)-MAX('参数'!$G$26,E82))*MOD(B82-1,12)/11,0)</x:f>
        <x:v>40</x:v>
      </x:c>
      <x:c r="E82" s="18" t="n">
        <x:f>INDEX('参数'!$G$34:$P$34,1,C82)</x:f>
        <x:v>40</x:v>
      </x:c>
      <x:c r="F82" s="15" t="n">
        <x:f>'参数'!$I$26</x:f>
        <x:v>1.05</x:v>
      </x:c>
      <x:c r="G82" s="18" t="n">
        <x:f>ROUND(V82*X82/'参数'!$B$56,0)</x:f>
        <x:v>19394</x:v>
      </x:c>
      <x:c r="H82" s="18" t="n">
        <x:f>ROUND((AA82+SQRT(AA82^2+4*AA82*'参数'!$B$22*U82))/2,0)</x:f>
        <x:v>632</x:v>
      </x:c>
      <x:c r="I82" s="18" t="n">
        <x:f>ROUND(Q82*'参数'!$B$23/'参数'!$B$22,0)</x:f>
        <x:v>184</x:v>
      </x:c>
      <x:c r="J82" s="18" t="n">
        <x:f>ROUND(G82*'参数'!$B$50,0)</x:f>
        <x:v>58182</x:v>
      </x:c>
      <x:c r="K82" s="18" t="n">
        <x:f>ROUND(W82*Y82,0)</x:f>
        <x:v>181238</x:v>
      </x:c>
      <x:c r="L82" s="18" t="n">
        <x:f>ROUND((AB82+SQRT(AB82^2+4*AB82*'参数'!$B$22*U82))/2,0)</x:f>
        <x:v>1012</x:v>
      </x:c>
      <x:c r="M82" s="18" t="n">
        <x:f>ROUND(I82*'参数'!$B$24,0)</x:f>
        <x:v>230</x:v>
      </x:c>
      <x:c r="N82" s="18" t="n">
        <x:f>'参数'!$B$9*'参数'!$B$10^(D82-1)</x:f>
        <x:v>1900.2161895140257</x:v>
      </x:c>
      <x:c r="O82" s="18" t="n">
        <x:f>'参数'!$B$18*'参数'!$B$19^(MIN(E82,MAX(1,5*INT(D82/5)))-1)*F82*'参数'!$J$26*P82</x:f>
        <x:v>155.90616865008087</x:v>
      </x:c>
      <x:c r="P82" s="21" t="n">
        <x:f>MIN(1,(D82-1)/19)</x:f>
        <x:v>1</x:v>
      </x:c>
      <x:c r="Q82" s="18" t="n">
        <x:f>INDEX('角色成长'!$F$6:$F$105,D82)+O82*'参数'!$K$21</x:f>
        <x:v>922.3325806527305</x:v>
      </x:c>
      <x:c r="R82" s="18" t="n">
        <x:f>INDEX('角色成长'!$I$6:$I$105,D82)+O82*'参数'!$K$21</x:f>
        <x:v>788.3325806527305</x:v>
      </x:c>
      <x:c r="S82" s="18" t="n">
        <x:f>INDEX('角色成长'!$L$6:$L$105,D82)+O82*'参数'!$K$21</x:f>
        <x:v>712.3325806527305</x:v>
      </x:c>
      <x:c r="T82" s="18" t="n">
        <x:f>(INDEX('角色成长'!$J$6:$J$105,D82)+O82*'参数'!$L$21)*(1+'参数'!$B$40*P82)</x:f>
        <x:v>10361.028638434977</x:v>
      </x:c>
      <x:c r="U82" s="18" t="n">
        <x:f>(INDEX('角色成长'!$K$6:$K$105,D82)+O82*'参数'!$M$21)*(1+'参数'!$B$41*P82)</x:f>
        <x:v>574.0193746514058</x:v>
      </x:c>
      <x:c r="V82" s="18" t="n">
        <x:f>(('参数'!$K$5*(((Q82*(1+'参数'!$B$39*P82))^2/((Q82*(1+'参数'!$B$39*P82))+'参数'!$B$22*(I82)))*(1+'参数'!$B$42*P82)/'参数'!$J$5+((Q82*'参数'!$B$43*(1+'参数'!$B$39*P82))^2/((Q82*'参数'!$B$43*(1+'参数'!$B$39*P82))+'参数'!$B$22*(I82)))/'参数'!$B$44))+(((R82*(1+'参数'!$B$39*P82))^2/((R82*(1+'参数'!$B$39*P82))+'参数'!$B$22*(I82)))*(1+'参数'!$B$42*P82)/'参数'!$J$6+((R82*'参数'!$B$45*(1+'参数'!$B$39*P82))^2/((R82*'参数'!$B$45*(1+'参数'!$B$39*P82))+'参数'!$B$22*(I82)))/'参数'!$B$46)+((S82*(1+'参数'!$B$39*P82))^2/((S82*(1+'参数'!$B$39*P82))+'参数'!$B$22*(I82)))*(1+'参数'!$B$42*P82)/'参数'!$J$7)*(1+'参数'!$B$37*('参数'!$B$38-1))*'参数'!$B$25</x:f>
        <x:v>6210.993653858278</x:v>
      </x:c>
      <x:c r="W82" s="18" t="n">
        <x:f>(('参数'!$K$5*(((Q82*(1+'参数'!$B$39*P82))^2/((Q82*(1+'参数'!$B$39*P82))+'参数'!$B$22*(M82)))*(1+'参数'!$B$42*P82)/'参数'!$J$5+((Q82*'参数'!$B$43*(1+'参数'!$B$39*P82))^2/((Q82*'参数'!$B$43*(1+'参数'!$B$39*P82))+'参数'!$B$22*(M82)))/'参数'!$B$44))+(((R82*(1+'参数'!$B$39*P82))^2/((R82*(1+'参数'!$B$39*P82))+'参数'!$B$22*(M82)))*(1+'参数'!$B$42*P82)/'参数'!$J$6+((R82*'参数'!$B$45*(1+'参数'!$B$39*P82))^2/((R82*'参数'!$B$45*(1+'参数'!$B$39*P82))+'参数'!$B$22*(M82)))/'参数'!$B$46)+((S82*(1+'参数'!$B$39*P82))^2/((S82*(1+'参数'!$B$39*P82))+'参数'!$B$22*(M82)))*(1+'参数'!$B$42*P82)/'参数'!$J$7)*(1+'参数'!$B$37*('参数'!$B$38-1))</x:f>
        <x:v>4784.679924593661</x:v>
      </x:c>
      <x:c r="X82" s="25" t="n">
        <x:f>('参数'!$B$26+'参数'!$B$27*(D82-1)/99)*'参数'!$K$26*AD82</x:f>
        <x:v>14.363636363636363</x:v>
      </x:c>
      <x:c r="Y82" s="25" t="n">
        <x:f>('参数'!$B$28+'参数'!$B$29*(D82-1)/99)*'参数'!$K$26*AD82*IF(AE82=1,'参数'!$B$51,1)</x:f>
        <x:v>37.878787878787875</x:v>
      </x:c>
      <x:c r="Z82" s="21" t="n">
        <x:f>MIN('参数'!$B$36,U82/(U82+'参数'!$B$35))</x:f>
        <x:v>0.12549561504538945</x:v>
      </x:c>
      <x:c r="AA82" s="18" t="n">
        <x:f>T82*'参数'!$B$30/('参数'!$B$32*'参数'!$B$33)/(1-Z82)*AC82</x:f>
        <x:v>296.1971608344979</x:v>
      </x:c>
      <x:c r="AB82" s="18" t="n">
        <x:f>T82*'参数'!$B$31/'参数'!$B$34/(1-Z82)*AC82</x:f>
        <x:v>592.3943216689958</x:v>
      </x:c>
      <x:c r="AC82" s="15" t="n">
        <x:f>'参数'!$L$26*1</x:f>
        <x:v>1</x:v>
      </x:c>
      <x:c r="AD82" s="15" t="n">
        <x:f>1</x:f>
        <x:v>1</x:v>
      </x:c>
      <x:c r="AE82" s="18" t="n">
        <x:f>IF(MOD(B82,12)=0,1,0)</x:f>
        <x:v>0</x:v>
      </x:c>
    </x:row>
    <x:row r="83" ht="22" customHeight="1">
      <x:c r="A83" s="19" t="str">
        <x:v>简单</x:v>
      </x:c>
      <x:c r="B83" s="19" t="n">
        <x:v>78</x:v>
      </x:c>
      <x:c r="C83" s="19" t="n">
        <x:f>ROUNDUP(B83/12,0)</x:f>
        <x:v>7</x:v>
      </x:c>
      <x:c r="D83" s="19" t="n">
        <x:f>ROUND(MAX('参数'!$G$26,E83)+(IF(C83&lt;10,INDEX('参数'!$G$34:$P$34,1,MIN(10,C83+1)),'参数'!$H$26)-MAX('参数'!$G$26,E83))*MOD(B83-1,12)/11,0)</x:f>
        <x:v>40</x:v>
      </x:c>
      <x:c r="E83" s="19" t="n">
        <x:f>INDEX('参数'!$G$34:$P$34,1,C83)</x:f>
        <x:v>40</x:v>
      </x:c>
      <x:c r="F83" s="20" t="n">
        <x:f>'参数'!$I$26</x:f>
        <x:v>1.05</x:v>
      </x:c>
      <x:c r="G83" s="19" t="n">
        <x:f>ROUND(V83*X83/'参数'!$B$56,0)</x:f>
        <x:v>19394</x:v>
      </x:c>
      <x:c r="H83" s="19" t="n">
        <x:f>ROUND((AA83+SQRT(AA83^2+4*AA83*'参数'!$B$22*U83))/2,0)</x:f>
        <x:v>632</x:v>
      </x:c>
      <x:c r="I83" s="19" t="n">
        <x:f>ROUND(Q83*'参数'!$B$23/'参数'!$B$22,0)</x:f>
        <x:v>184</x:v>
      </x:c>
      <x:c r="J83" s="19" t="n">
        <x:f>ROUND(G83*'参数'!$B$50,0)</x:f>
        <x:v>58182</x:v>
      </x:c>
      <x:c r="K83" s="19" t="n">
        <x:f>ROUND(W83*Y83,0)</x:f>
        <x:v>181238</x:v>
      </x:c>
      <x:c r="L83" s="19" t="n">
        <x:f>ROUND((AB83+SQRT(AB83^2+4*AB83*'参数'!$B$22*U83))/2,0)</x:f>
        <x:v>1012</x:v>
      </x:c>
      <x:c r="M83" s="19" t="n">
        <x:f>ROUND(I83*'参数'!$B$24,0)</x:f>
        <x:v>230</x:v>
      </x:c>
      <x:c r="N83" s="19" t="n">
        <x:f>'参数'!$B$9*'参数'!$B$10^(D83-1)</x:f>
        <x:v>1900.2161895140257</x:v>
      </x:c>
      <x:c r="O83" s="19" t="n">
        <x:f>'参数'!$B$18*'参数'!$B$19^(MIN(E83,MAX(1,5*INT(D83/5)))-1)*F83*'参数'!$J$26*P83</x:f>
        <x:v>155.90616865008087</x:v>
      </x:c>
      <x:c r="P83" s="22" t="n">
        <x:f>MIN(1,(D83-1)/19)</x:f>
        <x:v>1</x:v>
      </x:c>
      <x:c r="Q83" s="19" t="n">
        <x:f>INDEX('角色成长'!$F$6:$F$105,D83)+O83*'参数'!$K$21</x:f>
        <x:v>922.3325806527305</x:v>
      </x:c>
      <x:c r="R83" s="19" t="n">
        <x:f>INDEX('角色成长'!$I$6:$I$105,D83)+O83*'参数'!$K$21</x:f>
        <x:v>788.3325806527305</x:v>
      </x:c>
      <x:c r="S83" s="19" t="n">
        <x:f>INDEX('角色成长'!$L$6:$L$105,D83)+O83*'参数'!$K$21</x:f>
        <x:v>712.3325806527305</x:v>
      </x:c>
      <x:c r="T83" s="19" t="n">
        <x:f>(INDEX('角色成长'!$J$6:$J$105,D83)+O83*'参数'!$L$21)*(1+'参数'!$B$40*P83)</x:f>
        <x:v>10361.028638434977</x:v>
      </x:c>
      <x:c r="U83" s="19" t="n">
        <x:f>(INDEX('角色成长'!$K$6:$K$105,D83)+O83*'参数'!$M$21)*(1+'参数'!$B$41*P83)</x:f>
        <x:v>574.0193746514058</x:v>
      </x:c>
      <x:c r="V83" s="19" t="n">
        <x:f>(('参数'!$K$5*(((Q83*(1+'参数'!$B$39*P83))^2/((Q83*(1+'参数'!$B$39*P83))+'参数'!$B$22*(I83)))*(1+'参数'!$B$42*P83)/'参数'!$J$5+((Q83*'参数'!$B$43*(1+'参数'!$B$39*P83))^2/((Q83*'参数'!$B$43*(1+'参数'!$B$39*P83))+'参数'!$B$22*(I83)))/'参数'!$B$44))+(((R83*(1+'参数'!$B$39*P83))^2/((R83*(1+'参数'!$B$39*P83))+'参数'!$B$22*(I83)))*(1+'参数'!$B$42*P83)/'参数'!$J$6+((R83*'参数'!$B$45*(1+'参数'!$B$39*P83))^2/((R83*'参数'!$B$45*(1+'参数'!$B$39*P83))+'参数'!$B$22*(I83)))/'参数'!$B$46)+((S83*(1+'参数'!$B$39*P83))^2/((S83*(1+'参数'!$B$39*P83))+'参数'!$B$22*(I83)))*(1+'参数'!$B$42*P83)/'参数'!$J$7)*(1+'参数'!$B$37*('参数'!$B$38-1))*'参数'!$B$25</x:f>
        <x:v>6210.993653858278</x:v>
      </x:c>
      <x:c r="W83" s="19" t="n">
        <x:f>(('参数'!$K$5*(((Q83*(1+'参数'!$B$39*P83))^2/((Q83*(1+'参数'!$B$39*P83))+'参数'!$B$22*(M83)))*(1+'参数'!$B$42*P83)/'参数'!$J$5+((Q83*'参数'!$B$43*(1+'参数'!$B$39*P83))^2/((Q83*'参数'!$B$43*(1+'参数'!$B$39*P83))+'参数'!$B$22*(M83)))/'参数'!$B$44))+(((R83*(1+'参数'!$B$39*P83))^2/((R83*(1+'参数'!$B$39*P83))+'参数'!$B$22*(M83)))*(1+'参数'!$B$42*P83)/'参数'!$J$6+((R83*'参数'!$B$45*(1+'参数'!$B$39*P83))^2/((R83*'参数'!$B$45*(1+'参数'!$B$39*P83))+'参数'!$B$22*(M83)))/'参数'!$B$46)+((S83*(1+'参数'!$B$39*P83))^2/((S83*(1+'参数'!$B$39*P83))+'参数'!$B$22*(M83)))*(1+'参数'!$B$42*P83)/'参数'!$J$7)*(1+'参数'!$B$37*('参数'!$B$38-1))</x:f>
        <x:v>4784.679924593661</x:v>
      </x:c>
      <x:c r="X83" s="26" t="n">
        <x:f>('参数'!$B$26+'参数'!$B$27*(D83-1)/99)*'参数'!$K$26*AD83</x:f>
        <x:v>14.363636363636363</x:v>
      </x:c>
      <x:c r="Y83" s="26" t="n">
        <x:f>('参数'!$B$28+'参数'!$B$29*(D83-1)/99)*'参数'!$K$26*AD83*IF(AE83=1,'参数'!$B$51,1)</x:f>
        <x:v>37.878787878787875</x:v>
      </x:c>
      <x:c r="Z83" s="22" t="n">
        <x:f>MIN('参数'!$B$36,U83/(U83+'参数'!$B$35))</x:f>
        <x:v>0.12549561504538945</x:v>
      </x:c>
      <x:c r="AA83" s="19" t="n">
        <x:f>T83*'参数'!$B$30/('参数'!$B$32*'参数'!$B$33)/(1-Z83)*AC83</x:f>
        <x:v>296.1971608344979</x:v>
      </x:c>
      <x:c r="AB83" s="19" t="n">
        <x:f>T83*'参数'!$B$31/'参数'!$B$34/(1-Z83)*AC83</x:f>
        <x:v>592.3943216689958</x:v>
      </x:c>
      <x:c r="AC83" s="20" t="n">
        <x:f>'参数'!$L$26*1</x:f>
        <x:v>1</x:v>
      </x:c>
      <x:c r="AD83" s="20" t="n">
        <x:f>1</x:f>
        <x:v>1</x:v>
      </x:c>
      <x:c r="AE83" s="19" t="n">
        <x:f>IF(MOD(B83,12)=0,1,0)</x:f>
        <x:v>0</x:v>
      </x:c>
    </x:row>
    <x:row r="84" ht="22" customHeight="1">
      <x:c r="A84" s="18" t="str">
        <x:v>简单</x:v>
      </x:c>
      <x:c r="B84" s="18" t="n">
        <x:v>79</x:v>
      </x:c>
      <x:c r="C84" s="18" t="n">
        <x:f>ROUNDUP(B84/12,0)</x:f>
        <x:v>7</x:v>
      </x:c>
      <x:c r="D84" s="18" t="n">
        <x:f>ROUND(MAX('参数'!$G$26,E84)+(IF(C84&lt;10,INDEX('参数'!$G$34:$P$34,1,MIN(10,C84+1)),'参数'!$H$26)-MAX('参数'!$G$26,E84))*MOD(B84-1,12)/11,0)</x:f>
        <x:v>40</x:v>
      </x:c>
      <x:c r="E84" s="18" t="n">
        <x:f>INDEX('参数'!$G$34:$P$34,1,C84)</x:f>
        <x:v>40</x:v>
      </x:c>
      <x:c r="F84" s="15" t="n">
        <x:f>'参数'!$I$26</x:f>
        <x:v>1.05</x:v>
      </x:c>
      <x:c r="G84" s="18" t="n">
        <x:f>ROUND(V84*X84/'参数'!$B$56,0)</x:f>
        <x:v>19394</x:v>
      </x:c>
      <x:c r="H84" s="18" t="n">
        <x:f>ROUND((AA84+SQRT(AA84^2+4*AA84*'参数'!$B$22*U84))/2,0)</x:f>
        <x:v>632</x:v>
      </x:c>
      <x:c r="I84" s="18" t="n">
        <x:f>ROUND(Q84*'参数'!$B$23/'参数'!$B$22,0)</x:f>
        <x:v>184</x:v>
      </x:c>
      <x:c r="J84" s="18" t="n">
        <x:f>ROUND(G84*'参数'!$B$50,0)</x:f>
        <x:v>58182</x:v>
      </x:c>
      <x:c r="K84" s="18" t="n">
        <x:f>ROUND(W84*Y84,0)</x:f>
        <x:v>181238</x:v>
      </x:c>
      <x:c r="L84" s="18" t="n">
        <x:f>ROUND((AB84+SQRT(AB84^2+4*AB84*'参数'!$B$22*U84))/2,0)</x:f>
        <x:v>1012</x:v>
      </x:c>
      <x:c r="M84" s="18" t="n">
        <x:f>ROUND(I84*'参数'!$B$24,0)</x:f>
        <x:v>230</x:v>
      </x:c>
      <x:c r="N84" s="18" t="n">
        <x:f>'参数'!$B$9*'参数'!$B$10^(D84-1)</x:f>
        <x:v>1900.2161895140257</x:v>
      </x:c>
      <x:c r="O84" s="18" t="n">
        <x:f>'参数'!$B$18*'参数'!$B$19^(MIN(E84,MAX(1,5*INT(D84/5)))-1)*F84*'参数'!$J$26*P84</x:f>
        <x:v>155.90616865008087</x:v>
      </x:c>
      <x:c r="P84" s="21" t="n">
        <x:f>MIN(1,(D84-1)/19)</x:f>
        <x:v>1</x:v>
      </x:c>
      <x:c r="Q84" s="18" t="n">
        <x:f>INDEX('角色成长'!$F$6:$F$105,D84)+O84*'参数'!$K$21</x:f>
        <x:v>922.3325806527305</x:v>
      </x:c>
      <x:c r="R84" s="18" t="n">
        <x:f>INDEX('角色成长'!$I$6:$I$105,D84)+O84*'参数'!$K$21</x:f>
        <x:v>788.3325806527305</x:v>
      </x:c>
      <x:c r="S84" s="18" t="n">
        <x:f>INDEX('角色成长'!$L$6:$L$105,D84)+O84*'参数'!$K$21</x:f>
        <x:v>712.3325806527305</x:v>
      </x:c>
      <x:c r="T84" s="18" t="n">
        <x:f>(INDEX('角色成长'!$J$6:$J$105,D84)+O84*'参数'!$L$21)*(1+'参数'!$B$40*P84)</x:f>
        <x:v>10361.028638434977</x:v>
      </x:c>
      <x:c r="U84" s="18" t="n">
        <x:f>(INDEX('角色成长'!$K$6:$K$105,D84)+O84*'参数'!$M$21)*(1+'参数'!$B$41*P84)</x:f>
        <x:v>574.0193746514058</x:v>
      </x:c>
      <x:c r="V84" s="18" t="n">
        <x:f>(('参数'!$K$5*(((Q84*(1+'参数'!$B$39*P84))^2/((Q84*(1+'参数'!$B$39*P84))+'参数'!$B$22*(I84)))*(1+'参数'!$B$42*P84)/'参数'!$J$5+((Q84*'参数'!$B$43*(1+'参数'!$B$39*P84))^2/((Q84*'参数'!$B$43*(1+'参数'!$B$39*P84))+'参数'!$B$22*(I84)))/'参数'!$B$44))+(((R84*(1+'参数'!$B$39*P84))^2/((R84*(1+'参数'!$B$39*P84))+'参数'!$B$22*(I84)))*(1+'参数'!$B$42*P84)/'参数'!$J$6+((R84*'参数'!$B$45*(1+'参数'!$B$39*P84))^2/((R84*'参数'!$B$45*(1+'参数'!$B$39*P84))+'参数'!$B$22*(I84)))/'参数'!$B$46)+((S84*(1+'参数'!$B$39*P84))^2/((S84*(1+'参数'!$B$39*P84))+'参数'!$B$22*(I84)))*(1+'参数'!$B$42*P84)/'参数'!$J$7)*(1+'参数'!$B$37*('参数'!$B$38-1))*'参数'!$B$25</x:f>
        <x:v>6210.993653858278</x:v>
      </x:c>
      <x:c r="W84" s="18" t="n">
        <x:f>(('参数'!$K$5*(((Q84*(1+'参数'!$B$39*P84))^2/((Q84*(1+'参数'!$B$39*P84))+'参数'!$B$22*(M84)))*(1+'参数'!$B$42*P84)/'参数'!$J$5+((Q84*'参数'!$B$43*(1+'参数'!$B$39*P84))^2/((Q84*'参数'!$B$43*(1+'参数'!$B$39*P84))+'参数'!$B$22*(M84)))/'参数'!$B$44))+(((R84*(1+'参数'!$B$39*P84))^2/((R84*(1+'参数'!$B$39*P84))+'参数'!$B$22*(M84)))*(1+'参数'!$B$42*P84)/'参数'!$J$6+((R84*'参数'!$B$45*(1+'参数'!$B$39*P84))^2/((R84*'参数'!$B$45*(1+'参数'!$B$39*P84))+'参数'!$B$22*(M84)))/'参数'!$B$46)+((S84*(1+'参数'!$B$39*P84))^2/((S84*(1+'参数'!$B$39*P84))+'参数'!$B$22*(M84)))*(1+'参数'!$B$42*P84)/'参数'!$J$7)*(1+'参数'!$B$37*('参数'!$B$38-1))</x:f>
        <x:v>4784.679924593661</x:v>
      </x:c>
      <x:c r="X84" s="25" t="n">
        <x:f>('参数'!$B$26+'参数'!$B$27*(D84-1)/99)*'参数'!$K$26*AD84</x:f>
        <x:v>14.363636363636363</x:v>
      </x:c>
      <x:c r="Y84" s="25" t="n">
        <x:f>('参数'!$B$28+'参数'!$B$29*(D84-1)/99)*'参数'!$K$26*AD84*IF(AE84=1,'参数'!$B$51,1)</x:f>
        <x:v>37.878787878787875</x:v>
      </x:c>
      <x:c r="Z84" s="21" t="n">
        <x:f>MIN('参数'!$B$36,U84/(U84+'参数'!$B$35))</x:f>
        <x:v>0.12549561504538945</x:v>
      </x:c>
      <x:c r="AA84" s="18" t="n">
        <x:f>T84*'参数'!$B$30/('参数'!$B$32*'参数'!$B$33)/(1-Z84)*AC84</x:f>
        <x:v>296.1971608344979</x:v>
      </x:c>
      <x:c r="AB84" s="18" t="n">
        <x:f>T84*'参数'!$B$31/'参数'!$B$34/(1-Z84)*AC84</x:f>
        <x:v>592.3943216689958</x:v>
      </x:c>
      <x:c r="AC84" s="15" t="n">
        <x:f>'参数'!$L$26*1</x:f>
        <x:v>1</x:v>
      </x:c>
      <x:c r="AD84" s="15" t="n">
        <x:f>1</x:f>
        <x:v>1</x:v>
      </x:c>
      <x:c r="AE84" s="18" t="n">
        <x:f>IF(MOD(B84,12)=0,1,0)</x:f>
        <x:v>0</x:v>
      </x:c>
    </x:row>
    <x:row r="85" ht="22" customHeight="1">
      <x:c r="A85" s="19" t="str">
        <x:v>简单</x:v>
      </x:c>
      <x:c r="B85" s="19" t="n">
        <x:v>80</x:v>
      </x:c>
      <x:c r="C85" s="19" t="n">
        <x:f>ROUNDUP(B85/12,0)</x:f>
        <x:v>7</x:v>
      </x:c>
      <x:c r="D85" s="19" t="n">
        <x:f>ROUND(MAX('参数'!$G$26,E85)+(IF(C85&lt;10,INDEX('参数'!$G$34:$P$34,1,MIN(10,C85+1)),'参数'!$H$26)-MAX('参数'!$G$26,E85))*MOD(B85-1,12)/11,0)</x:f>
        <x:v>40</x:v>
      </x:c>
      <x:c r="E85" s="19" t="n">
        <x:f>INDEX('参数'!$G$34:$P$34,1,C85)</x:f>
        <x:v>40</x:v>
      </x:c>
      <x:c r="F85" s="20" t="n">
        <x:f>'参数'!$I$26</x:f>
        <x:v>1.05</x:v>
      </x:c>
      <x:c r="G85" s="19" t="n">
        <x:f>ROUND(V85*X85/'参数'!$B$56,0)</x:f>
        <x:v>19394</x:v>
      </x:c>
      <x:c r="H85" s="19" t="n">
        <x:f>ROUND((AA85+SQRT(AA85^2+4*AA85*'参数'!$B$22*U85))/2,0)</x:f>
        <x:v>632</x:v>
      </x:c>
      <x:c r="I85" s="19" t="n">
        <x:f>ROUND(Q85*'参数'!$B$23/'参数'!$B$22,0)</x:f>
        <x:v>184</x:v>
      </x:c>
      <x:c r="J85" s="19" t="n">
        <x:f>ROUND(G85*'参数'!$B$50,0)</x:f>
        <x:v>58182</x:v>
      </x:c>
      <x:c r="K85" s="19" t="n">
        <x:f>ROUND(W85*Y85,0)</x:f>
        <x:v>181238</x:v>
      </x:c>
      <x:c r="L85" s="19" t="n">
        <x:f>ROUND((AB85+SQRT(AB85^2+4*AB85*'参数'!$B$22*U85))/2,0)</x:f>
        <x:v>1012</x:v>
      </x:c>
      <x:c r="M85" s="19" t="n">
        <x:f>ROUND(I85*'参数'!$B$24,0)</x:f>
        <x:v>230</x:v>
      </x:c>
      <x:c r="N85" s="19" t="n">
        <x:f>'参数'!$B$9*'参数'!$B$10^(D85-1)</x:f>
        <x:v>1900.2161895140257</x:v>
      </x:c>
      <x:c r="O85" s="19" t="n">
        <x:f>'参数'!$B$18*'参数'!$B$19^(MIN(E85,MAX(1,5*INT(D85/5)))-1)*F85*'参数'!$J$26*P85</x:f>
        <x:v>155.90616865008087</x:v>
      </x:c>
      <x:c r="P85" s="22" t="n">
        <x:f>MIN(1,(D85-1)/19)</x:f>
        <x:v>1</x:v>
      </x:c>
      <x:c r="Q85" s="19" t="n">
        <x:f>INDEX('角色成长'!$F$6:$F$105,D85)+O85*'参数'!$K$21</x:f>
        <x:v>922.3325806527305</x:v>
      </x:c>
      <x:c r="R85" s="19" t="n">
        <x:f>INDEX('角色成长'!$I$6:$I$105,D85)+O85*'参数'!$K$21</x:f>
        <x:v>788.3325806527305</x:v>
      </x:c>
      <x:c r="S85" s="19" t="n">
        <x:f>INDEX('角色成长'!$L$6:$L$105,D85)+O85*'参数'!$K$21</x:f>
        <x:v>712.3325806527305</x:v>
      </x:c>
      <x:c r="T85" s="19" t="n">
        <x:f>(INDEX('角色成长'!$J$6:$J$105,D85)+O85*'参数'!$L$21)*(1+'参数'!$B$40*P85)</x:f>
        <x:v>10361.028638434977</x:v>
      </x:c>
      <x:c r="U85" s="19" t="n">
        <x:f>(INDEX('角色成长'!$K$6:$K$105,D85)+O85*'参数'!$M$21)*(1+'参数'!$B$41*P85)</x:f>
        <x:v>574.0193746514058</x:v>
      </x:c>
      <x:c r="V85" s="19" t="n">
        <x:f>(('参数'!$K$5*(((Q85*(1+'参数'!$B$39*P85))^2/((Q85*(1+'参数'!$B$39*P85))+'参数'!$B$22*(I85)))*(1+'参数'!$B$42*P85)/'参数'!$J$5+((Q85*'参数'!$B$43*(1+'参数'!$B$39*P85))^2/((Q85*'参数'!$B$43*(1+'参数'!$B$39*P85))+'参数'!$B$22*(I85)))/'参数'!$B$44))+(((R85*(1+'参数'!$B$39*P85))^2/((R85*(1+'参数'!$B$39*P85))+'参数'!$B$22*(I85)))*(1+'参数'!$B$42*P85)/'参数'!$J$6+((R85*'参数'!$B$45*(1+'参数'!$B$39*P85))^2/((R85*'参数'!$B$45*(1+'参数'!$B$39*P85))+'参数'!$B$22*(I85)))/'参数'!$B$46)+((S85*(1+'参数'!$B$39*P85))^2/((S85*(1+'参数'!$B$39*P85))+'参数'!$B$22*(I85)))*(1+'参数'!$B$42*P85)/'参数'!$J$7)*(1+'参数'!$B$37*('参数'!$B$38-1))*'参数'!$B$25</x:f>
        <x:v>6210.993653858278</x:v>
      </x:c>
      <x:c r="W85" s="19" t="n">
        <x:f>(('参数'!$K$5*(((Q85*(1+'参数'!$B$39*P85))^2/((Q85*(1+'参数'!$B$39*P85))+'参数'!$B$22*(M85)))*(1+'参数'!$B$42*P85)/'参数'!$J$5+((Q85*'参数'!$B$43*(1+'参数'!$B$39*P85))^2/((Q85*'参数'!$B$43*(1+'参数'!$B$39*P85))+'参数'!$B$22*(M85)))/'参数'!$B$44))+(((R85*(1+'参数'!$B$39*P85))^2/((R85*(1+'参数'!$B$39*P85))+'参数'!$B$22*(M85)))*(1+'参数'!$B$42*P85)/'参数'!$J$6+((R85*'参数'!$B$45*(1+'参数'!$B$39*P85))^2/((R85*'参数'!$B$45*(1+'参数'!$B$39*P85))+'参数'!$B$22*(M85)))/'参数'!$B$46)+((S85*(1+'参数'!$B$39*P85))^2/((S85*(1+'参数'!$B$39*P85))+'参数'!$B$22*(M85)))*(1+'参数'!$B$42*P85)/'参数'!$J$7)*(1+'参数'!$B$37*('参数'!$B$38-1))</x:f>
        <x:v>4784.679924593661</x:v>
      </x:c>
      <x:c r="X85" s="26" t="n">
        <x:f>('参数'!$B$26+'参数'!$B$27*(D85-1)/99)*'参数'!$K$26*AD85</x:f>
        <x:v>14.363636363636363</x:v>
      </x:c>
      <x:c r="Y85" s="26" t="n">
        <x:f>('参数'!$B$28+'参数'!$B$29*(D85-1)/99)*'参数'!$K$26*AD85*IF(AE85=1,'参数'!$B$51,1)</x:f>
        <x:v>37.878787878787875</x:v>
      </x:c>
      <x:c r="Z85" s="22" t="n">
        <x:f>MIN('参数'!$B$36,U85/(U85+'参数'!$B$35))</x:f>
        <x:v>0.12549561504538945</x:v>
      </x:c>
      <x:c r="AA85" s="19" t="n">
        <x:f>T85*'参数'!$B$30/('参数'!$B$32*'参数'!$B$33)/(1-Z85)*AC85</x:f>
        <x:v>296.1971608344979</x:v>
      </x:c>
      <x:c r="AB85" s="19" t="n">
        <x:f>T85*'参数'!$B$31/'参数'!$B$34/(1-Z85)*AC85</x:f>
        <x:v>592.3943216689958</x:v>
      </x:c>
      <x:c r="AC85" s="20" t="n">
        <x:f>'参数'!$L$26*1</x:f>
        <x:v>1</x:v>
      </x:c>
      <x:c r="AD85" s="20" t="n">
        <x:f>1</x:f>
        <x:v>1</x:v>
      </x:c>
      <x:c r="AE85" s="19" t="n">
        <x:f>IF(MOD(B85,12)=0,1,0)</x:f>
        <x:v>0</x:v>
      </x:c>
    </x:row>
    <x:row r="86" ht="22" customHeight="1">
      <x:c r="A86" s="18" t="str">
        <x:v>简单</x:v>
      </x:c>
      <x:c r="B86" s="18" t="n">
        <x:v>81</x:v>
      </x:c>
      <x:c r="C86" s="18" t="n">
        <x:f>ROUNDUP(B86/12,0)</x:f>
        <x:v>7</x:v>
      </x:c>
      <x:c r="D86" s="18" t="n">
        <x:f>ROUND(MAX('参数'!$G$26,E86)+(IF(C86&lt;10,INDEX('参数'!$G$34:$P$34,1,MIN(10,C86+1)),'参数'!$H$26)-MAX('参数'!$G$26,E86))*MOD(B86-1,12)/11,0)</x:f>
        <x:v>40</x:v>
      </x:c>
      <x:c r="E86" s="18" t="n">
        <x:f>INDEX('参数'!$G$34:$P$34,1,C86)</x:f>
        <x:v>40</x:v>
      </x:c>
      <x:c r="F86" s="15" t="n">
        <x:f>'参数'!$I$26</x:f>
        <x:v>1.05</x:v>
      </x:c>
      <x:c r="G86" s="18" t="n">
        <x:f>ROUND(V86*X86/'参数'!$B$56,0)</x:f>
        <x:v>19394</x:v>
      </x:c>
      <x:c r="H86" s="18" t="n">
        <x:f>ROUND((AA86+SQRT(AA86^2+4*AA86*'参数'!$B$22*U86))/2,0)</x:f>
        <x:v>632</x:v>
      </x:c>
      <x:c r="I86" s="18" t="n">
        <x:f>ROUND(Q86*'参数'!$B$23/'参数'!$B$22,0)</x:f>
        <x:v>184</x:v>
      </x:c>
      <x:c r="J86" s="18" t="n">
        <x:f>ROUND(G86*'参数'!$B$50,0)</x:f>
        <x:v>58182</x:v>
      </x:c>
      <x:c r="K86" s="18" t="n">
        <x:f>ROUND(W86*Y86,0)</x:f>
        <x:v>181238</x:v>
      </x:c>
      <x:c r="L86" s="18" t="n">
        <x:f>ROUND((AB86+SQRT(AB86^2+4*AB86*'参数'!$B$22*U86))/2,0)</x:f>
        <x:v>1012</x:v>
      </x:c>
      <x:c r="M86" s="18" t="n">
        <x:f>ROUND(I86*'参数'!$B$24,0)</x:f>
        <x:v>230</x:v>
      </x:c>
      <x:c r="N86" s="18" t="n">
        <x:f>'参数'!$B$9*'参数'!$B$10^(D86-1)</x:f>
        <x:v>1900.2161895140257</x:v>
      </x:c>
      <x:c r="O86" s="18" t="n">
        <x:f>'参数'!$B$18*'参数'!$B$19^(MIN(E86,MAX(1,5*INT(D86/5)))-1)*F86*'参数'!$J$26*P86</x:f>
        <x:v>155.90616865008087</x:v>
      </x:c>
      <x:c r="P86" s="21" t="n">
        <x:f>MIN(1,(D86-1)/19)</x:f>
        <x:v>1</x:v>
      </x:c>
      <x:c r="Q86" s="18" t="n">
        <x:f>INDEX('角色成长'!$F$6:$F$105,D86)+O86*'参数'!$K$21</x:f>
        <x:v>922.3325806527305</x:v>
      </x:c>
      <x:c r="R86" s="18" t="n">
        <x:f>INDEX('角色成长'!$I$6:$I$105,D86)+O86*'参数'!$K$21</x:f>
        <x:v>788.3325806527305</x:v>
      </x:c>
      <x:c r="S86" s="18" t="n">
        <x:f>INDEX('角色成长'!$L$6:$L$105,D86)+O86*'参数'!$K$21</x:f>
        <x:v>712.3325806527305</x:v>
      </x:c>
      <x:c r="T86" s="18" t="n">
        <x:f>(INDEX('角色成长'!$J$6:$J$105,D86)+O86*'参数'!$L$21)*(1+'参数'!$B$40*P86)</x:f>
        <x:v>10361.028638434977</x:v>
      </x:c>
      <x:c r="U86" s="18" t="n">
        <x:f>(INDEX('角色成长'!$K$6:$K$105,D86)+O86*'参数'!$M$21)*(1+'参数'!$B$41*P86)</x:f>
        <x:v>574.0193746514058</x:v>
      </x:c>
      <x:c r="V86" s="18" t="n">
        <x:f>(('参数'!$K$5*(((Q86*(1+'参数'!$B$39*P86))^2/((Q86*(1+'参数'!$B$39*P86))+'参数'!$B$22*(I86)))*(1+'参数'!$B$42*P86)/'参数'!$J$5+((Q86*'参数'!$B$43*(1+'参数'!$B$39*P86))^2/((Q86*'参数'!$B$43*(1+'参数'!$B$39*P86))+'参数'!$B$22*(I86)))/'参数'!$B$44))+(((R86*(1+'参数'!$B$39*P86))^2/((R86*(1+'参数'!$B$39*P86))+'参数'!$B$22*(I86)))*(1+'参数'!$B$42*P86)/'参数'!$J$6+((R86*'参数'!$B$45*(1+'参数'!$B$39*P86))^2/((R86*'参数'!$B$45*(1+'参数'!$B$39*P86))+'参数'!$B$22*(I86)))/'参数'!$B$46)+((S86*(1+'参数'!$B$39*P86))^2/((S86*(1+'参数'!$B$39*P86))+'参数'!$B$22*(I86)))*(1+'参数'!$B$42*P86)/'参数'!$J$7)*(1+'参数'!$B$37*('参数'!$B$38-1))*'参数'!$B$25</x:f>
        <x:v>6210.993653858278</x:v>
      </x:c>
      <x:c r="W86" s="18" t="n">
        <x:f>(('参数'!$K$5*(((Q86*(1+'参数'!$B$39*P86))^2/((Q86*(1+'参数'!$B$39*P86))+'参数'!$B$22*(M86)))*(1+'参数'!$B$42*P86)/'参数'!$J$5+((Q86*'参数'!$B$43*(1+'参数'!$B$39*P86))^2/((Q86*'参数'!$B$43*(1+'参数'!$B$39*P86))+'参数'!$B$22*(M86)))/'参数'!$B$44))+(((R86*(1+'参数'!$B$39*P86))^2/((R86*(1+'参数'!$B$39*P86))+'参数'!$B$22*(M86)))*(1+'参数'!$B$42*P86)/'参数'!$J$6+((R86*'参数'!$B$45*(1+'参数'!$B$39*P86))^2/((R86*'参数'!$B$45*(1+'参数'!$B$39*P86))+'参数'!$B$22*(M86)))/'参数'!$B$46)+((S86*(1+'参数'!$B$39*P86))^2/((S86*(1+'参数'!$B$39*P86))+'参数'!$B$22*(M86)))*(1+'参数'!$B$42*P86)/'参数'!$J$7)*(1+'参数'!$B$37*('参数'!$B$38-1))</x:f>
        <x:v>4784.679924593661</x:v>
      </x:c>
      <x:c r="X86" s="25" t="n">
        <x:f>('参数'!$B$26+'参数'!$B$27*(D86-1)/99)*'参数'!$K$26*AD86</x:f>
        <x:v>14.363636363636363</x:v>
      </x:c>
      <x:c r="Y86" s="25" t="n">
        <x:f>('参数'!$B$28+'参数'!$B$29*(D86-1)/99)*'参数'!$K$26*AD86*IF(AE86=1,'参数'!$B$51,1)</x:f>
        <x:v>37.878787878787875</x:v>
      </x:c>
      <x:c r="Z86" s="21" t="n">
        <x:f>MIN('参数'!$B$36,U86/(U86+'参数'!$B$35))</x:f>
        <x:v>0.12549561504538945</x:v>
      </x:c>
      <x:c r="AA86" s="18" t="n">
        <x:f>T86*'参数'!$B$30/('参数'!$B$32*'参数'!$B$33)/(1-Z86)*AC86</x:f>
        <x:v>296.1971608344979</x:v>
      </x:c>
      <x:c r="AB86" s="18" t="n">
        <x:f>T86*'参数'!$B$31/'参数'!$B$34/(1-Z86)*AC86</x:f>
        <x:v>592.3943216689958</x:v>
      </x:c>
      <x:c r="AC86" s="15" t="n">
        <x:f>'参数'!$L$26*1</x:f>
        <x:v>1</x:v>
      </x:c>
      <x:c r="AD86" s="15" t="n">
        <x:f>1</x:f>
        <x:v>1</x:v>
      </x:c>
      <x:c r="AE86" s="18" t="n">
        <x:f>IF(MOD(B86,12)=0,1,0)</x:f>
        <x:v>0</x:v>
      </x:c>
    </x:row>
    <x:row r="87" ht="22" customHeight="1">
      <x:c r="A87" s="19" t="str">
        <x:v>简单</x:v>
      </x:c>
      <x:c r="B87" s="19" t="n">
        <x:v>82</x:v>
      </x:c>
      <x:c r="C87" s="19" t="n">
        <x:f>ROUNDUP(B87/12,0)</x:f>
        <x:v>7</x:v>
      </x:c>
      <x:c r="D87" s="19" t="n">
        <x:f>ROUND(MAX('参数'!$G$26,E87)+(IF(C87&lt;10,INDEX('参数'!$G$34:$P$34,1,MIN(10,C87+1)),'参数'!$H$26)-MAX('参数'!$G$26,E87))*MOD(B87-1,12)/11,0)</x:f>
        <x:v>40</x:v>
      </x:c>
      <x:c r="E87" s="19" t="n">
        <x:f>INDEX('参数'!$G$34:$P$34,1,C87)</x:f>
        <x:v>40</x:v>
      </x:c>
      <x:c r="F87" s="20" t="n">
        <x:f>'参数'!$I$26</x:f>
        <x:v>1.05</x:v>
      </x:c>
      <x:c r="G87" s="19" t="n">
        <x:f>ROUND(V87*X87/'参数'!$B$56,0)</x:f>
        <x:v>19394</x:v>
      </x:c>
      <x:c r="H87" s="19" t="n">
        <x:f>ROUND((AA87+SQRT(AA87^2+4*AA87*'参数'!$B$22*U87))/2,0)</x:f>
        <x:v>632</x:v>
      </x:c>
      <x:c r="I87" s="19" t="n">
        <x:f>ROUND(Q87*'参数'!$B$23/'参数'!$B$22,0)</x:f>
        <x:v>184</x:v>
      </x:c>
      <x:c r="J87" s="19" t="n">
        <x:f>ROUND(G87*'参数'!$B$50,0)</x:f>
        <x:v>58182</x:v>
      </x:c>
      <x:c r="K87" s="19" t="n">
        <x:f>ROUND(W87*Y87,0)</x:f>
        <x:v>181238</x:v>
      </x:c>
      <x:c r="L87" s="19" t="n">
        <x:f>ROUND((AB87+SQRT(AB87^2+4*AB87*'参数'!$B$22*U87))/2,0)</x:f>
        <x:v>1012</x:v>
      </x:c>
      <x:c r="M87" s="19" t="n">
        <x:f>ROUND(I87*'参数'!$B$24,0)</x:f>
        <x:v>230</x:v>
      </x:c>
      <x:c r="N87" s="19" t="n">
        <x:f>'参数'!$B$9*'参数'!$B$10^(D87-1)</x:f>
        <x:v>1900.2161895140257</x:v>
      </x:c>
      <x:c r="O87" s="19" t="n">
        <x:f>'参数'!$B$18*'参数'!$B$19^(MIN(E87,MAX(1,5*INT(D87/5)))-1)*F87*'参数'!$J$26*P87</x:f>
        <x:v>155.90616865008087</x:v>
      </x:c>
      <x:c r="P87" s="22" t="n">
        <x:f>MIN(1,(D87-1)/19)</x:f>
        <x:v>1</x:v>
      </x:c>
      <x:c r="Q87" s="19" t="n">
        <x:f>INDEX('角色成长'!$F$6:$F$105,D87)+O87*'参数'!$K$21</x:f>
        <x:v>922.3325806527305</x:v>
      </x:c>
      <x:c r="R87" s="19" t="n">
        <x:f>INDEX('角色成长'!$I$6:$I$105,D87)+O87*'参数'!$K$21</x:f>
        <x:v>788.3325806527305</x:v>
      </x:c>
      <x:c r="S87" s="19" t="n">
        <x:f>INDEX('角色成长'!$L$6:$L$105,D87)+O87*'参数'!$K$21</x:f>
        <x:v>712.3325806527305</x:v>
      </x:c>
      <x:c r="T87" s="19" t="n">
        <x:f>(INDEX('角色成长'!$J$6:$J$105,D87)+O87*'参数'!$L$21)*(1+'参数'!$B$40*P87)</x:f>
        <x:v>10361.028638434977</x:v>
      </x:c>
      <x:c r="U87" s="19" t="n">
        <x:f>(INDEX('角色成长'!$K$6:$K$105,D87)+O87*'参数'!$M$21)*(1+'参数'!$B$41*P87)</x:f>
        <x:v>574.0193746514058</x:v>
      </x:c>
      <x:c r="V87" s="19" t="n">
        <x:f>(('参数'!$K$5*(((Q87*(1+'参数'!$B$39*P87))^2/((Q87*(1+'参数'!$B$39*P87))+'参数'!$B$22*(I87)))*(1+'参数'!$B$42*P87)/'参数'!$J$5+((Q87*'参数'!$B$43*(1+'参数'!$B$39*P87))^2/((Q87*'参数'!$B$43*(1+'参数'!$B$39*P87))+'参数'!$B$22*(I87)))/'参数'!$B$44))+(((R87*(1+'参数'!$B$39*P87))^2/((R87*(1+'参数'!$B$39*P87))+'参数'!$B$22*(I87)))*(1+'参数'!$B$42*P87)/'参数'!$J$6+((R87*'参数'!$B$45*(1+'参数'!$B$39*P87))^2/((R87*'参数'!$B$45*(1+'参数'!$B$39*P87))+'参数'!$B$22*(I87)))/'参数'!$B$46)+((S87*(1+'参数'!$B$39*P87))^2/((S87*(1+'参数'!$B$39*P87))+'参数'!$B$22*(I87)))*(1+'参数'!$B$42*P87)/'参数'!$J$7)*(1+'参数'!$B$37*('参数'!$B$38-1))*'参数'!$B$25</x:f>
        <x:v>6210.993653858278</x:v>
      </x:c>
      <x:c r="W87" s="19" t="n">
        <x:f>(('参数'!$K$5*(((Q87*(1+'参数'!$B$39*P87))^2/((Q87*(1+'参数'!$B$39*P87))+'参数'!$B$22*(M87)))*(1+'参数'!$B$42*P87)/'参数'!$J$5+((Q87*'参数'!$B$43*(1+'参数'!$B$39*P87))^2/((Q87*'参数'!$B$43*(1+'参数'!$B$39*P87))+'参数'!$B$22*(M87)))/'参数'!$B$44))+(((R87*(1+'参数'!$B$39*P87))^2/((R87*(1+'参数'!$B$39*P87))+'参数'!$B$22*(M87)))*(1+'参数'!$B$42*P87)/'参数'!$J$6+((R87*'参数'!$B$45*(1+'参数'!$B$39*P87))^2/((R87*'参数'!$B$45*(1+'参数'!$B$39*P87))+'参数'!$B$22*(M87)))/'参数'!$B$46)+((S87*(1+'参数'!$B$39*P87))^2/((S87*(1+'参数'!$B$39*P87))+'参数'!$B$22*(M87)))*(1+'参数'!$B$42*P87)/'参数'!$J$7)*(1+'参数'!$B$37*('参数'!$B$38-1))</x:f>
        <x:v>4784.679924593661</x:v>
      </x:c>
      <x:c r="X87" s="26" t="n">
        <x:f>('参数'!$B$26+'参数'!$B$27*(D87-1)/99)*'参数'!$K$26*AD87</x:f>
        <x:v>14.363636363636363</x:v>
      </x:c>
      <x:c r="Y87" s="26" t="n">
        <x:f>('参数'!$B$28+'参数'!$B$29*(D87-1)/99)*'参数'!$K$26*AD87*IF(AE87=1,'参数'!$B$51,1)</x:f>
        <x:v>37.878787878787875</x:v>
      </x:c>
      <x:c r="Z87" s="22" t="n">
        <x:f>MIN('参数'!$B$36,U87/(U87+'参数'!$B$35))</x:f>
        <x:v>0.12549561504538945</x:v>
      </x:c>
      <x:c r="AA87" s="19" t="n">
        <x:f>T87*'参数'!$B$30/('参数'!$B$32*'参数'!$B$33)/(1-Z87)*AC87</x:f>
        <x:v>296.1971608344979</x:v>
      </x:c>
      <x:c r="AB87" s="19" t="n">
        <x:f>T87*'参数'!$B$31/'参数'!$B$34/(1-Z87)*AC87</x:f>
        <x:v>592.3943216689958</x:v>
      </x:c>
      <x:c r="AC87" s="20" t="n">
        <x:f>'参数'!$L$26*1</x:f>
        <x:v>1</x:v>
      </x:c>
      <x:c r="AD87" s="20" t="n">
        <x:f>1</x:f>
        <x:v>1</x:v>
      </x:c>
      <x:c r="AE87" s="19" t="n">
        <x:f>IF(MOD(B87,12)=0,1,0)</x:f>
        <x:v>0</x:v>
      </x:c>
    </x:row>
    <x:row r="88" ht="22" customHeight="1">
      <x:c r="A88" s="18" t="str">
        <x:v>简单</x:v>
      </x:c>
      <x:c r="B88" s="18" t="n">
        <x:v>83</x:v>
      </x:c>
      <x:c r="C88" s="18" t="n">
        <x:f>ROUNDUP(B88/12,0)</x:f>
        <x:v>7</x:v>
      </x:c>
      <x:c r="D88" s="18" t="n">
        <x:f>ROUND(MAX('参数'!$G$26,E88)+(IF(C88&lt;10,INDEX('参数'!$G$34:$P$34,1,MIN(10,C88+1)),'参数'!$H$26)-MAX('参数'!$G$26,E88))*MOD(B88-1,12)/11,0)</x:f>
        <x:v>40</x:v>
      </x:c>
      <x:c r="E88" s="18" t="n">
        <x:f>INDEX('参数'!$G$34:$P$34,1,C88)</x:f>
        <x:v>40</x:v>
      </x:c>
      <x:c r="F88" s="15" t="n">
        <x:f>'参数'!$I$26</x:f>
        <x:v>1.05</x:v>
      </x:c>
      <x:c r="G88" s="18" t="n">
        <x:f>ROUND(V88*X88/'参数'!$B$56,0)</x:f>
        <x:v>19394</x:v>
      </x:c>
      <x:c r="H88" s="18" t="n">
        <x:f>ROUND((AA88+SQRT(AA88^2+4*AA88*'参数'!$B$22*U88))/2,0)</x:f>
        <x:v>632</x:v>
      </x:c>
      <x:c r="I88" s="18" t="n">
        <x:f>ROUND(Q88*'参数'!$B$23/'参数'!$B$22,0)</x:f>
        <x:v>184</x:v>
      </x:c>
      <x:c r="J88" s="18" t="n">
        <x:f>ROUND(G88*'参数'!$B$50,0)</x:f>
        <x:v>58182</x:v>
      </x:c>
      <x:c r="K88" s="18" t="n">
        <x:f>ROUND(W88*Y88,0)</x:f>
        <x:v>181238</x:v>
      </x:c>
      <x:c r="L88" s="18" t="n">
        <x:f>ROUND((AB88+SQRT(AB88^2+4*AB88*'参数'!$B$22*U88))/2,0)</x:f>
        <x:v>1012</x:v>
      </x:c>
      <x:c r="M88" s="18" t="n">
        <x:f>ROUND(I88*'参数'!$B$24,0)</x:f>
        <x:v>230</x:v>
      </x:c>
      <x:c r="N88" s="18" t="n">
        <x:f>'参数'!$B$9*'参数'!$B$10^(D88-1)</x:f>
        <x:v>1900.2161895140257</x:v>
      </x:c>
      <x:c r="O88" s="18" t="n">
        <x:f>'参数'!$B$18*'参数'!$B$19^(MIN(E88,MAX(1,5*INT(D88/5)))-1)*F88*'参数'!$J$26*P88</x:f>
        <x:v>155.90616865008087</x:v>
      </x:c>
      <x:c r="P88" s="21" t="n">
        <x:f>MIN(1,(D88-1)/19)</x:f>
        <x:v>1</x:v>
      </x:c>
      <x:c r="Q88" s="18" t="n">
        <x:f>INDEX('角色成长'!$F$6:$F$105,D88)+O88*'参数'!$K$21</x:f>
        <x:v>922.3325806527305</x:v>
      </x:c>
      <x:c r="R88" s="18" t="n">
        <x:f>INDEX('角色成长'!$I$6:$I$105,D88)+O88*'参数'!$K$21</x:f>
        <x:v>788.3325806527305</x:v>
      </x:c>
      <x:c r="S88" s="18" t="n">
        <x:f>INDEX('角色成长'!$L$6:$L$105,D88)+O88*'参数'!$K$21</x:f>
        <x:v>712.3325806527305</x:v>
      </x:c>
      <x:c r="T88" s="18" t="n">
        <x:f>(INDEX('角色成长'!$J$6:$J$105,D88)+O88*'参数'!$L$21)*(1+'参数'!$B$40*P88)</x:f>
        <x:v>10361.028638434977</x:v>
      </x:c>
      <x:c r="U88" s="18" t="n">
        <x:f>(INDEX('角色成长'!$K$6:$K$105,D88)+O88*'参数'!$M$21)*(1+'参数'!$B$41*P88)</x:f>
        <x:v>574.0193746514058</x:v>
      </x:c>
      <x:c r="V88" s="18" t="n">
        <x:f>(('参数'!$K$5*(((Q88*(1+'参数'!$B$39*P88))^2/((Q88*(1+'参数'!$B$39*P88))+'参数'!$B$22*(I88)))*(1+'参数'!$B$42*P88)/'参数'!$J$5+((Q88*'参数'!$B$43*(1+'参数'!$B$39*P88))^2/((Q88*'参数'!$B$43*(1+'参数'!$B$39*P88))+'参数'!$B$22*(I88)))/'参数'!$B$44))+(((R88*(1+'参数'!$B$39*P88))^2/((R88*(1+'参数'!$B$39*P88))+'参数'!$B$22*(I88)))*(1+'参数'!$B$42*P88)/'参数'!$J$6+((R88*'参数'!$B$45*(1+'参数'!$B$39*P88))^2/((R88*'参数'!$B$45*(1+'参数'!$B$39*P88))+'参数'!$B$22*(I88)))/'参数'!$B$46)+((S88*(1+'参数'!$B$39*P88))^2/((S88*(1+'参数'!$B$39*P88))+'参数'!$B$22*(I88)))*(1+'参数'!$B$42*P88)/'参数'!$J$7)*(1+'参数'!$B$37*('参数'!$B$38-1))*'参数'!$B$25</x:f>
        <x:v>6210.993653858278</x:v>
      </x:c>
      <x:c r="W88" s="18" t="n">
        <x:f>(('参数'!$K$5*(((Q88*(1+'参数'!$B$39*P88))^2/((Q88*(1+'参数'!$B$39*P88))+'参数'!$B$22*(M88)))*(1+'参数'!$B$42*P88)/'参数'!$J$5+((Q88*'参数'!$B$43*(1+'参数'!$B$39*P88))^2/((Q88*'参数'!$B$43*(1+'参数'!$B$39*P88))+'参数'!$B$22*(M88)))/'参数'!$B$44))+(((R88*(1+'参数'!$B$39*P88))^2/((R88*(1+'参数'!$B$39*P88))+'参数'!$B$22*(M88)))*(1+'参数'!$B$42*P88)/'参数'!$J$6+((R88*'参数'!$B$45*(1+'参数'!$B$39*P88))^2/((R88*'参数'!$B$45*(1+'参数'!$B$39*P88))+'参数'!$B$22*(M88)))/'参数'!$B$46)+((S88*(1+'参数'!$B$39*P88))^2/((S88*(1+'参数'!$B$39*P88))+'参数'!$B$22*(M88)))*(1+'参数'!$B$42*P88)/'参数'!$J$7)*(1+'参数'!$B$37*('参数'!$B$38-1))</x:f>
        <x:v>4784.679924593661</x:v>
      </x:c>
      <x:c r="X88" s="25" t="n">
        <x:f>('参数'!$B$26+'参数'!$B$27*(D88-1)/99)*'参数'!$K$26*AD88</x:f>
        <x:v>14.363636363636363</x:v>
      </x:c>
      <x:c r="Y88" s="25" t="n">
        <x:f>('参数'!$B$28+'参数'!$B$29*(D88-1)/99)*'参数'!$K$26*AD88*IF(AE88=1,'参数'!$B$51,1)</x:f>
        <x:v>37.878787878787875</x:v>
      </x:c>
      <x:c r="Z88" s="21" t="n">
        <x:f>MIN('参数'!$B$36,U88/(U88+'参数'!$B$35))</x:f>
        <x:v>0.12549561504538945</x:v>
      </x:c>
      <x:c r="AA88" s="18" t="n">
        <x:f>T88*'参数'!$B$30/('参数'!$B$32*'参数'!$B$33)/(1-Z88)*AC88</x:f>
        <x:v>296.1971608344979</x:v>
      </x:c>
      <x:c r="AB88" s="18" t="n">
        <x:f>T88*'参数'!$B$31/'参数'!$B$34/(1-Z88)*AC88</x:f>
        <x:v>592.3943216689958</x:v>
      </x:c>
      <x:c r="AC88" s="15" t="n">
        <x:f>'参数'!$L$26*1</x:f>
        <x:v>1</x:v>
      </x:c>
      <x:c r="AD88" s="15" t="n">
        <x:f>1</x:f>
        <x:v>1</x:v>
      </x:c>
      <x:c r="AE88" s="18" t="n">
        <x:f>IF(MOD(B88,12)=0,1,0)</x:f>
        <x:v>0</x:v>
      </x:c>
    </x:row>
    <x:row r="89" ht="22" customHeight="1">
      <x:c r="A89" s="19" t="str">
        <x:v>简单</x:v>
      </x:c>
      <x:c r="B89" s="19" t="n">
        <x:v>84</x:v>
      </x:c>
      <x:c r="C89" s="19" t="n">
        <x:f>ROUNDUP(B89/12,0)</x:f>
        <x:v>7</x:v>
      </x:c>
      <x:c r="D89" s="19" t="n">
        <x:f>ROUND(MAX('参数'!$G$26,E89)+(IF(C89&lt;10,INDEX('参数'!$G$34:$P$34,1,MIN(10,C89+1)),'参数'!$H$26)-MAX('参数'!$G$26,E89))*MOD(B89-1,12)/11,0)</x:f>
        <x:v>40</x:v>
      </x:c>
      <x:c r="E89" s="19" t="n">
        <x:f>INDEX('参数'!$G$34:$P$34,1,C89)</x:f>
        <x:v>40</x:v>
      </x:c>
      <x:c r="F89" s="20" t="n">
        <x:f>'参数'!$I$26</x:f>
        <x:v>1.05</x:v>
      </x:c>
      <x:c r="G89" s="19" t="n">
        <x:f>ROUND(V89*X89/'参数'!$B$56,0)</x:f>
        <x:v>19394</x:v>
      </x:c>
      <x:c r="H89" s="19" t="n">
        <x:f>ROUND((AA89+SQRT(AA89^2+4*AA89*'参数'!$B$22*U89))/2,0)</x:f>
        <x:v>632</x:v>
      </x:c>
      <x:c r="I89" s="19" t="n">
        <x:f>ROUND(Q89*'参数'!$B$23/'参数'!$B$22,0)</x:f>
        <x:v>184</x:v>
      </x:c>
      <x:c r="J89" s="19" t="n">
        <x:f>ROUND(G89*'参数'!$B$50,0)</x:f>
        <x:v>58182</x:v>
      </x:c>
      <x:c r="K89" s="19" t="n">
        <x:f>ROUND(W89*Y89,0)</x:f>
        <x:v>208424</x:v>
      </x:c>
      <x:c r="L89" s="19" t="n">
        <x:f>ROUND((AB89+SQRT(AB89^2+4*AB89*'参数'!$B$22*U89))/2,0)</x:f>
        <x:v>1012</x:v>
      </x:c>
      <x:c r="M89" s="19" t="n">
        <x:f>ROUND(I89*'参数'!$B$24,0)</x:f>
        <x:v>230</x:v>
      </x:c>
      <x:c r="N89" s="19" t="n">
        <x:f>'参数'!$B$9*'参数'!$B$10^(D89-1)</x:f>
        <x:v>1900.2161895140257</x:v>
      </x:c>
      <x:c r="O89" s="19" t="n">
        <x:f>'参数'!$B$18*'参数'!$B$19^(MIN(E89,MAX(1,5*INT(D89/5)))-1)*F89*'参数'!$J$26*P89</x:f>
        <x:v>155.90616865008087</x:v>
      </x:c>
      <x:c r="P89" s="22" t="n">
        <x:f>MIN(1,(D89-1)/19)</x:f>
        <x:v>1</x:v>
      </x:c>
      <x:c r="Q89" s="19" t="n">
        <x:f>INDEX('角色成长'!$F$6:$F$105,D89)+O89*'参数'!$K$21</x:f>
        <x:v>922.3325806527305</x:v>
      </x:c>
      <x:c r="R89" s="19" t="n">
        <x:f>INDEX('角色成长'!$I$6:$I$105,D89)+O89*'参数'!$K$21</x:f>
        <x:v>788.3325806527305</x:v>
      </x:c>
      <x:c r="S89" s="19" t="n">
        <x:f>INDEX('角色成长'!$L$6:$L$105,D89)+O89*'参数'!$K$21</x:f>
        <x:v>712.3325806527305</x:v>
      </x:c>
      <x:c r="T89" s="19" t="n">
        <x:f>(INDEX('角色成长'!$J$6:$J$105,D89)+O89*'参数'!$L$21)*(1+'参数'!$B$40*P89)</x:f>
        <x:v>10361.028638434977</x:v>
      </x:c>
      <x:c r="U89" s="19" t="n">
        <x:f>(INDEX('角色成长'!$K$6:$K$105,D89)+O89*'参数'!$M$21)*(1+'参数'!$B$41*P89)</x:f>
        <x:v>574.0193746514058</x:v>
      </x:c>
      <x:c r="V89" s="19" t="n">
        <x:f>(('参数'!$K$5*(((Q89*(1+'参数'!$B$39*P89))^2/((Q89*(1+'参数'!$B$39*P89))+'参数'!$B$22*(I89)))*(1+'参数'!$B$42*P89)/'参数'!$J$5+((Q89*'参数'!$B$43*(1+'参数'!$B$39*P89))^2/((Q89*'参数'!$B$43*(1+'参数'!$B$39*P89))+'参数'!$B$22*(I89)))/'参数'!$B$44))+(((R89*(1+'参数'!$B$39*P89))^2/((R89*(1+'参数'!$B$39*P89))+'参数'!$B$22*(I89)))*(1+'参数'!$B$42*P89)/'参数'!$J$6+((R89*'参数'!$B$45*(1+'参数'!$B$39*P89))^2/((R89*'参数'!$B$45*(1+'参数'!$B$39*P89))+'参数'!$B$22*(I89)))/'参数'!$B$46)+((S89*(1+'参数'!$B$39*P89))^2/((S89*(1+'参数'!$B$39*P89))+'参数'!$B$22*(I89)))*(1+'参数'!$B$42*P89)/'参数'!$J$7)*(1+'参数'!$B$37*('参数'!$B$38-1))*'参数'!$B$25</x:f>
        <x:v>6210.993653858278</x:v>
      </x:c>
      <x:c r="W89" s="19" t="n">
        <x:f>(('参数'!$K$5*(((Q89*(1+'参数'!$B$39*P89))^2/((Q89*(1+'参数'!$B$39*P89))+'参数'!$B$22*(M89)))*(1+'参数'!$B$42*P89)/'参数'!$J$5+((Q89*'参数'!$B$43*(1+'参数'!$B$39*P89))^2/((Q89*'参数'!$B$43*(1+'参数'!$B$39*P89))+'参数'!$B$22*(M89)))/'参数'!$B$44))+(((R89*(1+'参数'!$B$39*P89))^2/((R89*(1+'参数'!$B$39*P89))+'参数'!$B$22*(M89)))*(1+'参数'!$B$42*P89)/'参数'!$J$6+((R89*'参数'!$B$45*(1+'参数'!$B$39*P89))^2/((R89*'参数'!$B$45*(1+'参数'!$B$39*P89))+'参数'!$B$22*(M89)))/'参数'!$B$46)+((S89*(1+'参数'!$B$39*P89))^2/((S89*(1+'参数'!$B$39*P89))+'参数'!$B$22*(M89)))*(1+'参数'!$B$42*P89)/'参数'!$J$7)*(1+'参数'!$B$37*('参数'!$B$38-1))</x:f>
        <x:v>4784.679924593661</x:v>
      </x:c>
      <x:c r="X89" s="26" t="n">
        <x:f>('参数'!$B$26+'参数'!$B$27*(D89-1)/99)*'参数'!$K$26*AD89</x:f>
        <x:v>14.363636363636363</x:v>
      </x:c>
      <x:c r="Y89" s="26" t="n">
        <x:f>('参数'!$B$28+'参数'!$B$29*(D89-1)/99)*'参数'!$K$26*AD89*IF(AE89=1,'参数'!$B$51,1)</x:f>
        <x:v>43.560606060606055</x:v>
      </x:c>
      <x:c r="Z89" s="22" t="n">
        <x:f>MIN('参数'!$B$36,U89/(U89+'参数'!$B$35))</x:f>
        <x:v>0.12549561504538945</x:v>
      </x:c>
      <x:c r="AA89" s="19" t="n">
        <x:f>T89*'参数'!$B$30/('参数'!$B$32*'参数'!$B$33)/(1-Z89)*AC89</x:f>
        <x:v>296.1971608344979</x:v>
      </x:c>
      <x:c r="AB89" s="19" t="n">
        <x:f>T89*'参数'!$B$31/'参数'!$B$34/(1-Z89)*AC89</x:f>
        <x:v>592.3943216689958</x:v>
      </x:c>
      <x:c r="AC89" s="20" t="n">
        <x:f>'参数'!$L$26*1</x:f>
        <x:v>1</x:v>
      </x:c>
      <x:c r="AD89" s="20" t="n">
        <x:f>1</x:f>
        <x:v>1</x:v>
      </x:c>
      <x:c r="AE89" s="19" t="n">
        <x:f>IF(MOD(B89,12)=0,1,0)</x:f>
        <x:v>1</x:v>
      </x:c>
    </x:row>
    <x:row r="90" ht="22" customHeight="1">
      <x:c r="A90" s="18" t="str">
        <x:v>简单</x:v>
      </x:c>
      <x:c r="B90" s="18" t="n">
        <x:v>85</x:v>
      </x:c>
      <x:c r="C90" s="18" t="n">
        <x:f>ROUNDUP(B90/12,0)</x:f>
        <x:v>8</x:v>
      </x:c>
      <x:c r="D90" s="18" t="n">
        <x:f>ROUND(MAX('参数'!$G$26,E90)+(IF(C90&lt;10,INDEX('参数'!$G$34:$P$34,1,MIN(10,C90+1)),'参数'!$H$26)-MAX('参数'!$G$26,E90))*MOD(B90-1,12)/11,0)</x:f>
        <x:v>40</x:v>
      </x:c>
      <x:c r="E90" s="18" t="n">
        <x:f>INDEX('参数'!$G$34:$P$34,1,C90)</x:f>
        <x:v>40</x:v>
      </x:c>
      <x:c r="F90" s="15" t="n">
        <x:f>'参数'!$I$26</x:f>
        <x:v>1.05</x:v>
      </x:c>
      <x:c r="G90" s="18" t="n">
        <x:f>ROUND(V90*X90/'参数'!$B$56,0)</x:f>
        <x:v>19394</x:v>
      </x:c>
      <x:c r="H90" s="18" t="n">
        <x:f>ROUND((AA90+SQRT(AA90^2+4*AA90*'参数'!$B$22*U90))/2,0)</x:f>
        <x:v>632</x:v>
      </x:c>
      <x:c r="I90" s="18" t="n">
        <x:f>ROUND(Q90*'参数'!$B$23/'参数'!$B$22,0)</x:f>
        <x:v>184</x:v>
      </x:c>
      <x:c r="J90" s="18" t="n">
        <x:f>ROUND(G90*'参数'!$B$50,0)</x:f>
        <x:v>58182</x:v>
      </x:c>
      <x:c r="K90" s="18" t="n">
        <x:f>ROUND(W90*Y90,0)</x:f>
        <x:v>181238</x:v>
      </x:c>
      <x:c r="L90" s="18" t="n">
        <x:f>ROUND((AB90+SQRT(AB90^2+4*AB90*'参数'!$B$22*U90))/2,0)</x:f>
        <x:v>1012</x:v>
      </x:c>
      <x:c r="M90" s="18" t="n">
        <x:f>ROUND(I90*'参数'!$B$24,0)</x:f>
        <x:v>230</x:v>
      </x:c>
      <x:c r="N90" s="18" t="n">
        <x:f>'参数'!$B$9*'参数'!$B$10^(D90-1)</x:f>
        <x:v>1900.2161895140257</x:v>
      </x:c>
      <x:c r="O90" s="18" t="n">
        <x:f>'参数'!$B$18*'参数'!$B$19^(MIN(E90,MAX(1,5*INT(D90/5)))-1)*F90*'参数'!$J$26*P90</x:f>
        <x:v>155.90616865008087</x:v>
      </x:c>
      <x:c r="P90" s="21" t="n">
        <x:f>MIN(1,(D90-1)/19)</x:f>
        <x:v>1</x:v>
      </x:c>
      <x:c r="Q90" s="18" t="n">
        <x:f>INDEX('角色成长'!$F$6:$F$105,D90)+O90*'参数'!$K$21</x:f>
        <x:v>922.3325806527305</x:v>
      </x:c>
      <x:c r="R90" s="18" t="n">
        <x:f>INDEX('角色成长'!$I$6:$I$105,D90)+O90*'参数'!$K$21</x:f>
        <x:v>788.3325806527305</x:v>
      </x:c>
      <x:c r="S90" s="18" t="n">
        <x:f>INDEX('角色成长'!$L$6:$L$105,D90)+O90*'参数'!$K$21</x:f>
        <x:v>712.3325806527305</x:v>
      </x:c>
      <x:c r="T90" s="18" t="n">
        <x:f>(INDEX('角色成长'!$J$6:$J$105,D90)+O90*'参数'!$L$21)*(1+'参数'!$B$40*P90)</x:f>
        <x:v>10361.028638434977</x:v>
      </x:c>
      <x:c r="U90" s="18" t="n">
        <x:f>(INDEX('角色成长'!$K$6:$K$105,D90)+O90*'参数'!$M$21)*(1+'参数'!$B$41*P90)</x:f>
        <x:v>574.0193746514058</x:v>
      </x:c>
      <x:c r="V90" s="18" t="n">
        <x:f>(('参数'!$K$5*(((Q90*(1+'参数'!$B$39*P90))^2/((Q90*(1+'参数'!$B$39*P90))+'参数'!$B$22*(I90)))*(1+'参数'!$B$42*P90)/'参数'!$J$5+((Q90*'参数'!$B$43*(1+'参数'!$B$39*P90))^2/((Q90*'参数'!$B$43*(1+'参数'!$B$39*P90))+'参数'!$B$22*(I90)))/'参数'!$B$44))+(((R90*(1+'参数'!$B$39*P90))^2/((R90*(1+'参数'!$B$39*P90))+'参数'!$B$22*(I90)))*(1+'参数'!$B$42*P90)/'参数'!$J$6+((R90*'参数'!$B$45*(1+'参数'!$B$39*P90))^2/((R90*'参数'!$B$45*(1+'参数'!$B$39*P90))+'参数'!$B$22*(I90)))/'参数'!$B$46)+((S90*(1+'参数'!$B$39*P90))^2/((S90*(1+'参数'!$B$39*P90))+'参数'!$B$22*(I90)))*(1+'参数'!$B$42*P90)/'参数'!$J$7)*(1+'参数'!$B$37*('参数'!$B$38-1))*'参数'!$B$25</x:f>
        <x:v>6210.993653858278</x:v>
      </x:c>
      <x:c r="W90" s="18" t="n">
        <x:f>(('参数'!$K$5*(((Q90*(1+'参数'!$B$39*P90))^2/((Q90*(1+'参数'!$B$39*P90))+'参数'!$B$22*(M90)))*(1+'参数'!$B$42*P90)/'参数'!$J$5+((Q90*'参数'!$B$43*(1+'参数'!$B$39*P90))^2/((Q90*'参数'!$B$43*(1+'参数'!$B$39*P90))+'参数'!$B$22*(M90)))/'参数'!$B$44))+(((R90*(1+'参数'!$B$39*P90))^2/((R90*(1+'参数'!$B$39*P90))+'参数'!$B$22*(M90)))*(1+'参数'!$B$42*P90)/'参数'!$J$6+((R90*'参数'!$B$45*(1+'参数'!$B$39*P90))^2/((R90*'参数'!$B$45*(1+'参数'!$B$39*P90))+'参数'!$B$22*(M90)))/'参数'!$B$46)+((S90*(1+'参数'!$B$39*P90))^2/((S90*(1+'参数'!$B$39*P90))+'参数'!$B$22*(M90)))*(1+'参数'!$B$42*P90)/'参数'!$J$7)*(1+'参数'!$B$37*('参数'!$B$38-1))</x:f>
        <x:v>4784.679924593661</x:v>
      </x:c>
      <x:c r="X90" s="25" t="n">
        <x:f>('参数'!$B$26+'参数'!$B$27*(D90-1)/99)*'参数'!$K$26*AD90</x:f>
        <x:v>14.363636363636363</x:v>
      </x:c>
      <x:c r="Y90" s="25" t="n">
        <x:f>('参数'!$B$28+'参数'!$B$29*(D90-1)/99)*'参数'!$K$26*AD90*IF(AE90=1,'参数'!$B$51,1)</x:f>
        <x:v>37.878787878787875</x:v>
      </x:c>
      <x:c r="Z90" s="21" t="n">
        <x:f>MIN('参数'!$B$36,U90/(U90+'参数'!$B$35))</x:f>
        <x:v>0.12549561504538945</x:v>
      </x:c>
      <x:c r="AA90" s="18" t="n">
        <x:f>T90*'参数'!$B$30/('参数'!$B$32*'参数'!$B$33)/(1-Z90)*AC90</x:f>
        <x:v>296.1971608344979</x:v>
      </x:c>
      <x:c r="AB90" s="18" t="n">
        <x:f>T90*'参数'!$B$31/'参数'!$B$34/(1-Z90)*AC90</x:f>
        <x:v>592.3943216689958</x:v>
      </x:c>
      <x:c r="AC90" s="15" t="n">
        <x:f>'参数'!$L$26*1</x:f>
        <x:v>1</x:v>
      </x:c>
      <x:c r="AD90" s="15" t="n">
        <x:f>1</x:f>
        <x:v>1</x:v>
      </x:c>
      <x:c r="AE90" s="18" t="n">
        <x:f>IF(MOD(B90,12)=0,1,0)</x:f>
        <x:v>0</x:v>
      </x:c>
    </x:row>
    <x:row r="91" ht="22" customHeight="1">
      <x:c r="A91" s="19" t="str">
        <x:v>简单</x:v>
      </x:c>
      <x:c r="B91" s="19" t="n">
        <x:v>86</x:v>
      </x:c>
      <x:c r="C91" s="19" t="n">
        <x:f>ROUNDUP(B91/12,0)</x:f>
        <x:v>8</x:v>
      </x:c>
      <x:c r="D91" s="19" t="n">
        <x:f>ROUND(MAX('参数'!$G$26,E91)+(IF(C91&lt;10,INDEX('参数'!$G$34:$P$34,1,MIN(10,C91+1)),'参数'!$H$26)-MAX('参数'!$G$26,E91))*MOD(B91-1,12)/11,0)</x:f>
        <x:v>40</x:v>
      </x:c>
      <x:c r="E91" s="19" t="n">
        <x:f>INDEX('参数'!$G$34:$P$34,1,C91)</x:f>
        <x:v>40</x:v>
      </x:c>
      <x:c r="F91" s="20" t="n">
        <x:f>'参数'!$I$26</x:f>
        <x:v>1.05</x:v>
      </x:c>
      <x:c r="G91" s="19" t="n">
        <x:f>ROUND(V91*X91/'参数'!$B$56,0)</x:f>
        <x:v>19394</x:v>
      </x:c>
      <x:c r="H91" s="19" t="n">
        <x:f>ROUND((AA91+SQRT(AA91^2+4*AA91*'参数'!$B$22*U91))/2,0)</x:f>
        <x:v>632</x:v>
      </x:c>
      <x:c r="I91" s="19" t="n">
        <x:f>ROUND(Q91*'参数'!$B$23/'参数'!$B$22,0)</x:f>
        <x:v>184</x:v>
      </x:c>
      <x:c r="J91" s="19" t="n">
        <x:f>ROUND(G91*'参数'!$B$50,0)</x:f>
        <x:v>58182</x:v>
      </x:c>
      <x:c r="K91" s="19" t="n">
        <x:f>ROUND(W91*Y91,0)</x:f>
        <x:v>181238</x:v>
      </x:c>
      <x:c r="L91" s="19" t="n">
        <x:f>ROUND((AB91+SQRT(AB91^2+4*AB91*'参数'!$B$22*U91))/2,0)</x:f>
        <x:v>1012</x:v>
      </x:c>
      <x:c r="M91" s="19" t="n">
        <x:f>ROUND(I91*'参数'!$B$24,0)</x:f>
        <x:v>230</x:v>
      </x:c>
      <x:c r="N91" s="19" t="n">
        <x:f>'参数'!$B$9*'参数'!$B$10^(D91-1)</x:f>
        <x:v>1900.2161895140257</x:v>
      </x:c>
      <x:c r="O91" s="19" t="n">
        <x:f>'参数'!$B$18*'参数'!$B$19^(MIN(E91,MAX(1,5*INT(D91/5)))-1)*F91*'参数'!$J$26*P91</x:f>
        <x:v>155.90616865008087</x:v>
      </x:c>
      <x:c r="P91" s="22" t="n">
        <x:f>MIN(1,(D91-1)/19)</x:f>
        <x:v>1</x:v>
      </x:c>
      <x:c r="Q91" s="19" t="n">
        <x:f>INDEX('角色成长'!$F$6:$F$105,D91)+O91*'参数'!$K$21</x:f>
        <x:v>922.3325806527305</x:v>
      </x:c>
      <x:c r="R91" s="19" t="n">
        <x:f>INDEX('角色成长'!$I$6:$I$105,D91)+O91*'参数'!$K$21</x:f>
        <x:v>788.3325806527305</x:v>
      </x:c>
      <x:c r="S91" s="19" t="n">
        <x:f>INDEX('角色成长'!$L$6:$L$105,D91)+O91*'参数'!$K$21</x:f>
        <x:v>712.3325806527305</x:v>
      </x:c>
      <x:c r="T91" s="19" t="n">
        <x:f>(INDEX('角色成长'!$J$6:$J$105,D91)+O91*'参数'!$L$21)*(1+'参数'!$B$40*P91)</x:f>
        <x:v>10361.028638434977</x:v>
      </x:c>
      <x:c r="U91" s="19" t="n">
        <x:f>(INDEX('角色成长'!$K$6:$K$105,D91)+O91*'参数'!$M$21)*(1+'参数'!$B$41*P91)</x:f>
        <x:v>574.0193746514058</x:v>
      </x:c>
      <x:c r="V91" s="19" t="n">
        <x:f>(('参数'!$K$5*(((Q91*(1+'参数'!$B$39*P91))^2/((Q91*(1+'参数'!$B$39*P91))+'参数'!$B$22*(I91)))*(1+'参数'!$B$42*P91)/'参数'!$J$5+((Q91*'参数'!$B$43*(1+'参数'!$B$39*P91))^2/((Q91*'参数'!$B$43*(1+'参数'!$B$39*P91))+'参数'!$B$22*(I91)))/'参数'!$B$44))+(((R91*(1+'参数'!$B$39*P91))^2/((R91*(1+'参数'!$B$39*P91))+'参数'!$B$22*(I91)))*(1+'参数'!$B$42*P91)/'参数'!$J$6+((R91*'参数'!$B$45*(1+'参数'!$B$39*P91))^2/((R91*'参数'!$B$45*(1+'参数'!$B$39*P91))+'参数'!$B$22*(I91)))/'参数'!$B$46)+((S91*(1+'参数'!$B$39*P91))^2/((S91*(1+'参数'!$B$39*P91))+'参数'!$B$22*(I91)))*(1+'参数'!$B$42*P91)/'参数'!$J$7)*(1+'参数'!$B$37*('参数'!$B$38-1))*'参数'!$B$25</x:f>
        <x:v>6210.993653858278</x:v>
      </x:c>
      <x:c r="W91" s="19" t="n">
        <x:f>(('参数'!$K$5*(((Q91*(1+'参数'!$B$39*P91))^2/((Q91*(1+'参数'!$B$39*P91))+'参数'!$B$22*(M91)))*(1+'参数'!$B$42*P91)/'参数'!$J$5+((Q91*'参数'!$B$43*(1+'参数'!$B$39*P91))^2/((Q91*'参数'!$B$43*(1+'参数'!$B$39*P91))+'参数'!$B$22*(M91)))/'参数'!$B$44))+(((R91*(1+'参数'!$B$39*P91))^2/((R91*(1+'参数'!$B$39*P91))+'参数'!$B$22*(M91)))*(1+'参数'!$B$42*P91)/'参数'!$J$6+((R91*'参数'!$B$45*(1+'参数'!$B$39*P91))^2/((R91*'参数'!$B$45*(1+'参数'!$B$39*P91))+'参数'!$B$22*(M91)))/'参数'!$B$46)+((S91*(1+'参数'!$B$39*P91))^2/((S91*(1+'参数'!$B$39*P91))+'参数'!$B$22*(M91)))*(1+'参数'!$B$42*P91)/'参数'!$J$7)*(1+'参数'!$B$37*('参数'!$B$38-1))</x:f>
        <x:v>4784.679924593661</x:v>
      </x:c>
      <x:c r="X91" s="26" t="n">
        <x:f>('参数'!$B$26+'参数'!$B$27*(D91-1)/99)*'参数'!$K$26*AD91</x:f>
        <x:v>14.363636363636363</x:v>
      </x:c>
      <x:c r="Y91" s="26" t="n">
        <x:f>('参数'!$B$28+'参数'!$B$29*(D91-1)/99)*'参数'!$K$26*AD91*IF(AE91=1,'参数'!$B$51,1)</x:f>
        <x:v>37.878787878787875</x:v>
      </x:c>
      <x:c r="Z91" s="22" t="n">
        <x:f>MIN('参数'!$B$36,U91/(U91+'参数'!$B$35))</x:f>
        <x:v>0.12549561504538945</x:v>
      </x:c>
      <x:c r="AA91" s="19" t="n">
        <x:f>T91*'参数'!$B$30/('参数'!$B$32*'参数'!$B$33)/(1-Z91)*AC91</x:f>
        <x:v>296.1971608344979</x:v>
      </x:c>
      <x:c r="AB91" s="19" t="n">
        <x:f>T91*'参数'!$B$31/'参数'!$B$34/(1-Z91)*AC91</x:f>
        <x:v>592.3943216689958</x:v>
      </x:c>
      <x:c r="AC91" s="20" t="n">
        <x:f>'参数'!$L$26*1</x:f>
        <x:v>1</x:v>
      </x:c>
      <x:c r="AD91" s="20" t="n">
        <x:f>1</x:f>
        <x:v>1</x:v>
      </x:c>
      <x:c r="AE91" s="19" t="n">
        <x:f>IF(MOD(B91,12)=0,1,0)</x:f>
        <x:v>0</x:v>
      </x:c>
    </x:row>
    <x:row r="92" ht="22" customHeight="1">
      <x:c r="A92" s="18" t="str">
        <x:v>简单</x:v>
      </x:c>
      <x:c r="B92" s="18" t="n">
        <x:v>87</x:v>
      </x:c>
      <x:c r="C92" s="18" t="n">
        <x:f>ROUNDUP(B92/12,0)</x:f>
        <x:v>8</x:v>
      </x:c>
      <x:c r="D92" s="18" t="n">
        <x:f>ROUND(MAX('参数'!$G$26,E92)+(IF(C92&lt;10,INDEX('参数'!$G$34:$P$34,1,MIN(10,C92+1)),'参数'!$H$26)-MAX('参数'!$G$26,E92))*MOD(B92-1,12)/11,0)</x:f>
        <x:v>41</x:v>
      </x:c>
      <x:c r="E92" s="18" t="n">
        <x:f>INDEX('参数'!$G$34:$P$34,1,C92)</x:f>
        <x:v>40</x:v>
      </x:c>
      <x:c r="F92" s="15" t="n">
        <x:f>'参数'!$I$26</x:f>
        <x:v>1.05</x:v>
      </x:c>
      <x:c r="G92" s="18" t="n">
        <x:f>ROUND(V92*X92/'参数'!$B$56,0)</x:f>
        <x:v>20594</x:v>
      </x:c>
      <x:c r="H92" s="18" t="n">
        <x:f>ROUND((AA92+SQRT(AA92^2+4*AA92*'参数'!$B$22*U92))/2,0)</x:f>
        <x:v>679</x:v>
      </x:c>
      <x:c r="I92" s="18" t="n">
        <x:f>ROUND(Q92*'参数'!$B$23/'参数'!$B$22,0)</x:f>
        <x:v>196</x:v>
      </x:c>
      <x:c r="J92" s="18" t="n">
        <x:f>ROUND(G92*'参数'!$B$50,0)</x:f>
        <x:v>61782</x:v>
      </x:c>
      <x:c r="K92" s="18" t="n">
        <x:f>ROUND(W92*Y92,0)</x:f>
        <x:v>192635</x:v>
      </x:c>
      <x:c r="L92" s="18" t="n">
        <x:f>ROUND((AB92+SQRT(AB92^2+4*AB92*'参数'!$B$22*U92))/2,0)</x:f>
        <x:v>1088</x:v>
      </x:c>
      <x:c r="M92" s="18" t="n">
        <x:f>ROUND(I92*'参数'!$B$24,0)</x:f>
        <x:v>245</x:v>
      </x:c>
      <x:c r="N92" s="18" t="n">
        <x:f>'参数'!$B$9*'参数'!$B$10^(D92-1)</x:f>
        <x:v>1957.2226751994467</x:v>
      </x:c>
      <x:c r="O92" s="18" t="n">
        <x:f>'参数'!$B$18*'参数'!$B$19^(MIN(E92,MAX(1,5*INT(D92/5)))-1)*F92*'参数'!$J$26*P92</x:f>
        <x:v>155.90616865008087</x:v>
      </x:c>
      <x:c r="P92" s="21" t="n">
        <x:f>MIN(1,(D92-1)/19)</x:f>
        <x:v>1</x:v>
      </x:c>
      <x:c r="Q92" s="18" t="n">
        <x:f>INDEX('角色成长'!$F$6:$F$105,D92)+O92*'参数'!$K$21</x:f>
        <x:v>979.3325806527305</x:v>
      </x:c>
      <x:c r="R92" s="18" t="n">
        <x:f>INDEX('角色成长'!$I$6:$I$105,D92)+O92*'参数'!$K$21</x:f>
        <x:v>829.3325806527305</x:v>
      </x:c>
      <x:c r="S92" s="18" t="n">
        <x:f>INDEX('角色成长'!$L$6:$L$105,D92)+O92*'参数'!$K$21</x:f>
        <x:v>743.3325806527305</x:v>
      </x:c>
      <x:c r="T92" s="18" t="n">
        <x:f>(INDEX('角色成长'!$J$6:$J$105,D92)+O92*'参数'!$L$21)*(1+'参数'!$B$40*P92)</x:f>
        <x:v>11140.928638434976</x:v>
      </x:c>
      <x:c r="U92" s="18" t="n">
        <x:f>(INDEX('角色成长'!$K$6:$K$105,D92)+O92*'参数'!$M$21)*(1+'参数'!$B$41*P92)</x:f>
        <x:v>605.9193746514057</x:v>
      </x:c>
      <x:c r="V92" s="18" t="n">
        <x:f>(('参数'!$K$5*(((Q92*(1+'参数'!$B$39*P92))^2/((Q92*(1+'参数'!$B$39*P92))+'参数'!$B$22*(I92)))*(1+'参数'!$B$42*P92)/'参数'!$J$5+((Q92*'参数'!$B$43*(1+'参数'!$B$39*P92))^2/((Q92*'参数'!$B$43*(1+'参数'!$B$39*P92))+'参数'!$B$22*(I92)))/'参数'!$B$44))+(((R92*(1+'参数'!$B$39*P92))^2/((R92*(1+'参数'!$B$39*P92))+'参数'!$B$22*(I92)))*(1+'参数'!$B$42*P92)/'参数'!$J$6+((R92*'参数'!$B$45*(1+'参数'!$B$39*P92))^2/((R92*'参数'!$B$45*(1+'参数'!$B$39*P92))+'参数'!$B$22*(I92)))/'参数'!$B$46)+((S92*(1+'参数'!$B$39*P92))^2/((S92*(1+'参数'!$B$39*P92))+'参数'!$B$22*(I92)))*(1+'参数'!$B$42*P92)/'参数'!$J$7)*(1+'参数'!$B$37*('参数'!$B$38-1))*'参数'!$B$25</x:f>
        <x:v>6567.6783342138515</x:v>
      </x:c>
      <x:c r="W92" s="18" t="n">
        <x:f>(('参数'!$K$5*(((Q92*(1+'参数'!$B$39*P92))^2/((Q92*(1+'参数'!$B$39*P92))+'参数'!$B$22*(M92)))*(1+'参数'!$B$42*P92)/'参数'!$J$5+((Q92*'参数'!$B$43*(1+'参数'!$B$39*P92))^2/((Q92*'参数'!$B$43*(1+'参数'!$B$39*P92))+'参数'!$B$22*(M92)))/'参数'!$B$44))+(((R92*(1+'参数'!$B$39*P92))^2/((R92*(1+'参数'!$B$39*P92))+'参数'!$B$22*(M92)))*(1+'参数'!$B$42*P92)/'参数'!$J$6+((R92*'参数'!$B$45*(1+'参数'!$B$39*P92))^2/((R92*'参数'!$B$45*(1+'参数'!$B$39*P92))+'参数'!$B$22*(M92)))/'参数'!$B$46)+((S92*(1+'参数'!$B$39*P92))^2/((S92*(1+'参数'!$B$39*P92))+'参数'!$B$22*(M92)))*(1+'参数'!$B$42*P92)/'参数'!$J$7)*(1+'参数'!$B$37*('参数'!$B$38-1))</x:f>
        <x:v>5058.590012252454</x:v>
      </x:c>
      <x:c r="X92" s="25" t="n">
        <x:f>('参数'!$B$26+'参数'!$B$27*(D92-1)/99)*'参数'!$K$26*AD92</x:f>
        <x:v>14.424242424242424</x:v>
      </x:c>
      <x:c r="Y92" s="25" t="n">
        <x:f>('参数'!$B$28+'参数'!$B$29*(D92-1)/99)*'参数'!$K$26*AD92*IF(AE92=1,'参数'!$B$51,1)</x:f>
        <x:v>38.08080808080808</x:v>
      </x:c>
      <x:c r="Z92" s="21" t="n">
        <x:f>MIN('参数'!$B$36,U92/(U92+'参数'!$B$35))</x:f>
        <x:v>0.13155231895418582</x:v>
      </x:c>
      <x:c r="AA92" s="18" t="n">
        <x:f>T92*'参数'!$B$30/('参数'!$B$32*'参数'!$B$33)/(1-Z92)*AC92</x:f>
        <x:v>320.71386917110226</x:v>
      </x:c>
      <x:c r="AB92" s="18" t="n">
        <x:f>T92*'参数'!$B$31/'参数'!$B$34/(1-Z92)*AC92</x:f>
        <x:v>641.4277383422045</x:v>
      </x:c>
      <x:c r="AC92" s="15" t="n">
        <x:f>'参数'!$L$26*1</x:f>
        <x:v>1</x:v>
      </x:c>
      <x:c r="AD92" s="15" t="n">
        <x:f>1</x:f>
        <x:v>1</x:v>
      </x:c>
      <x:c r="AE92" s="18" t="n">
        <x:f>IF(MOD(B92,12)=0,1,0)</x:f>
        <x:v>0</x:v>
      </x:c>
    </x:row>
    <x:row r="93" ht="22" customHeight="1">
      <x:c r="A93" s="19" t="str">
        <x:v>简单</x:v>
      </x:c>
      <x:c r="B93" s="19" t="n">
        <x:v>88</x:v>
      </x:c>
      <x:c r="C93" s="19" t="n">
        <x:f>ROUNDUP(B93/12,0)</x:f>
        <x:v>8</x:v>
      </x:c>
      <x:c r="D93" s="19" t="n">
        <x:f>ROUND(MAX('参数'!$G$26,E93)+(IF(C93&lt;10,INDEX('参数'!$G$34:$P$34,1,MIN(10,C93+1)),'参数'!$H$26)-MAX('参数'!$G$26,E93))*MOD(B93-1,12)/11,0)</x:f>
        <x:v>41</x:v>
      </x:c>
      <x:c r="E93" s="19" t="n">
        <x:f>INDEX('参数'!$G$34:$P$34,1,C93)</x:f>
        <x:v>40</x:v>
      </x:c>
      <x:c r="F93" s="20" t="n">
        <x:f>'参数'!$I$26</x:f>
        <x:v>1.05</x:v>
      </x:c>
      <x:c r="G93" s="19" t="n">
        <x:f>ROUND(V93*X93/'参数'!$B$56,0)</x:f>
        <x:v>20594</x:v>
      </x:c>
      <x:c r="H93" s="19" t="n">
        <x:f>ROUND((AA93+SQRT(AA93^2+4*AA93*'参数'!$B$22*U93))/2,0)</x:f>
        <x:v>679</x:v>
      </x:c>
      <x:c r="I93" s="19" t="n">
        <x:f>ROUND(Q93*'参数'!$B$23/'参数'!$B$22,0)</x:f>
        <x:v>196</x:v>
      </x:c>
      <x:c r="J93" s="19" t="n">
        <x:f>ROUND(G93*'参数'!$B$50,0)</x:f>
        <x:v>61782</x:v>
      </x:c>
      <x:c r="K93" s="19" t="n">
        <x:f>ROUND(W93*Y93,0)</x:f>
        <x:v>192635</x:v>
      </x:c>
      <x:c r="L93" s="19" t="n">
        <x:f>ROUND((AB93+SQRT(AB93^2+4*AB93*'参数'!$B$22*U93))/2,0)</x:f>
        <x:v>1088</x:v>
      </x:c>
      <x:c r="M93" s="19" t="n">
        <x:f>ROUND(I93*'参数'!$B$24,0)</x:f>
        <x:v>245</x:v>
      </x:c>
      <x:c r="N93" s="19" t="n">
        <x:f>'参数'!$B$9*'参数'!$B$10^(D93-1)</x:f>
        <x:v>1957.2226751994467</x:v>
      </x:c>
      <x:c r="O93" s="19" t="n">
        <x:f>'参数'!$B$18*'参数'!$B$19^(MIN(E93,MAX(1,5*INT(D93/5)))-1)*F93*'参数'!$J$26*P93</x:f>
        <x:v>155.90616865008087</x:v>
      </x:c>
      <x:c r="P93" s="22" t="n">
        <x:f>MIN(1,(D93-1)/19)</x:f>
        <x:v>1</x:v>
      </x:c>
      <x:c r="Q93" s="19" t="n">
        <x:f>INDEX('角色成长'!$F$6:$F$105,D93)+O93*'参数'!$K$21</x:f>
        <x:v>979.3325806527305</x:v>
      </x:c>
      <x:c r="R93" s="19" t="n">
        <x:f>INDEX('角色成长'!$I$6:$I$105,D93)+O93*'参数'!$K$21</x:f>
        <x:v>829.3325806527305</x:v>
      </x:c>
      <x:c r="S93" s="19" t="n">
        <x:f>INDEX('角色成长'!$L$6:$L$105,D93)+O93*'参数'!$K$21</x:f>
        <x:v>743.3325806527305</x:v>
      </x:c>
      <x:c r="T93" s="19" t="n">
        <x:f>(INDEX('角色成长'!$J$6:$J$105,D93)+O93*'参数'!$L$21)*(1+'参数'!$B$40*P93)</x:f>
        <x:v>11140.928638434976</x:v>
      </x:c>
      <x:c r="U93" s="19" t="n">
        <x:f>(INDEX('角色成长'!$K$6:$K$105,D93)+O93*'参数'!$M$21)*(1+'参数'!$B$41*P93)</x:f>
        <x:v>605.9193746514057</x:v>
      </x:c>
      <x:c r="V93" s="19" t="n">
        <x:f>(('参数'!$K$5*(((Q93*(1+'参数'!$B$39*P93))^2/((Q93*(1+'参数'!$B$39*P93))+'参数'!$B$22*(I93)))*(1+'参数'!$B$42*P93)/'参数'!$J$5+((Q93*'参数'!$B$43*(1+'参数'!$B$39*P93))^2/((Q93*'参数'!$B$43*(1+'参数'!$B$39*P93))+'参数'!$B$22*(I93)))/'参数'!$B$44))+(((R93*(1+'参数'!$B$39*P93))^2/((R93*(1+'参数'!$B$39*P93))+'参数'!$B$22*(I93)))*(1+'参数'!$B$42*P93)/'参数'!$J$6+((R93*'参数'!$B$45*(1+'参数'!$B$39*P93))^2/((R93*'参数'!$B$45*(1+'参数'!$B$39*P93))+'参数'!$B$22*(I93)))/'参数'!$B$46)+((S93*(1+'参数'!$B$39*P93))^2/((S93*(1+'参数'!$B$39*P93))+'参数'!$B$22*(I93)))*(1+'参数'!$B$42*P93)/'参数'!$J$7)*(1+'参数'!$B$37*('参数'!$B$38-1))*'参数'!$B$25</x:f>
        <x:v>6567.6783342138515</x:v>
      </x:c>
      <x:c r="W93" s="19" t="n">
        <x:f>(('参数'!$K$5*(((Q93*(1+'参数'!$B$39*P93))^2/((Q93*(1+'参数'!$B$39*P93))+'参数'!$B$22*(M93)))*(1+'参数'!$B$42*P93)/'参数'!$J$5+((Q93*'参数'!$B$43*(1+'参数'!$B$39*P93))^2/((Q93*'参数'!$B$43*(1+'参数'!$B$39*P93))+'参数'!$B$22*(M93)))/'参数'!$B$44))+(((R93*(1+'参数'!$B$39*P93))^2/((R93*(1+'参数'!$B$39*P93))+'参数'!$B$22*(M93)))*(1+'参数'!$B$42*P93)/'参数'!$J$6+((R93*'参数'!$B$45*(1+'参数'!$B$39*P93))^2/((R93*'参数'!$B$45*(1+'参数'!$B$39*P93))+'参数'!$B$22*(M93)))/'参数'!$B$46)+((S93*(1+'参数'!$B$39*P93))^2/((S93*(1+'参数'!$B$39*P93))+'参数'!$B$22*(M93)))*(1+'参数'!$B$42*P93)/'参数'!$J$7)*(1+'参数'!$B$37*('参数'!$B$38-1))</x:f>
        <x:v>5058.590012252454</x:v>
      </x:c>
      <x:c r="X93" s="26" t="n">
        <x:f>('参数'!$B$26+'参数'!$B$27*(D93-1)/99)*'参数'!$K$26*AD93</x:f>
        <x:v>14.424242424242424</x:v>
      </x:c>
      <x:c r="Y93" s="26" t="n">
        <x:f>('参数'!$B$28+'参数'!$B$29*(D93-1)/99)*'参数'!$K$26*AD93*IF(AE93=1,'参数'!$B$51,1)</x:f>
        <x:v>38.08080808080808</x:v>
      </x:c>
      <x:c r="Z93" s="22" t="n">
        <x:f>MIN('参数'!$B$36,U93/(U93+'参数'!$B$35))</x:f>
        <x:v>0.13155231895418582</x:v>
      </x:c>
      <x:c r="AA93" s="19" t="n">
        <x:f>T93*'参数'!$B$30/('参数'!$B$32*'参数'!$B$33)/(1-Z93)*AC93</x:f>
        <x:v>320.71386917110226</x:v>
      </x:c>
      <x:c r="AB93" s="19" t="n">
        <x:f>T93*'参数'!$B$31/'参数'!$B$34/(1-Z93)*AC93</x:f>
        <x:v>641.4277383422045</x:v>
      </x:c>
      <x:c r="AC93" s="20" t="n">
        <x:f>'参数'!$L$26*1</x:f>
        <x:v>1</x:v>
      </x:c>
      <x:c r="AD93" s="20" t="n">
        <x:f>1</x:f>
        <x:v>1</x:v>
      </x:c>
      <x:c r="AE93" s="19" t="n">
        <x:f>IF(MOD(B93,12)=0,1,0)</x:f>
        <x:v>0</x:v>
      </x:c>
    </x:row>
    <x:row r="94" ht="22" customHeight="1">
      <x:c r="A94" s="18" t="str">
        <x:v>简单</x:v>
      </x:c>
      <x:c r="B94" s="18" t="n">
        <x:v>89</x:v>
      </x:c>
      <x:c r="C94" s="18" t="n">
        <x:f>ROUNDUP(B94/12,0)</x:f>
        <x:v>8</x:v>
      </x:c>
      <x:c r="D94" s="18" t="n">
        <x:f>ROUND(MAX('参数'!$G$26,E94)+(IF(C94&lt;10,INDEX('参数'!$G$34:$P$34,1,MIN(10,C94+1)),'参数'!$H$26)-MAX('参数'!$G$26,E94))*MOD(B94-1,12)/11,0)</x:f>
        <x:v>42</x:v>
      </x:c>
      <x:c r="E94" s="18" t="n">
        <x:f>INDEX('参数'!$G$34:$P$34,1,C94)</x:f>
        <x:v>40</x:v>
      </x:c>
      <x:c r="F94" s="15" t="n">
        <x:f>'参数'!$I$26</x:f>
        <x:v>1.05</x:v>
      </x:c>
      <x:c r="G94" s="18" t="n">
        <x:f>ROUND(V94*X94/'参数'!$B$56,0)</x:f>
        <x:v>21052</x:v>
      </x:c>
      <x:c r="H94" s="18" t="n">
        <x:f>ROUND((AA94+SQRT(AA94^2+4*AA94*'参数'!$B$22*U94))/2,0)</x:f>
        <x:v>695</x:v>
      </x:c>
      <x:c r="I94" s="18" t="n">
        <x:f>ROUND(Q94*'参数'!$B$23/'参数'!$B$22,0)</x:f>
        <x:v>199</x:v>
      </x:c>
      <x:c r="J94" s="18" t="n">
        <x:f>ROUND(G94*'参数'!$B$50,0)</x:f>
        <x:v>63156</x:v>
      </x:c>
      <x:c r="K94" s="18" t="n">
        <x:f>ROUND(W94*Y94,0)</x:f>
        <x:v>197115</x:v>
      </x:c>
      <x:c r="L94" s="18" t="n">
        <x:f>ROUND((AB94+SQRT(AB94^2+4*AB94*'参数'!$B$22*U94))/2,0)</x:f>
        <x:v>1114</x:v>
      </x:c>
      <x:c r="M94" s="18" t="n">
        <x:f>ROUND(I94*'参数'!$B$24,0)</x:f>
        <x:v>249</x:v>
      </x:c>
      <x:c r="N94" s="18" t="n">
        <x:f>'参数'!$B$9*'参数'!$B$10^(D94-1)</x:f>
        <x:v>2015.9393554554301</x:v>
      </x:c>
      <x:c r="O94" s="18" t="n">
        <x:f>'参数'!$B$18*'参数'!$B$19^(MIN(E94,MAX(1,5*INT(D94/5)))-1)*F94*'参数'!$J$26*P94</x:f>
        <x:v>155.90616865008087</x:v>
      </x:c>
      <x:c r="P94" s="21" t="n">
        <x:f>MIN(1,(D94-1)/19)</x:f>
        <x:v>1</x:v>
      </x:c>
      <x:c r="Q94" s="18" t="n">
        <x:f>INDEX('角色成长'!$F$6:$F$105,D94)+O94*'参数'!$K$21</x:f>
        <x:v>997.3325806527305</x:v>
      </x:c>
      <x:c r="R94" s="18" t="n">
        <x:f>INDEX('角色成长'!$I$6:$I$105,D94)+O94*'参数'!$K$21</x:f>
        <x:v>842.3325806527305</x:v>
      </x:c>
      <x:c r="S94" s="18" t="n">
        <x:f>INDEX('角色成长'!$L$6:$L$105,D94)+O94*'参数'!$K$21</x:f>
        <x:v>754.3325806527305</x:v>
      </x:c>
      <x:c r="T94" s="18" t="n">
        <x:f>(INDEX('角色成长'!$J$6:$J$105,D94)+O94*'参数'!$L$21)*(1+'参数'!$B$40*P94)</x:f>
        <x:v>11404.928638434976</x:v>
      </x:c>
      <x:c r="U94" s="18" t="n">
        <x:f>(INDEX('角色成长'!$K$6:$K$105,D94)+O94*'参数'!$M$21)*(1+'参数'!$B$41*P94)</x:f>
        <x:v>616.9193746514057</x:v>
      </x:c>
      <x:c r="V94" s="18" t="n">
        <x:f>(('参数'!$K$5*(((Q94*(1+'参数'!$B$39*P94))^2/((Q94*(1+'参数'!$B$39*P94))+'参数'!$B$22*(I94)))*(1+'参数'!$B$42*P94)/'参数'!$J$5+((Q94*'参数'!$B$43*(1+'参数'!$B$39*P94))^2/((Q94*'参数'!$B$43*(1+'参数'!$B$39*P94))+'参数'!$B$22*(I94)))/'参数'!$B$44))+(((R94*(1+'参数'!$B$39*P94))^2/((R94*(1+'参数'!$B$39*P94))+'参数'!$B$22*(I94)))*(1+'参数'!$B$42*P94)/'参数'!$J$6+((R94*'参数'!$B$45*(1+'参数'!$B$39*P94))^2/((R94*'参数'!$B$45*(1+'参数'!$B$39*P94))+'参数'!$B$22*(I94)))/'参数'!$B$46)+((S94*(1+'参数'!$B$39*P94))^2/((S94*(1+'参数'!$B$39*P94))+'参数'!$B$22*(I94)))*(1+'参数'!$B$42*P94)/'参数'!$J$7)*(1+'参数'!$B$37*('参数'!$B$38-1))*'参数'!$B$25</x:f>
        <x:v>6685.699725514674</x:v>
      </x:c>
      <x:c r="W94" s="18" t="n">
        <x:f>(('参数'!$K$5*(((Q94*(1+'参数'!$B$39*P94))^2/((Q94*(1+'参数'!$B$39*P94))+'参数'!$B$22*(M94)))*(1+'参数'!$B$42*P94)/'参数'!$J$5+((Q94*'参数'!$B$43*(1+'参数'!$B$39*P94))^2/((Q94*'参数'!$B$43*(1+'参数'!$B$39*P94))+'参数'!$B$22*(M94)))/'参数'!$B$44))+(((R94*(1+'参数'!$B$39*P94))^2/((R94*(1+'参数'!$B$39*P94))+'参数'!$B$22*(M94)))*(1+'参数'!$B$42*P94)/'参数'!$J$6+((R94*'参数'!$B$45*(1+'参数'!$B$39*P94))^2/((R94*'参数'!$B$45*(1+'参数'!$B$39*P94))+'参数'!$B$22*(M94)))/'参数'!$B$46)+((S94*(1+'参数'!$B$39*P94))^2/((S94*(1+'参数'!$B$39*P94))+'参数'!$B$22*(M94)))*(1+'参数'!$B$42*P94)/'参数'!$J$7)*(1+'参数'!$B$37*('参数'!$B$38-1))</x:f>
        <x:v>5148.914453214538</x:v>
      </x:c>
      <x:c r="X94" s="25" t="n">
        <x:f>('参数'!$B$26+'参数'!$B$27*(D94-1)/99)*'参数'!$K$26*AD94</x:f>
        <x:v>14.484848484848484</x:v>
      </x:c>
      <x:c r="Y94" s="25" t="n">
        <x:f>('参数'!$B$28+'参数'!$B$29*(D94-1)/99)*'参数'!$K$26*AD94*IF(AE94=1,'参数'!$B$51,1)</x:f>
        <x:v>38.282828282828284</x:v>
      </x:c>
      <x:c r="Z94" s="21" t="n">
        <x:f>MIN('参数'!$B$36,U94/(U94+'参数'!$B$35))</x:f>
        <x:v>0.13362143121634767</x:v>
      </x:c>
      <x:c r="AA94" s="18" t="n">
        <x:f>T94*'参数'!$B$30/('参数'!$B$32*'参数'!$B$33)/(1-Z94)*AC94</x:f>
        <x:v>329.0977249831695</x:v>
      </x:c>
      <x:c r="AB94" s="18" t="n">
        <x:f>T94*'参数'!$B$31/'参数'!$B$34/(1-Z94)*AC94</x:f>
        <x:v>658.195449966339</x:v>
      </x:c>
      <x:c r="AC94" s="15" t="n">
        <x:f>'参数'!$L$26*1</x:f>
        <x:v>1</x:v>
      </x:c>
      <x:c r="AD94" s="15" t="n">
        <x:f>1</x:f>
        <x:v>1</x:v>
      </x:c>
      <x:c r="AE94" s="18" t="n">
        <x:f>IF(MOD(B94,12)=0,1,0)</x:f>
        <x:v>0</x:v>
      </x:c>
    </x:row>
    <x:row r="95" ht="22" customHeight="1">
      <x:c r="A95" s="19" t="str">
        <x:v>简单</x:v>
      </x:c>
      <x:c r="B95" s="19" t="n">
        <x:v>90</x:v>
      </x:c>
      <x:c r="C95" s="19" t="n">
        <x:f>ROUNDUP(B95/12,0)</x:f>
        <x:v>8</x:v>
      </x:c>
      <x:c r="D95" s="19" t="n">
        <x:f>ROUND(MAX('参数'!$G$26,E95)+(IF(C95&lt;10,INDEX('参数'!$G$34:$P$34,1,MIN(10,C95+1)),'参数'!$H$26)-MAX('参数'!$G$26,E95))*MOD(B95-1,12)/11,0)</x:f>
        <x:v>42</x:v>
      </x:c>
      <x:c r="E95" s="19" t="n">
        <x:f>INDEX('参数'!$G$34:$P$34,1,C95)</x:f>
        <x:v>40</x:v>
      </x:c>
      <x:c r="F95" s="20" t="n">
        <x:f>'参数'!$I$26</x:f>
        <x:v>1.05</x:v>
      </x:c>
      <x:c r="G95" s="19" t="n">
        <x:f>ROUND(V95*X95/'参数'!$B$56,0)</x:f>
        <x:v>21052</x:v>
      </x:c>
      <x:c r="H95" s="19" t="n">
        <x:f>ROUND((AA95+SQRT(AA95^2+4*AA95*'参数'!$B$22*U95))/2,0)</x:f>
        <x:v>695</x:v>
      </x:c>
      <x:c r="I95" s="19" t="n">
        <x:f>ROUND(Q95*'参数'!$B$23/'参数'!$B$22,0)</x:f>
        <x:v>199</x:v>
      </x:c>
      <x:c r="J95" s="19" t="n">
        <x:f>ROUND(G95*'参数'!$B$50,0)</x:f>
        <x:v>63156</x:v>
      </x:c>
      <x:c r="K95" s="19" t="n">
        <x:f>ROUND(W95*Y95,0)</x:f>
        <x:v>197115</x:v>
      </x:c>
      <x:c r="L95" s="19" t="n">
        <x:f>ROUND((AB95+SQRT(AB95^2+4*AB95*'参数'!$B$22*U95))/2,0)</x:f>
        <x:v>1114</x:v>
      </x:c>
      <x:c r="M95" s="19" t="n">
        <x:f>ROUND(I95*'参数'!$B$24,0)</x:f>
        <x:v>249</x:v>
      </x:c>
      <x:c r="N95" s="19" t="n">
        <x:f>'参数'!$B$9*'参数'!$B$10^(D95-1)</x:f>
        <x:v>2015.9393554554301</x:v>
      </x:c>
      <x:c r="O95" s="19" t="n">
        <x:f>'参数'!$B$18*'参数'!$B$19^(MIN(E95,MAX(1,5*INT(D95/5)))-1)*F95*'参数'!$J$26*P95</x:f>
        <x:v>155.90616865008087</x:v>
      </x:c>
      <x:c r="P95" s="22" t="n">
        <x:f>MIN(1,(D95-1)/19)</x:f>
        <x:v>1</x:v>
      </x:c>
      <x:c r="Q95" s="19" t="n">
        <x:f>INDEX('角色成长'!$F$6:$F$105,D95)+O95*'参数'!$K$21</x:f>
        <x:v>997.3325806527305</x:v>
      </x:c>
      <x:c r="R95" s="19" t="n">
        <x:f>INDEX('角色成长'!$I$6:$I$105,D95)+O95*'参数'!$K$21</x:f>
        <x:v>842.3325806527305</x:v>
      </x:c>
      <x:c r="S95" s="19" t="n">
        <x:f>INDEX('角色成长'!$L$6:$L$105,D95)+O95*'参数'!$K$21</x:f>
        <x:v>754.3325806527305</x:v>
      </x:c>
      <x:c r="T95" s="19" t="n">
        <x:f>(INDEX('角色成长'!$J$6:$J$105,D95)+O95*'参数'!$L$21)*(1+'参数'!$B$40*P95)</x:f>
        <x:v>11404.928638434976</x:v>
      </x:c>
      <x:c r="U95" s="19" t="n">
        <x:f>(INDEX('角色成长'!$K$6:$K$105,D95)+O95*'参数'!$M$21)*(1+'参数'!$B$41*P95)</x:f>
        <x:v>616.9193746514057</x:v>
      </x:c>
      <x:c r="V95" s="19" t="n">
        <x:f>(('参数'!$K$5*(((Q95*(1+'参数'!$B$39*P95))^2/((Q95*(1+'参数'!$B$39*P95))+'参数'!$B$22*(I95)))*(1+'参数'!$B$42*P95)/'参数'!$J$5+((Q95*'参数'!$B$43*(1+'参数'!$B$39*P95))^2/((Q95*'参数'!$B$43*(1+'参数'!$B$39*P95))+'参数'!$B$22*(I95)))/'参数'!$B$44))+(((R95*(1+'参数'!$B$39*P95))^2/((R95*(1+'参数'!$B$39*P95))+'参数'!$B$22*(I95)))*(1+'参数'!$B$42*P95)/'参数'!$J$6+((R95*'参数'!$B$45*(1+'参数'!$B$39*P95))^2/((R95*'参数'!$B$45*(1+'参数'!$B$39*P95))+'参数'!$B$22*(I95)))/'参数'!$B$46)+((S95*(1+'参数'!$B$39*P95))^2/((S95*(1+'参数'!$B$39*P95))+'参数'!$B$22*(I95)))*(1+'参数'!$B$42*P95)/'参数'!$J$7)*(1+'参数'!$B$37*('参数'!$B$38-1))*'参数'!$B$25</x:f>
        <x:v>6685.699725514674</x:v>
      </x:c>
      <x:c r="W95" s="19" t="n">
        <x:f>(('参数'!$K$5*(((Q95*(1+'参数'!$B$39*P95))^2/((Q95*(1+'参数'!$B$39*P95))+'参数'!$B$22*(M95)))*(1+'参数'!$B$42*P95)/'参数'!$J$5+((Q95*'参数'!$B$43*(1+'参数'!$B$39*P95))^2/((Q95*'参数'!$B$43*(1+'参数'!$B$39*P95))+'参数'!$B$22*(M95)))/'参数'!$B$44))+(((R95*(1+'参数'!$B$39*P95))^2/((R95*(1+'参数'!$B$39*P95))+'参数'!$B$22*(M95)))*(1+'参数'!$B$42*P95)/'参数'!$J$6+((R95*'参数'!$B$45*(1+'参数'!$B$39*P95))^2/((R95*'参数'!$B$45*(1+'参数'!$B$39*P95))+'参数'!$B$22*(M95)))/'参数'!$B$46)+((S95*(1+'参数'!$B$39*P95))^2/((S95*(1+'参数'!$B$39*P95))+'参数'!$B$22*(M95)))*(1+'参数'!$B$42*P95)/'参数'!$J$7)*(1+'参数'!$B$37*('参数'!$B$38-1))</x:f>
        <x:v>5148.914453214538</x:v>
      </x:c>
      <x:c r="X95" s="26" t="n">
        <x:f>('参数'!$B$26+'参数'!$B$27*(D95-1)/99)*'参数'!$K$26*AD95</x:f>
        <x:v>14.484848484848484</x:v>
      </x:c>
      <x:c r="Y95" s="26" t="n">
        <x:f>('参数'!$B$28+'参数'!$B$29*(D95-1)/99)*'参数'!$K$26*AD95*IF(AE95=1,'参数'!$B$51,1)</x:f>
        <x:v>38.282828282828284</x:v>
      </x:c>
      <x:c r="Z95" s="22" t="n">
        <x:f>MIN('参数'!$B$36,U95/(U95+'参数'!$B$35))</x:f>
        <x:v>0.13362143121634767</x:v>
      </x:c>
      <x:c r="AA95" s="19" t="n">
        <x:f>T95*'参数'!$B$30/('参数'!$B$32*'参数'!$B$33)/(1-Z95)*AC95</x:f>
        <x:v>329.0977249831695</x:v>
      </x:c>
      <x:c r="AB95" s="19" t="n">
        <x:f>T95*'参数'!$B$31/'参数'!$B$34/(1-Z95)*AC95</x:f>
        <x:v>658.195449966339</x:v>
      </x:c>
      <x:c r="AC95" s="20" t="n">
        <x:f>'参数'!$L$26*1</x:f>
        <x:v>1</x:v>
      </x:c>
      <x:c r="AD95" s="20" t="n">
        <x:f>1</x:f>
        <x:v>1</x:v>
      </x:c>
      <x:c r="AE95" s="19" t="n">
        <x:f>IF(MOD(B95,12)=0,1,0)</x:f>
        <x:v>0</x:v>
      </x:c>
    </x:row>
    <x:row r="96" ht="22" customHeight="1">
      <x:c r="A96" s="18" t="str">
        <x:v>简单</x:v>
      </x:c>
      <x:c r="B96" s="18" t="n">
        <x:v>91</x:v>
      </x:c>
      <x:c r="C96" s="18" t="n">
        <x:f>ROUNDUP(B96/12,0)</x:f>
        <x:v>8</x:v>
      </x:c>
      <x:c r="D96" s="18" t="n">
        <x:f>ROUND(MAX('参数'!$G$26,E96)+(IF(C96&lt;10,INDEX('参数'!$G$34:$P$34,1,MIN(10,C96+1)),'参数'!$H$26)-MAX('参数'!$G$26,E96))*MOD(B96-1,12)/11,0)</x:f>
        <x:v>43</x:v>
      </x:c>
      <x:c r="E96" s="18" t="n">
        <x:f>INDEX('参数'!$G$34:$P$34,1,C96)</x:f>
        <x:v>40</x:v>
      </x:c>
      <x:c r="F96" s="15" t="n">
        <x:f>'参数'!$I$26</x:f>
        <x:v>1.05</x:v>
      </x:c>
      <x:c r="G96" s="18" t="n">
        <x:f>ROUND(V96*X96/'参数'!$B$56,0)</x:f>
        <x:v>21538</x:v>
      </x:c>
      <x:c r="H96" s="18" t="n">
        <x:f>ROUND((AA96+SQRT(AA96^2+4*AA96*'参数'!$B$22*U96))/2,0)</x:f>
        <x:v>711</x:v>
      </x:c>
      <x:c r="I96" s="18" t="n">
        <x:f>ROUND(Q96*'参数'!$B$23/'参数'!$B$22,0)</x:f>
        <x:v>203</x:v>
      </x:c>
      <x:c r="J96" s="18" t="n">
        <x:f>ROUND(G96*'参数'!$B$50,0)</x:f>
        <x:v>64614</x:v>
      </x:c>
      <x:c r="K96" s="18" t="n">
        <x:f>ROUND(W96*Y96,0)</x:f>
        <x:v>201880</x:v>
      </x:c>
      <x:c r="L96" s="18" t="n">
        <x:f>ROUND((AB96+SQRT(AB96^2+4*AB96*'参数'!$B$22*U96))/2,0)</x:f>
        <x:v>1140</x:v>
      </x:c>
      <x:c r="M96" s="18" t="n">
        <x:f>ROUND(I96*'参数'!$B$24,0)</x:f>
        <x:v>254</x:v>
      </x:c>
      <x:c r="N96" s="18" t="n">
        <x:f>'参数'!$B$9*'参数'!$B$10^(D96-1)</x:f>
        <x:v>2076.4175361190933</x:v>
      </x:c>
      <x:c r="O96" s="18" t="n">
        <x:f>'参数'!$B$18*'参数'!$B$19^(MIN(E96,MAX(1,5*INT(D96/5)))-1)*F96*'参数'!$J$26*P96</x:f>
        <x:v>155.90616865008087</x:v>
      </x:c>
      <x:c r="P96" s="21" t="n">
        <x:f>MIN(1,(D96-1)/19)</x:f>
        <x:v>1</x:v>
      </x:c>
      <x:c r="Q96" s="18" t="n">
        <x:f>INDEX('角色成长'!$F$6:$F$105,D96)+O96*'参数'!$K$21</x:f>
        <x:v>1017.3325806527305</x:v>
      </x:c>
      <x:c r="R96" s="18" t="n">
        <x:f>INDEX('角色成长'!$I$6:$I$105,D96)+O96*'参数'!$K$21</x:f>
        <x:v>856.3325806527305</x:v>
      </x:c>
      <x:c r="S96" s="18" t="n">
        <x:f>INDEX('角色成长'!$L$6:$L$105,D96)+O96*'参数'!$K$21</x:f>
        <x:v>765.3325806527305</x:v>
      </x:c>
      <x:c r="T96" s="18" t="n">
        <x:f>(INDEX('角色成长'!$J$6:$J$105,D96)+O96*'参数'!$L$21)*(1+'参数'!$B$40*P96)</x:f>
        <x:v>11677.728638434975</x:v>
      </x:c>
      <x:c r="U96" s="18" t="n">
        <x:f>(INDEX('角色成长'!$K$6:$K$105,D96)+O96*'参数'!$M$21)*(1+'参数'!$B$41*P96)</x:f>
        <x:v>627.9193746514057</x:v>
      </x:c>
      <x:c r="V96" s="18" t="n">
        <x:f>(('参数'!$K$5*(((Q96*(1+'参数'!$B$39*P96))^2/((Q96*(1+'参数'!$B$39*P96))+'参数'!$B$22*(I96)))*(1+'参数'!$B$42*P96)/'参数'!$J$5+((Q96*'参数'!$B$43*(1+'参数'!$B$39*P96))^2/((Q96*'参数'!$B$43*(1+'参数'!$B$39*P96))+'参数'!$B$22*(I96)))/'参数'!$B$44))+(((R96*(1+'参数'!$B$39*P96))^2/((R96*(1+'参数'!$B$39*P96))+'参数'!$B$22*(I96)))*(1+'参数'!$B$42*P96)/'参数'!$J$6+((R96*'参数'!$B$45*(1+'参数'!$B$39*P96))^2/((R96*'参数'!$B$45*(1+'参数'!$B$39*P96))+'参数'!$B$22*(I96)))/'参数'!$B$46)+((S96*(1+'参数'!$B$39*P96))^2/((S96*(1+'参数'!$B$39*P96))+'参数'!$B$22*(I96)))*(1+'参数'!$B$42*P96)/'参数'!$J$7)*(1+'参数'!$B$37*('参数'!$B$38-1))*'参数'!$B$25</x:f>
        <x:v>6811.526850946976</x:v>
      </x:c>
      <x:c r="W96" s="18" t="n">
        <x:f>(('参数'!$K$5*(((Q96*(1+'参数'!$B$39*P96))^2/((Q96*(1+'参数'!$B$39*P96))+'参数'!$B$22*(M96)))*(1+'参数'!$B$42*P96)/'参数'!$J$5+((Q96*'参数'!$B$43*(1+'参数'!$B$39*P96))^2/((Q96*'参数'!$B$43*(1+'参数'!$B$39*P96))+'参数'!$B$22*(M96)))/'参数'!$B$44))+(((R96*(1+'参数'!$B$39*P96))^2/((R96*(1+'参数'!$B$39*P96))+'参数'!$B$22*(M96)))*(1+'参数'!$B$42*P96)/'参数'!$J$6+((R96*'参数'!$B$45*(1+'参数'!$B$39*P96))^2/((R96*'参数'!$B$45*(1+'参数'!$B$39*P96))+'参数'!$B$22*(M96)))/'参数'!$B$46)+((S96*(1+'参数'!$B$39*P96))^2/((S96*(1+'参数'!$B$39*P96))+'参数'!$B$22*(M96)))*(1+'参数'!$B$42*P96)/'参数'!$J$7)*(1+'参数'!$B$37*('参数'!$B$38-1))</x:f>
        <x:v>5245.702521269952</x:v>
      </x:c>
      <x:c r="X96" s="25" t="n">
        <x:f>('参数'!$B$26+'参数'!$B$27*(D96-1)/99)*'参数'!$K$26*AD96</x:f>
        <x:v>14.545454545454545</x:v>
      </x:c>
      <x:c r="Y96" s="25" t="n">
        <x:f>('参数'!$B$28+'参数'!$B$29*(D96-1)/99)*'参数'!$K$26*AD96*IF(AE96=1,'参数'!$B$51,1)</x:f>
        <x:v>38.484848484848484</x:v>
      </x:c>
      <x:c r="Z96" s="21" t="n">
        <x:f>MIN('参数'!$B$36,U96/(U96+'参数'!$B$35))</x:f>
        <x:v>0.13568070742345273</x:v>
      </x:c>
      <x:c r="AA96" s="18" t="n">
        <x:f>T96*'参数'!$B$30/('参数'!$B$32*'参数'!$B$33)/(1-Z96)*AC96</x:f>
        <x:v>337.77241636084256</x:v>
      </x:c>
      <x:c r="AB96" s="18" t="n">
        <x:f>T96*'参数'!$B$31/'参数'!$B$34/(1-Z96)*AC96</x:f>
        <x:v>675.5448327216851</x:v>
      </x:c>
      <x:c r="AC96" s="15" t="n">
        <x:f>'参数'!$L$26*1</x:f>
        <x:v>1</x:v>
      </x:c>
      <x:c r="AD96" s="15" t="n">
        <x:f>1</x:f>
        <x:v>1</x:v>
      </x:c>
      <x:c r="AE96" s="18" t="n">
        <x:f>IF(MOD(B96,12)=0,1,0)</x:f>
        <x:v>0</x:v>
      </x:c>
    </x:row>
    <x:row r="97" ht="22" customHeight="1">
      <x:c r="A97" s="19" t="str">
        <x:v>简单</x:v>
      </x:c>
      <x:c r="B97" s="19" t="n">
        <x:v>92</x:v>
      </x:c>
      <x:c r="C97" s="19" t="n">
        <x:f>ROUNDUP(B97/12,0)</x:f>
        <x:v>8</x:v>
      </x:c>
      <x:c r="D97" s="19" t="n">
        <x:f>ROUND(MAX('参数'!$G$26,E97)+(IF(C97&lt;10,INDEX('参数'!$G$34:$P$34,1,MIN(10,C97+1)),'参数'!$H$26)-MAX('参数'!$G$26,E97))*MOD(B97-1,12)/11,0)</x:f>
        <x:v>43</x:v>
      </x:c>
      <x:c r="E97" s="19" t="n">
        <x:f>INDEX('参数'!$G$34:$P$34,1,C97)</x:f>
        <x:v>40</x:v>
      </x:c>
      <x:c r="F97" s="20" t="n">
        <x:f>'参数'!$I$26</x:f>
        <x:v>1.05</x:v>
      </x:c>
      <x:c r="G97" s="19" t="n">
        <x:f>ROUND(V97*X97/'参数'!$B$56,0)</x:f>
        <x:v>21538</x:v>
      </x:c>
      <x:c r="H97" s="19" t="n">
        <x:f>ROUND((AA97+SQRT(AA97^2+4*AA97*'参数'!$B$22*U97))/2,0)</x:f>
        <x:v>711</x:v>
      </x:c>
      <x:c r="I97" s="19" t="n">
        <x:f>ROUND(Q97*'参数'!$B$23/'参数'!$B$22,0)</x:f>
        <x:v>203</x:v>
      </x:c>
      <x:c r="J97" s="19" t="n">
        <x:f>ROUND(G97*'参数'!$B$50,0)</x:f>
        <x:v>64614</x:v>
      </x:c>
      <x:c r="K97" s="19" t="n">
        <x:f>ROUND(W97*Y97,0)</x:f>
        <x:v>201880</x:v>
      </x:c>
      <x:c r="L97" s="19" t="n">
        <x:f>ROUND((AB97+SQRT(AB97^2+4*AB97*'参数'!$B$22*U97))/2,0)</x:f>
        <x:v>1140</x:v>
      </x:c>
      <x:c r="M97" s="19" t="n">
        <x:f>ROUND(I97*'参数'!$B$24,0)</x:f>
        <x:v>254</x:v>
      </x:c>
      <x:c r="N97" s="19" t="n">
        <x:f>'参数'!$B$9*'参数'!$B$10^(D97-1)</x:f>
        <x:v>2076.4175361190933</x:v>
      </x:c>
      <x:c r="O97" s="19" t="n">
        <x:f>'参数'!$B$18*'参数'!$B$19^(MIN(E97,MAX(1,5*INT(D97/5)))-1)*F97*'参数'!$J$26*P97</x:f>
        <x:v>155.90616865008087</x:v>
      </x:c>
      <x:c r="P97" s="22" t="n">
        <x:f>MIN(1,(D97-1)/19)</x:f>
        <x:v>1</x:v>
      </x:c>
      <x:c r="Q97" s="19" t="n">
        <x:f>INDEX('角色成长'!$F$6:$F$105,D97)+O97*'参数'!$K$21</x:f>
        <x:v>1017.3325806527305</x:v>
      </x:c>
      <x:c r="R97" s="19" t="n">
        <x:f>INDEX('角色成长'!$I$6:$I$105,D97)+O97*'参数'!$K$21</x:f>
        <x:v>856.3325806527305</x:v>
      </x:c>
      <x:c r="S97" s="19" t="n">
        <x:f>INDEX('角色成长'!$L$6:$L$105,D97)+O97*'参数'!$K$21</x:f>
        <x:v>765.3325806527305</x:v>
      </x:c>
      <x:c r="T97" s="19" t="n">
        <x:f>(INDEX('角色成长'!$J$6:$J$105,D97)+O97*'参数'!$L$21)*(1+'参数'!$B$40*P97)</x:f>
        <x:v>11677.728638434975</x:v>
      </x:c>
      <x:c r="U97" s="19" t="n">
        <x:f>(INDEX('角色成长'!$K$6:$K$105,D97)+O97*'参数'!$M$21)*(1+'参数'!$B$41*P97)</x:f>
        <x:v>627.9193746514057</x:v>
      </x:c>
      <x:c r="V97" s="19" t="n">
        <x:f>(('参数'!$K$5*(((Q97*(1+'参数'!$B$39*P97))^2/((Q97*(1+'参数'!$B$39*P97))+'参数'!$B$22*(I97)))*(1+'参数'!$B$42*P97)/'参数'!$J$5+((Q97*'参数'!$B$43*(1+'参数'!$B$39*P97))^2/((Q97*'参数'!$B$43*(1+'参数'!$B$39*P97))+'参数'!$B$22*(I97)))/'参数'!$B$44))+(((R97*(1+'参数'!$B$39*P97))^2/((R97*(1+'参数'!$B$39*P97))+'参数'!$B$22*(I97)))*(1+'参数'!$B$42*P97)/'参数'!$J$6+((R97*'参数'!$B$45*(1+'参数'!$B$39*P97))^2/((R97*'参数'!$B$45*(1+'参数'!$B$39*P97))+'参数'!$B$22*(I97)))/'参数'!$B$46)+((S97*(1+'参数'!$B$39*P97))^2/((S97*(1+'参数'!$B$39*P97))+'参数'!$B$22*(I97)))*(1+'参数'!$B$42*P97)/'参数'!$J$7)*(1+'参数'!$B$37*('参数'!$B$38-1))*'参数'!$B$25</x:f>
        <x:v>6811.526850946976</x:v>
      </x:c>
      <x:c r="W97" s="19" t="n">
        <x:f>(('参数'!$K$5*(((Q97*(1+'参数'!$B$39*P97))^2/((Q97*(1+'参数'!$B$39*P97))+'参数'!$B$22*(M97)))*(1+'参数'!$B$42*P97)/'参数'!$J$5+((Q97*'参数'!$B$43*(1+'参数'!$B$39*P97))^2/((Q97*'参数'!$B$43*(1+'参数'!$B$39*P97))+'参数'!$B$22*(M97)))/'参数'!$B$44))+(((R97*(1+'参数'!$B$39*P97))^2/((R97*(1+'参数'!$B$39*P97))+'参数'!$B$22*(M97)))*(1+'参数'!$B$42*P97)/'参数'!$J$6+((R97*'参数'!$B$45*(1+'参数'!$B$39*P97))^2/((R97*'参数'!$B$45*(1+'参数'!$B$39*P97))+'参数'!$B$22*(M97)))/'参数'!$B$46)+((S97*(1+'参数'!$B$39*P97))^2/((S97*(1+'参数'!$B$39*P97))+'参数'!$B$22*(M97)))*(1+'参数'!$B$42*P97)/'参数'!$J$7)*(1+'参数'!$B$37*('参数'!$B$38-1))</x:f>
        <x:v>5245.702521269952</x:v>
      </x:c>
      <x:c r="X97" s="26" t="n">
        <x:f>('参数'!$B$26+'参数'!$B$27*(D97-1)/99)*'参数'!$K$26*AD97</x:f>
        <x:v>14.545454545454545</x:v>
      </x:c>
      <x:c r="Y97" s="26" t="n">
        <x:f>('参数'!$B$28+'参数'!$B$29*(D97-1)/99)*'参数'!$K$26*AD97*IF(AE97=1,'参数'!$B$51,1)</x:f>
        <x:v>38.484848484848484</x:v>
      </x:c>
      <x:c r="Z97" s="22" t="n">
        <x:f>MIN('参数'!$B$36,U97/(U97+'参数'!$B$35))</x:f>
        <x:v>0.13568070742345273</x:v>
      </x:c>
      <x:c r="AA97" s="19" t="n">
        <x:f>T97*'参数'!$B$30/('参数'!$B$32*'参数'!$B$33)/(1-Z97)*AC97</x:f>
        <x:v>337.77241636084256</x:v>
      </x:c>
      <x:c r="AB97" s="19" t="n">
        <x:f>T97*'参数'!$B$31/'参数'!$B$34/(1-Z97)*AC97</x:f>
        <x:v>675.5448327216851</x:v>
      </x:c>
      <x:c r="AC97" s="20" t="n">
        <x:f>'参数'!$L$26*1</x:f>
        <x:v>1</x:v>
      </x:c>
      <x:c r="AD97" s="20" t="n">
        <x:f>1</x:f>
        <x:v>1</x:v>
      </x:c>
      <x:c r="AE97" s="19" t="n">
        <x:f>IF(MOD(B97,12)=0,1,0)</x:f>
        <x:v>0</x:v>
      </x:c>
    </x:row>
    <x:row r="98" ht="22" customHeight="1">
      <x:c r="A98" s="18" t="str">
        <x:v>简单</x:v>
      </x:c>
      <x:c r="B98" s="18" t="n">
        <x:v>93</x:v>
      </x:c>
      <x:c r="C98" s="18" t="n">
        <x:f>ROUNDUP(B98/12,0)</x:f>
        <x:v>8</x:v>
      </x:c>
      <x:c r="D98" s="18" t="n">
        <x:f>ROUND(MAX('参数'!$G$26,E98)+(IF(C98&lt;10,INDEX('参数'!$G$34:$P$34,1,MIN(10,C98+1)),'参数'!$H$26)-MAX('参数'!$G$26,E98))*MOD(B98-1,12)/11,0)</x:f>
        <x:v>44</x:v>
      </x:c>
      <x:c r="E98" s="18" t="n">
        <x:f>INDEX('参数'!$G$34:$P$34,1,C98)</x:f>
        <x:v>40</x:v>
      </x:c>
      <x:c r="F98" s="15" t="n">
        <x:f>'参数'!$I$26</x:f>
        <x:v>1.05</x:v>
      </x:c>
      <x:c r="G98" s="18" t="n">
        <x:f>ROUND(V98*X98/'参数'!$B$56,0)</x:f>
        <x:v>22032</x:v>
      </x:c>
      <x:c r="H98" s="18" t="n">
        <x:f>ROUND((AA98+SQRT(AA98^2+4*AA98*'参数'!$B$22*U98))/2,0)</x:f>
        <x:v>728</x:v>
      </x:c>
      <x:c r="I98" s="18" t="n">
        <x:f>ROUND(Q98*'参数'!$B$23/'参数'!$B$22,0)</x:f>
        <x:v>207</x:v>
      </x:c>
      <x:c r="J98" s="18" t="n">
        <x:f>ROUND(G98*'参数'!$B$50,0)</x:f>
        <x:v>66096</x:v>
      </x:c>
      <x:c r="K98" s="18" t="n">
        <x:f>ROUND(W98*Y98,0)</x:f>
        <x:v>206728</x:v>
      </x:c>
      <x:c r="L98" s="18" t="n">
        <x:f>ROUND((AB98+SQRT(AB98^2+4*AB98*'参数'!$B$22*U98))/2,0)</x:f>
        <x:v>1168</x:v>
      </x:c>
      <x:c r="M98" s="18" t="n">
        <x:f>ROUND(I98*'参数'!$B$24,0)</x:f>
        <x:v>259</x:v>
      </x:c>
      <x:c r="N98" s="18" t="n">
        <x:f>'参数'!$B$9*'参数'!$B$10^(D98-1)</x:f>
        <x:v>2138.710062202666</x:v>
      </x:c>
      <x:c r="O98" s="18" t="n">
        <x:f>'参数'!$B$18*'参数'!$B$19^(MIN(E98,MAX(1,5*INT(D98/5)))-1)*F98*'参数'!$J$26*P98</x:f>
        <x:v>155.90616865008087</x:v>
      </x:c>
      <x:c r="P98" s="21" t="n">
        <x:f>MIN(1,(D98-1)/19)</x:f>
        <x:v>1</x:v>
      </x:c>
      <x:c r="Q98" s="18" t="n">
        <x:f>INDEX('角色成长'!$F$6:$F$105,D98)+O98*'参数'!$K$21</x:f>
        <x:v>1037.3325806527305</x:v>
      </x:c>
      <x:c r="R98" s="18" t="n">
        <x:f>INDEX('角色成长'!$I$6:$I$105,D98)+O98*'参数'!$K$21</x:f>
        <x:v>871.3325806527305</x:v>
      </x:c>
      <x:c r="S98" s="18" t="n">
        <x:f>INDEX('角色成长'!$L$6:$L$105,D98)+O98*'参数'!$K$21</x:f>
        <x:v>776.3325806527305</x:v>
      </x:c>
      <x:c r="T98" s="18" t="n">
        <x:f>(INDEX('角色成长'!$J$6:$J$105,D98)+O98*'参数'!$L$21)*(1+'参数'!$B$40*P98)</x:f>
        <x:v>11961.528638434977</x:v>
      </x:c>
      <x:c r="U98" s="18" t="n">
        <x:f>(INDEX('角色成长'!$K$6:$K$105,D98)+O98*'参数'!$M$21)*(1+'参数'!$B$41*P98)</x:f>
        <x:v>638.9193746514057</x:v>
      </x:c>
      <x:c r="V98" s="18" t="n">
        <x:f>(('参数'!$K$5*(((Q98*(1+'参数'!$B$39*P98))^2/((Q98*(1+'参数'!$B$39*P98))+'参数'!$B$22*(I98)))*(1+'参数'!$B$42*P98)/'参数'!$J$5+((Q98*'参数'!$B$43*(1+'参数'!$B$39*P98))^2/((Q98*'参数'!$B$43*(1+'参数'!$B$39*P98))+'参数'!$B$22*(I98)))/'参数'!$B$44))+(((R98*(1+'参数'!$B$39*P98))^2/((R98*(1+'参数'!$B$39*P98))+'参数'!$B$22*(I98)))*(1+'参数'!$B$42*P98)/'参数'!$J$6+((R98*'参数'!$B$45*(1+'参数'!$B$39*P98))^2/((R98*'参数'!$B$45*(1+'参数'!$B$39*P98))+'参数'!$B$22*(I98)))/'参数'!$B$46)+((S98*(1+'参数'!$B$39*P98))^2/((S98*(1+'参数'!$B$39*P98))+'参数'!$B$22*(I98)))*(1+'参数'!$B$42*P98)/'参数'!$J$7)*(1+'参数'!$B$37*('参数'!$B$38-1))*'参数'!$B$25</x:f>
        <x:v>6938.778298043207</x:v>
      </x:c>
      <x:c r="W98" s="18" t="n">
        <x:f>(('参数'!$K$5*(((Q98*(1+'参数'!$B$39*P98))^2/((Q98*(1+'参数'!$B$39*P98))+'参数'!$B$22*(M98)))*(1+'参数'!$B$42*P98)/'参数'!$J$5+((Q98*'参数'!$B$43*(1+'参数'!$B$39*P98))^2/((Q98*'参数'!$B$43*(1+'参数'!$B$39*P98))+'参数'!$B$22*(M98)))/'参数'!$B$44))+(((R98*(1+'参数'!$B$39*P98))^2/((R98*(1+'参数'!$B$39*P98))+'参数'!$B$22*(M98)))*(1+'参数'!$B$42*P98)/'参数'!$J$6+((R98*'参数'!$B$45*(1+'参数'!$B$39*P98))^2/((R98*'参数'!$B$45*(1+'参数'!$B$39*P98))+'参数'!$B$22*(M98)))/'参数'!$B$46)+((S98*(1+'参数'!$B$39*P98))^2/((S98*(1+'参数'!$B$39*P98))+'参数'!$B$22*(M98)))*(1+'参数'!$B$42*P98)/'参数'!$J$7)*(1+'参数'!$B$37*('参数'!$B$38-1))</x:f>
        <x:v>5343.612864070122</x:v>
      </x:c>
      <x:c r="X98" s="25" t="n">
        <x:f>('参数'!$B$26+'参数'!$B$27*(D98-1)/99)*'参数'!$K$26*AD98</x:f>
        <x:v>14.606060606060606</x:v>
      </x:c>
      <x:c r="Y98" s="25" t="n">
        <x:f>('参数'!$B$28+'参数'!$B$29*(D98-1)/99)*'参数'!$K$26*AD98*IF(AE98=1,'参数'!$B$51,1)</x:f>
        <x:v>38.686868686868685</x:v>
      </x:c>
      <x:c r="Z98" s="21" t="n">
        <x:f>MIN('参数'!$B$36,U98/(U98+'参数'!$B$35))</x:f>
        <x:v>0.1377302175464987</x:v>
      </x:c>
      <x:c r="AA98" s="18" t="n">
        <x:f>T98*'参数'!$B$30/('参数'!$B$32*'参数'!$B$33)/(1-Z98)*AC98</x:f>
        <x:v>346.8035434455229</x:v>
      </x:c>
      <x:c r="AB98" s="18" t="n">
        <x:f>T98*'参数'!$B$31/'参数'!$B$34/(1-Z98)*AC98</x:f>
        <x:v>693.6070868910458</x:v>
      </x:c>
      <x:c r="AC98" s="15" t="n">
        <x:f>'参数'!$L$26*1</x:f>
        <x:v>1</x:v>
      </x:c>
      <x:c r="AD98" s="15" t="n">
        <x:f>1</x:f>
        <x:v>1</x:v>
      </x:c>
      <x:c r="AE98" s="18" t="n">
        <x:f>IF(MOD(B98,12)=0,1,0)</x:f>
        <x:v>0</x:v>
      </x:c>
    </x:row>
    <x:row r="99" ht="22" customHeight="1">
      <x:c r="A99" s="19" t="str">
        <x:v>简单</x:v>
      </x:c>
      <x:c r="B99" s="19" t="n">
        <x:v>94</x:v>
      </x:c>
      <x:c r="C99" s="19" t="n">
        <x:f>ROUNDUP(B99/12,0)</x:f>
        <x:v>8</x:v>
      </x:c>
      <x:c r="D99" s="19" t="n">
        <x:f>ROUND(MAX('参数'!$G$26,E99)+(IF(C99&lt;10,INDEX('参数'!$G$34:$P$34,1,MIN(10,C99+1)),'参数'!$H$26)-MAX('参数'!$G$26,E99))*MOD(B99-1,12)/11,0)</x:f>
        <x:v>44</x:v>
      </x:c>
      <x:c r="E99" s="19" t="n">
        <x:f>INDEX('参数'!$G$34:$P$34,1,C99)</x:f>
        <x:v>40</x:v>
      </x:c>
      <x:c r="F99" s="20" t="n">
        <x:f>'参数'!$I$26</x:f>
        <x:v>1.05</x:v>
      </x:c>
      <x:c r="G99" s="19" t="n">
        <x:f>ROUND(V99*X99/'参数'!$B$56,0)</x:f>
        <x:v>22032</x:v>
      </x:c>
      <x:c r="H99" s="19" t="n">
        <x:f>ROUND((AA99+SQRT(AA99^2+4*AA99*'参数'!$B$22*U99))/2,0)</x:f>
        <x:v>728</x:v>
      </x:c>
      <x:c r="I99" s="19" t="n">
        <x:f>ROUND(Q99*'参数'!$B$23/'参数'!$B$22,0)</x:f>
        <x:v>207</x:v>
      </x:c>
      <x:c r="J99" s="19" t="n">
        <x:f>ROUND(G99*'参数'!$B$50,0)</x:f>
        <x:v>66096</x:v>
      </x:c>
      <x:c r="K99" s="19" t="n">
        <x:f>ROUND(W99*Y99,0)</x:f>
        <x:v>206728</x:v>
      </x:c>
      <x:c r="L99" s="19" t="n">
        <x:f>ROUND((AB99+SQRT(AB99^2+4*AB99*'参数'!$B$22*U99))/2,0)</x:f>
        <x:v>1168</x:v>
      </x:c>
      <x:c r="M99" s="19" t="n">
        <x:f>ROUND(I99*'参数'!$B$24,0)</x:f>
        <x:v>259</x:v>
      </x:c>
      <x:c r="N99" s="19" t="n">
        <x:f>'参数'!$B$9*'参数'!$B$10^(D99-1)</x:f>
        <x:v>2138.710062202666</x:v>
      </x:c>
      <x:c r="O99" s="19" t="n">
        <x:f>'参数'!$B$18*'参数'!$B$19^(MIN(E99,MAX(1,5*INT(D99/5)))-1)*F99*'参数'!$J$26*P99</x:f>
        <x:v>155.90616865008087</x:v>
      </x:c>
      <x:c r="P99" s="22" t="n">
        <x:f>MIN(1,(D99-1)/19)</x:f>
        <x:v>1</x:v>
      </x:c>
      <x:c r="Q99" s="19" t="n">
        <x:f>INDEX('角色成长'!$F$6:$F$105,D99)+O99*'参数'!$K$21</x:f>
        <x:v>1037.3325806527305</x:v>
      </x:c>
      <x:c r="R99" s="19" t="n">
        <x:f>INDEX('角色成长'!$I$6:$I$105,D99)+O99*'参数'!$K$21</x:f>
        <x:v>871.3325806527305</x:v>
      </x:c>
      <x:c r="S99" s="19" t="n">
        <x:f>INDEX('角色成长'!$L$6:$L$105,D99)+O99*'参数'!$K$21</x:f>
        <x:v>776.3325806527305</x:v>
      </x:c>
      <x:c r="T99" s="19" t="n">
        <x:f>(INDEX('角色成长'!$J$6:$J$105,D99)+O99*'参数'!$L$21)*(1+'参数'!$B$40*P99)</x:f>
        <x:v>11961.528638434977</x:v>
      </x:c>
      <x:c r="U99" s="19" t="n">
        <x:f>(INDEX('角色成长'!$K$6:$K$105,D99)+O99*'参数'!$M$21)*(1+'参数'!$B$41*P99)</x:f>
        <x:v>638.9193746514057</x:v>
      </x:c>
      <x:c r="V99" s="19" t="n">
        <x:f>(('参数'!$K$5*(((Q99*(1+'参数'!$B$39*P99))^2/((Q99*(1+'参数'!$B$39*P99))+'参数'!$B$22*(I99)))*(1+'参数'!$B$42*P99)/'参数'!$J$5+((Q99*'参数'!$B$43*(1+'参数'!$B$39*P99))^2/((Q99*'参数'!$B$43*(1+'参数'!$B$39*P99))+'参数'!$B$22*(I99)))/'参数'!$B$44))+(((R99*(1+'参数'!$B$39*P99))^2/((R99*(1+'参数'!$B$39*P99))+'参数'!$B$22*(I99)))*(1+'参数'!$B$42*P99)/'参数'!$J$6+((R99*'参数'!$B$45*(1+'参数'!$B$39*P99))^2/((R99*'参数'!$B$45*(1+'参数'!$B$39*P99))+'参数'!$B$22*(I99)))/'参数'!$B$46)+((S99*(1+'参数'!$B$39*P99))^2/((S99*(1+'参数'!$B$39*P99))+'参数'!$B$22*(I99)))*(1+'参数'!$B$42*P99)/'参数'!$J$7)*(1+'参数'!$B$37*('参数'!$B$38-1))*'参数'!$B$25</x:f>
        <x:v>6938.778298043207</x:v>
      </x:c>
      <x:c r="W99" s="19" t="n">
        <x:f>(('参数'!$K$5*(((Q99*(1+'参数'!$B$39*P99))^2/((Q99*(1+'参数'!$B$39*P99))+'参数'!$B$22*(M99)))*(1+'参数'!$B$42*P99)/'参数'!$J$5+((Q99*'参数'!$B$43*(1+'参数'!$B$39*P99))^2/((Q99*'参数'!$B$43*(1+'参数'!$B$39*P99))+'参数'!$B$22*(M99)))/'参数'!$B$44))+(((R99*(1+'参数'!$B$39*P99))^2/((R99*(1+'参数'!$B$39*P99))+'参数'!$B$22*(M99)))*(1+'参数'!$B$42*P99)/'参数'!$J$6+((R99*'参数'!$B$45*(1+'参数'!$B$39*P99))^2/((R99*'参数'!$B$45*(1+'参数'!$B$39*P99))+'参数'!$B$22*(M99)))/'参数'!$B$46)+((S99*(1+'参数'!$B$39*P99))^2/((S99*(1+'参数'!$B$39*P99))+'参数'!$B$22*(M99)))*(1+'参数'!$B$42*P99)/'参数'!$J$7)*(1+'参数'!$B$37*('参数'!$B$38-1))</x:f>
        <x:v>5343.612864070122</x:v>
      </x:c>
      <x:c r="X99" s="26" t="n">
        <x:f>('参数'!$B$26+'参数'!$B$27*(D99-1)/99)*'参数'!$K$26*AD99</x:f>
        <x:v>14.606060606060606</x:v>
      </x:c>
      <x:c r="Y99" s="26" t="n">
        <x:f>('参数'!$B$28+'参数'!$B$29*(D99-1)/99)*'参数'!$K$26*AD99*IF(AE99=1,'参数'!$B$51,1)</x:f>
        <x:v>38.686868686868685</x:v>
      </x:c>
      <x:c r="Z99" s="22" t="n">
        <x:f>MIN('参数'!$B$36,U99/(U99+'参数'!$B$35))</x:f>
        <x:v>0.1377302175464987</x:v>
      </x:c>
      <x:c r="AA99" s="19" t="n">
        <x:f>T99*'参数'!$B$30/('参数'!$B$32*'参数'!$B$33)/(1-Z99)*AC99</x:f>
        <x:v>346.8035434455229</x:v>
      </x:c>
      <x:c r="AB99" s="19" t="n">
        <x:f>T99*'参数'!$B$31/'参数'!$B$34/(1-Z99)*AC99</x:f>
        <x:v>693.6070868910458</x:v>
      </x:c>
      <x:c r="AC99" s="20" t="n">
        <x:f>'参数'!$L$26*1</x:f>
        <x:v>1</x:v>
      </x:c>
      <x:c r="AD99" s="20" t="n">
        <x:f>1</x:f>
        <x:v>1</x:v>
      </x:c>
      <x:c r="AE99" s="19" t="n">
        <x:f>IF(MOD(B99,12)=0,1,0)</x:f>
        <x:v>0</x:v>
      </x:c>
    </x:row>
    <x:row r="100" ht="22" customHeight="1">
      <x:c r="A100" s="18" t="str">
        <x:v>简单</x:v>
      </x:c>
      <x:c r="B100" s="18" t="n">
        <x:v>95</x:v>
      </x:c>
      <x:c r="C100" s="18" t="n">
        <x:f>ROUNDUP(B100/12,0)</x:f>
        <x:v>8</x:v>
      </x:c>
      <x:c r="D100" s="18" t="n">
        <x:f>ROUND(MAX('参数'!$G$26,E100)+(IF(C100&lt;10,INDEX('参数'!$G$34:$P$34,1,MIN(10,C100+1)),'参数'!$H$26)-MAX('参数'!$G$26,E100))*MOD(B100-1,12)/11,0)</x:f>
        <x:v>45</x:v>
      </x:c>
      <x:c r="E100" s="18" t="n">
        <x:f>INDEX('参数'!$G$34:$P$34,1,C100)</x:f>
        <x:v>40</x:v>
      </x:c>
      <x:c r="F100" s="15" t="n">
        <x:f>'参数'!$I$26</x:f>
        <x:v>1.05</x:v>
      </x:c>
      <x:c r="G100" s="18" t="n">
        <x:f>ROUND(V100*X100/'参数'!$B$56,0)</x:f>
        <x:v>22529</x:v>
      </x:c>
      <x:c r="H100" s="18" t="n">
        <x:f>ROUND((AA100+SQRT(AA100^2+4*AA100*'参数'!$B$22*U100))/2,0)</x:f>
        <x:v>745</x:v>
      </x:c>
      <x:c r="I100" s="18" t="n">
        <x:f>ROUND(Q100*'参数'!$B$23/'参数'!$B$22,0)</x:f>
        <x:v>211</x:v>
      </x:c>
      <x:c r="J100" s="18" t="n">
        <x:f>ROUND(G100*'参数'!$B$50,0)</x:f>
        <x:v>67587</x:v>
      </x:c>
      <x:c r="K100" s="18" t="n">
        <x:f>ROUND(W100*Y100,0)</x:f>
        <x:v>211615</x:v>
      </x:c>
      <x:c r="L100" s="18" t="n">
        <x:f>ROUND((AB100+SQRT(AB100^2+4*AB100*'参数'!$B$22*U100))/2,0)</x:f>
        <x:v>1197</x:v>
      </x:c>
      <x:c r="M100" s="18" t="n">
        <x:f>ROUND(I100*'参数'!$B$24,0)</x:f>
        <x:v>264</x:v>
      </x:c>
      <x:c r="N100" s="18" t="n">
        <x:f>'参数'!$B$9*'参数'!$B$10^(D100-1)</x:f>
        <x:v>2202.871364068746</x:v>
      </x:c>
      <x:c r="O100" s="18" t="n">
        <x:f>'参数'!$B$18*'参数'!$B$19^(MIN(E100,MAX(1,5*INT(D100/5)))-1)*F100*'参数'!$J$26*P100</x:f>
        <x:v>155.90616865008087</x:v>
      </x:c>
      <x:c r="P100" s="21" t="n">
        <x:f>MIN(1,(D100-1)/19)</x:f>
        <x:v>1</x:v>
      </x:c>
      <x:c r="Q100" s="18" t="n">
        <x:f>INDEX('角色成长'!$F$6:$F$105,D100)+O100*'参数'!$K$21</x:f>
        <x:v>1057.3325806527305</x:v>
      </x:c>
      <x:c r="R100" s="18" t="n">
        <x:f>INDEX('角色成长'!$I$6:$I$105,D100)+O100*'参数'!$K$21</x:f>
        <x:v>886.3325806527305</x:v>
      </x:c>
      <x:c r="S100" s="18" t="n">
        <x:f>INDEX('角色成长'!$L$6:$L$105,D100)+O100*'参数'!$K$21</x:f>
        <x:v>787.3325806527305</x:v>
      </x:c>
      <x:c r="T100" s="18" t="n">
        <x:f>(INDEX('角色成长'!$J$6:$J$105,D100)+O100*'参数'!$L$21)*(1+'参数'!$B$40*P100)</x:f>
        <x:v>12255.228638434975</x:v>
      </x:c>
      <x:c r="U100" s="18" t="n">
        <x:f>(INDEX('角色成长'!$K$6:$K$105,D100)+O100*'参数'!$M$21)*(1+'参数'!$B$41*P100)</x:f>
        <x:v>651.0193746514058</x:v>
      </x:c>
      <x:c r="V100" s="18" t="n">
        <x:f>(('参数'!$K$5*(((Q100*(1+'参数'!$B$39*P100))^2/((Q100*(1+'参数'!$B$39*P100))+'参数'!$B$22*(I100)))*(1+'参数'!$B$42*P100)/'参数'!$J$5+((Q100*'参数'!$B$43*(1+'参数'!$B$39*P100))^2/((Q100*'参数'!$B$43*(1+'参数'!$B$39*P100))+'参数'!$B$22*(I100)))/'参数'!$B$44))+(((R100*(1+'参数'!$B$39*P100))^2/((R100*(1+'参数'!$B$39*P100))+'参数'!$B$22*(I100)))*(1+'参数'!$B$42*P100)/'参数'!$J$6+((R100*'参数'!$B$45*(1+'参数'!$B$39*P100))^2/((R100*'参数'!$B$45*(1+'参数'!$B$39*P100))+'参数'!$B$22*(I100)))/'参数'!$B$46)+((S100*(1+'参数'!$B$39*P100))^2/((S100*(1+'参数'!$B$39*P100))+'参数'!$B$22*(I100)))*(1+'参数'!$B$42*P100)/'参数'!$J$7)*(1+'参数'!$B$37*('参数'!$B$38-1))*'参数'!$B$25</x:f>
        <x:v>7066.031657619345</x:v>
      </x:c>
      <x:c r="W100" s="18" t="n">
        <x:f>(('参数'!$K$5*(((Q100*(1+'参数'!$B$39*P100))^2/((Q100*(1+'参数'!$B$39*P100))+'参数'!$B$22*(M100)))*(1+'参数'!$B$42*P100)/'参数'!$J$5+((Q100*'参数'!$B$43*(1+'参数'!$B$39*P100))^2/((Q100*'参数'!$B$43*(1+'参数'!$B$39*P100))+'参数'!$B$22*(M100)))/'参数'!$B$44))+(((R100*(1+'参数'!$B$39*P100))^2/((R100*(1+'参数'!$B$39*P100))+'参数'!$B$22*(M100)))*(1+'参数'!$B$42*P100)/'参数'!$J$6+((R100*'参数'!$B$45*(1+'参数'!$B$39*P100))^2/((R100*'参数'!$B$45*(1+'参数'!$B$39*P100))+'参数'!$B$22*(M100)))/'参数'!$B$46)+((S100*(1+'参数'!$B$39*P100))^2/((S100*(1+'参数'!$B$39*P100))+'参数'!$B$22*(M100)))*(1+'参数'!$B$42*P100)/'参数'!$J$7)*(1+'参数'!$B$37*('参数'!$B$38-1))</x:f>
        <x:v>5441.525236705579</x:v>
      </x:c>
      <x:c r="X100" s="25" t="n">
        <x:f>('参数'!$B$26+'参数'!$B$27*(D100-1)/99)*'参数'!$K$26*AD100</x:f>
        <x:v>14.666666666666666</x:v>
      </x:c>
      <x:c r="Y100" s="25" t="n">
        <x:f>('参数'!$B$28+'参数'!$B$29*(D100-1)/99)*'参数'!$K$26*AD100*IF(AE100=1,'参数'!$B$51,1)</x:f>
        <x:v>38.888888888888886</x:v>
      </x:c>
      <x:c r="Z100" s="21" t="n">
        <x:f>MIN('参数'!$B$36,U100/(U100+'参数'!$B$35))</x:f>
        <x:v>0.13997348155536327</x:v>
      </x:c>
      <x:c r="AA100" s="18" t="n">
        <x:f>T100*'参数'!$B$30/('参数'!$B$32*'参数'!$B$33)/(1-Z100)*AC100</x:f>
        <x:v>356.245661488399</x:v>
      </x:c>
      <x:c r="AB100" s="18" t="n">
        <x:f>T100*'参数'!$B$31/'参数'!$B$34/(1-Z100)*AC100</x:f>
        <x:v>712.491322976798</x:v>
      </x:c>
      <x:c r="AC100" s="15" t="n">
        <x:f>'参数'!$L$26*1</x:f>
        <x:v>1</x:v>
      </x:c>
      <x:c r="AD100" s="15" t="n">
        <x:f>1</x:f>
        <x:v>1</x:v>
      </x:c>
      <x:c r="AE100" s="18" t="n">
        <x:f>IF(MOD(B100,12)=0,1,0)</x:f>
        <x:v>0</x:v>
      </x:c>
    </x:row>
    <x:row r="101" ht="22" customHeight="1">
      <x:c r="A101" s="19" t="str">
        <x:v>简单</x:v>
      </x:c>
      <x:c r="B101" s="19" t="n">
        <x:v>96</x:v>
      </x:c>
      <x:c r="C101" s="19" t="n">
        <x:f>ROUNDUP(B101/12,0)</x:f>
        <x:v>8</x:v>
      </x:c>
      <x:c r="D101" s="19" t="n">
        <x:f>ROUND(MAX('参数'!$G$26,E101)+(IF(C101&lt;10,INDEX('参数'!$G$34:$P$34,1,MIN(10,C101+1)),'参数'!$H$26)-MAX('参数'!$G$26,E101))*MOD(B101-1,12)/11,0)</x:f>
        <x:v>45</x:v>
      </x:c>
      <x:c r="E101" s="19" t="n">
        <x:f>INDEX('参数'!$G$34:$P$34,1,C101)</x:f>
        <x:v>40</x:v>
      </x:c>
      <x:c r="F101" s="20" t="n">
        <x:f>'参数'!$I$26</x:f>
        <x:v>1.05</x:v>
      </x:c>
      <x:c r="G101" s="19" t="n">
        <x:f>ROUND(V101*X101/'参数'!$B$56,0)</x:f>
        <x:v>22529</x:v>
      </x:c>
      <x:c r="H101" s="19" t="n">
        <x:f>ROUND((AA101+SQRT(AA101^2+4*AA101*'参数'!$B$22*U101))/2,0)</x:f>
        <x:v>745</x:v>
      </x:c>
      <x:c r="I101" s="19" t="n">
        <x:f>ROUND(Q101*'参数'!$B$23/'参数'!$B$22,0)</x:f>
        <x:v>211</x:v>
      </x:c>
      <x:c r="J101" s="19" t="n">
        <x:f>ROUND(G101*'参数'!$B$50,0)</x:f>
        <x:v>67587</x:v>
      </x:c>
      <x:c r="K101" s="19" t="n">
        <x:f>ROUND(W101*Y101,0)</x:f>
        <x:v>243357</x:v>
      </x:c>
      <x:c r="L101" s="19" t="n">
        <x:f>ROUND((AB101+SQRT(AB101^2+4*AB101*'参数'!$B$22*U101))/2,0)</x:f>
        <x:v>1197</x:v>
      </x:c>
      <x:c r="M101" s="19" t="n">
        <x:f>ROUND(I101*'参数'!$B$24,0)</x:f>
        <x:v>264</x:v>
      </x:c>
      <x:c r="N101" s="19" t="n">
        <x:f>'参数'!$B$9*'参数'!$B$10^(D101-1)</x:f>
        <x:v>2202.871364068746</x:v>
      </x:c>
      <x:c r="O101" s="19" t="n">
        <x:f>'参数'!$B$18*'参数'!$B$19^(MIN(E101,MAX(1,5*INT(D101/5)))-1)*F101*'参数'!$J$26*P101</x:f>
        <x:v>155.90616865008087</x:v>
      </x:c>
      <x:c r="P101" s="22" t="n">
        <x:f>MIN(1,(D101-1)/19)</x:f>
        <x:v>1</x:v>
      </x:c>
      <x:c r="Q101" s="19" t="n">
        <x:f>INDEX('角色成长'!$F$6:$F$105,D101)+O101*'参数'!$K$21</x:f>
        <x:v>1057.3325806527305</x:v>
      </x:c>
      <x:c r="R101" s="19" t="n">
        <x:f>INDEX('角色成长'!$I$6:$I$105,D101)+O101*'参数'!$K$21</x:f>
        <x:v>886.3325806527305</x:v>
      </x:c>
      <x:c r="S101" s="19" t="n">
        <x:f>INDEX('角色成长'!$L$6:$L$105,D101)+O101*'参数'!$K$21</x:f>
        <x:v>787.3325806527305</x:v>
      </x:c>
      <x:c r="T101" s="19" t="n">
        <x:f>(INDEX('角色成长'!$J$6:$J$105,D101)+O101*'参数'!$L$21)*(1+'参数'!$B$40*P101)</x:f>
        <x:v>12255.228638434975</x:v>
      </x:c>
      <x:c r="U101" s="19" t="n">
        <x:f>(INDEX('角色成长'!$K$6:$K$105,D101)+O101*'参数'!$M$21)*(1+'参数'!$B$41*P101)</x:f>
        <x:v>651.0193746514058</x:v>
      </x:c>
      <x:c r="V101" s="19" t="n">
        <x:f>(('参数'!$K$5*(((Q101*(1+'参数'!$B$39*P101))^2/((Q101*(1+'参数'!$B$39*P101))+'参数'!$B$22*(I101)))*(1+'参数'!$B$42*P101)/'参数'!$J$5+((Q101*'参数'!$B$43*(1+'参数'!$B$39*P101))^2/((Q101*'参数'!$B$43*(1+'参数'!$B$39*P101))+'参数'!$B$22*(I101)))/'参数'!$B$44))+(((R101*(1+'参数'!$B$39*P101))^2/((R101*(1+'参数'!$B$39*P101))+'参数'!$B$22*(I101)))*(1+'参数'!$B$42*P101)/'参数'!$J$6+((R101*'参数'!$B$45*(1+'参数'!$B$39*P101))^2/((R101*'参数'!$B$45*(1+'参数'!$B$39*P101))+'参数'!$B$22*(I101)))/'参数'!$B$46)+((S101*(1+'参数'!$B$39*P101))^2/((S101*(1+'参数'!$B$39*P101))+'参数'!$B$22*(I101)))*(1+'参数'!$B$42*P101)/'参数'!$J$7)*(1+'参数'!$B$37*('参数'!$B$38-1))*'参数'!$B$25</x:f>
        <x:v>7066.031657619345</x:v>
      </x:c>
      <x:c r="W101" s="19" t="n">
        <x:f>(('参数'!$K$5*(((Q101*(1+'参数'!$B$39*P101))^2/((Q101*(1+'参数'!$B$39*P101))+'参数'!$B$22*(M101)))*(1+'参数'!$B$42*P101)/'参数'!$J$5+((Q101*'参数'!$B$43*(1+'参数'!$B$39*P101))^2/((Q101*'参数'!$B$43*(1+'参数'!$B$39*P101))+'参数'!$B$22*(M101)))/'参数'!$B$44))+(((R101*(1+'参数'!$B$39*P101))^2/((R101*(1+'参数'!$B$39*P101))+'参数'!$B$22*(M101)))*(1+'参数'!$B$42*P101)/'参数'!$J$6+((R101*'参数'!$B$45*(1+'参数'!$B$39*P101))^2/((R101*'参数'!$B$45*(1+'参数'!$B$39*P101))+'参数'!$B$22*(M101)))/'参数'!$B$46)+((S101*(1+'参数'!$B$39*P101))^2/((S101*(1+'参数'!$B$39*P101))+'参数'!$B$22*(M101)))*(1+'参数'!$B$42*P101)/'参数'!$J$7)*(1+'参数'!$B$37*('参数'!$B$38-1))</x:f>
        <x:v>5441.525236705579</x:v>
      </x:c>
      <x:c r="X101" s="26" t="n">
        <x:f>('参数'!$B$26+'参数'!$B$27*(D101-1)/99)*'参数'!$K$26*AD101</x:f>
        <x:v>14.666666666666666</x:v>
      </x:c>
      <x:c r="Y101" s="26" t="n">
        <x:f>('参数'!$B$28+'参数'!$B$29*(D101-1)/99)*'参数'!$K$26*AD101*IF(AE101=1,'参数'!$B$51,1)</x:f>
        <x:v>44.722222222222214</x:v>
      </x:c>
      <x:c r="Z101" s="22" t="n">
        <x:f>MIN('参数'!$B$36,U101/(U101+'参数'!$B$35))</x:f>
        <x:v>0.13997348155536327</x:v>
      </x:c>
      <x:c r="AA101" s="19" t="n">
        <x:f>T101*'参数'!$B$30/('参数'!$B$32*'参数'!$B$33)/(1-Z101)*AC101</x:f>
        <x:v>356.245661488399</x:v>
      </x:c>
      <x:c r="AB101" s="19" t="n">
        <x:f>T101*'参数'!$B$31/'参数'!$B$34/(1-Z101)*AC101</x:f>
        <x:v>712.491322976798</x:v>
      </x:c>
      <x:c r="AC101" s="20" t="n">
        <x:f>'参数'!$L$26*1</x:f>
        <x:v>1</x:v>
      </x:c>
      <x:c r="AD101" s="20" t="n">
        <x:f>1</x:f>
        <x:v>1</x:v>
      </x:c>
      <x:c r="AE101" s="19" t="n">
        <x:f>IF(MOD(B101,12)=0,1,0)</x:f>
        <x:v>1</x:v>
      </x:c>
    </x:row>
    <x:row r="102" ht="22" customHeight="1">
      <x:c r="A102" s="18" t="str">
        <x:v>简单</x:v>
      </x:c>
      <x:c r="B102" s="18" t="n">
        <x:v>97</x:v>
      </x:c>
      <x:c r="C102" s="18" t="n">
        <x:f>ROUNDUP(B102/12,0)</x:f>
        <x:v>9</x:v>
      </x:c>
      <x:c r="D102" s="18" t="n">
        <x:f>ROUND(MAX('参数'!$G$26,E102)+(IF(C102&lt;10,INDEX('参数'!$G$34:$P$34,1,MIN(10,C102+1)),'参数'!$H$26)-MAX('参数'!$G$26,E102))*MOD(B102-1,12)/11,0)</x:f>
        <x:v>45</x:v>
      </x:c>
      <x:c r="E102" s="18" t="n">
        <x:f>INDEX('参数'!$G$34:$P$34,1,C102)</x:f>
        <x:v>45</x:v>
      </x:c>
      <x:c r="F102" s="15" t="n">
        <x:f>'参数'!$I$26</x:f>
        <x:v>1.05</x:v>
      </x:c>
      <x:c r="G102" s="18" t="n">
        <x:f>ROUND(V102*X102/'参数'!$B$56,0)</x:f>
        <x:v>24546</x:v>
      </x:c>
      <x:c r="H102" s="18" t="n">
        <x:f>ROUND((AA102+SQRT(AA102^2+4*AA102*'参数'!$B$22*U102))/2,0)</x:f>
        <x:v>806</x:v>
      </x:c>
      <x:c r="I102" s="18" t="n">
        <x:f>ROUND(Q102*'参数'!$B$23/'参数'!$B$22,0)</x:f>
        <x:v>229</x:v>
      </x:c>
      <x:c r="J102" s="18" t="n">
        <x:f>ROUND(G102*'参数'!$B$50,0)</x:f>
        <x:v>73638</x:v>
      </x:c>
      <x:c r="K102" s="18" t="n">
        <x:f>ROUND(W102*Y102,0)</x:f>
        <x:v>230650</x:v>
      </x:c>
      <x:c r="L102" s="18" t="n">
        <x:f>ROUND((AB102+SQRT(AB102^2+4*AB102*'参数'!$B$22*U102))/2,0)</x:f>
        <x:v>1293</x:v>
      </x:c>
      <x:c r="M102" s="18" t="n">
        <x:f>ROUND(I102*'参数'!$B$24,0)</x:f>
        <x:v>286</x:v>
      </x:c>
      <x:c r="N102" s="18" t="n">
        <x:f>'参数'!$B$9*'参数'!$B$10^(D102-1)</x:f>
        <x:v>2202.871364068746</x:v>
      </x:c>
      <x:c r="O102" s="18" t="n">
        <x:f>'参数'!$B$18*'参数'!$B$19^(MIN(E102,MAX(1,5*INT(D102/5)))-1)*F102*'参数'!$J$26*P102</x:f>
        <x:v>186.96360822822706</x:v>
      </x:c>
      <x:c r="P102" s="21" t="n">
        <x:f>MIN(1,(D102-1)/19)</x:f>
        <x:v>1</x:v>
      </x:c>
      <x:c r="Q102" s="18" t="n">
        <x:f>INDEX('角色成长'!$F$6:$F$105,D102)+O102*'参数'!$K$21</x:f>
        <x:v>1145.8462834504471</x:v>
      </x:c>
      <x:c r="R102" s="18" t="n">
        <x:f>INDEX('角色成长'!$I$6:$I$105,D102)+O102*'参数'!$K$21</x:f>
        <x:v>974.8462834504471</x:v>
      </x:c>
      <x:c r="S102" s="18" t="n">
        <x:f>INDEX('角色成长'!$L$6:$L$105,D102)+O102*'参数'!$K$21</x:f>
        <x:v>875.8462834504471</x:v>
      </x:c>
      <x:c r="T102" s="18" t="n">
        <x:f>(INDEX('角色成长'!$J$6:$J$105,D102)+O102*'参数'!$L$21)*(1+'参数'!$B$40*P102)</x:f>
        <x:v>13013.651312933305</x:v>
      </x:c>
      <x:c r="U102" s="18" t="n">
        <x:f>(INDEX('角色成长'!$K$6:$K$105,D102)+O102*'参数'!$M$21)*(1+'参数'!$B$41*P102)</x:f>
        <x:v>710.8049458393372</x:v>
      </x:c>
      <x:c r="V102" s="18" t="n">
        <x:f>(('参数'!$K$5*(((Q102*(1+'参数'!$B$39*P102))^2/((Q102*(1+'参数'!$B$39*P102))+'参数'!$B$22*(I102)))*(1+'参数'!$B$42*P102)/'参数'!$J$5+((Q102*'参数'!$B$43*(1+'参数'!$B$39*P102))^2/((Q102*'参数'!$B$43*(1+'参数'!$B$39*P102))+'参数'!$B$22*(I102)))/'参数'!$B$44))+(((R102*(1+'参数'!$B$39*P102))^2/((R102*(1+'参数'!$B$39*P102))+'参数'!$B$22*(I102)))*(1+'参数'!$B$42*P102)/'参数'!$J$6+((R102*'参数'!$B$45*(1+'参数'!$B$39*P102))^2/((R102*'参数'!$B$45*(1+'参数'!$B$39*P102))+'参数'!$B$22*(I102)))/'参数'!$B$46)+((S102*(1+'参数'!$B$39*P102))^2/((S102*(1+'参数'!$B$39*P102))+'参数'!$B$22*(I102)))*(1+'参数'!$B$42*P102)/'参数'!$J$7)*(1+'参数'!$B$37*('参数'!$B$38-1))*'参数'!$B$25</x:f>
        <x:v>7698.531397961498</x:v>
      </x:c>
      <x:c r="W102" s="18" t="n">
        <x:f>(('参数'!$K$5*(((Q102*(1+'参数'!$B$39*P102))^2/((Q102*(1+'参数'!$B$39*P102))+'参数'!$B$22*(M102)))*(1+'参数'!$B$42*P102)/'参数'!$J$5+((Q102*'参数'!$B$43*(1+'参数'!$B$39*P102))^2/((Q102*'参数'!$B$43*(1+'参数'!$B$39*P102))+'参数'!$B$22*(M102)))/'参数'!$B$44))+(((R102*(1+'参数'!$B$39*P102))^2/((R102*(1+'参数'!$B$39*P102))+'参数'!$B$22*(M102)))*(1+'参数'!$B$42*P102)/'参数'!$J$6+((R102*'参数'!$B$45*(1+'参数'!$B$39*P102))^2/((R102*'参数'!$B$45*(1+'参数'!$B$39*P102))+'参数'!$B$22*(M102)))/'参数'!$B$46)+((S102*(1+'参数'!$B$39*P102))^2/((S102*(1+'参数'!$B$39*P102))+'参数'!$B$22*(M102)))*(1+'参数'!$B$42*P102)/'参数'!$J$7)*(1+'参数'!$B$37*('参数'!$B$38-1))</x:f>
        <x:v>5931.011803997693</x:v>
      </x:c>
      <x:c r="X102" s="25" t="n">
        <x:f>('参数'!$B$26+'参数'!$B$27*(D102-1)/99)*'参数'!$K$26*AD102</x:f>
        <x:v>14.666666666666666</x:v>
      </x:c>
      <x:c r="Y102" s="25" t="n">
        <x:f>('参数'!$B$28+'参数'!$B$29*(D102-1)/99)*'参数'!$K$26*AD102*IF(AE102=1,'参数'!$B$51,1)</x:f>
        <x:v>38.888888888888886</x:v>
      </x:c>
      <x:c r="Z102" s="21" t="n">
        <x:f>MIN('参数'!$B$36,U102/(U102+'参数'!$B$35))</x:f>
        <x:v>0.15088821422486026</x:v>
      </x:c>
      <x:c r="AA102" s="18" t="n">
        <x:f>T102*'参数'!$B$30/('参数'!$B$32*'参数'!$B$33)/(1-Z102)*AC102</x:f>
        <x:v>383.15483105246744</x:v>
      </x:c>
      <x:c r="AB102" s="18" t="n">
        <x:f>T102*'参数'!$B$31/'参数'!$B$34/(1-Z102)*AC102</x:f>
        <x:v>766.3096621049349</x:v>
      </x:c>
      <x:c r="AC102" s="15" t="n">
        <x:f>'参数'!$L$26*1</x:f>
        <x:v>1</x:v>
      </x:c>
      <x:c r="AD102" s="15" t="n">
        <x:f>1</x:f>
        <x:v>1</x:v>
      </x:c>
      <x:c r="AE102" s="18" t="n">
        <x:f>IF(MOD(B102,12)=0,1,0)</x:f>
        <x:v>0</x:v>
      </x:c>
    </x:row>
    <x:row r="103" ht="22" customHeight="1">
      <x:c r="A103" s="19" t="str">
        <x:v>简单</x:v>
      </x:c>
      <x:c r="B103" s="19" t="n">
        <x:v>98</x:v>
      </x:c>
      <x:c r="C103" s="19" t="n">
        <x:f>ROUNDUP(B103/12,0)</x:f>
        <x:v>9</x:v>
      </x:c>
      <x:c r="D103" s="19" t="n">
        <x:f>ROUND(MAX('参数'!$G$26,E103)+(IF(C103&lt;10,INDEX('参数'!$G$34:$P$34,1,MIN(10,C103+1)),'参数'!$H$26)-MAX('参数'!$G$26,E103))*MOD(B103-1,12)/11,0)</x:f>
        <x:v>45</x:v>
      </x:c>
      <x:c r="E103" s="19" t="n">
        <x:f>INDEX('参数'!$G$34:$P$34,1,C103)</x:f>
        <x:v>45</x:v>
      </x:c>
      <x:c r="F103" s="20" t="n">
        <x:f>'参数'!$I$26</x:f>
        <x:v>1.05</x:v>
      </x:c>
      <x:c r="G103" s="19" t="n">
        <x:f>ROUND(V103*X103/'参数'!$B$56,0)</x:f>
        <x:v>24546</x:v>
      </x:c>
      <x:c r="H103" s="19" t="n">
        <x:f>ROUND((AA103+SQRT(AA103^2+4*AA103*'参数'!$B$22*U103))/2,0)</x:f>
        <x:v>806</x:v>
      </x:c>
      <x:c r="I103" s="19" t="n">
        <x:f>ROUND(Q103*'参数'!$B$23/'参数'!$B$22,0)</x:f>
        <x:v>229</x:v>
      </x:c>
      <x:c r="J103" s="19" t="n">
        <x:f>ROUND(G103*'参数'!$B$50,0)</x:f>
        <x:v>73638</x:v>
      </x:c>
      <x:c r="K103" s="19" t="n">
        <x:f>ROUND(W103*Y103,0)</x:f>
        <x:v>230650</x:v>
      </x:c>
      <x:c r="L103" s="19" t="n">
        <x:f>ROUND((AB103+SQRT(AB103^2+4*AB103*'参数'!$B$22*U103))/2,0)</x:f>
        <x:v>1293</x:v>
      </x:c>
      <x:c r="M103" s="19" t="n">
        <x:f>ROUND(I103*'参数'!$B$24,0)</x:f>
        <x:v>286</x:v>
      </x:c>
      <x:c r="N103" s="19" t="n">
        <x:f>'参数'!$B$9*'参数'!$B$10^(D103-1)</x:f>
        <x:v>2202.871364068746</x:v>
      </x:c>
      <x:c r="O103" s="19" t="n">
        <x:f>'参数'!$B$18*'参数'!$B$19^(MIN(E103,MAX(1,5*INT(D103/5)))-1)*F103*'参数'!$J$26*P103</x:f>
        <x:v>186.96360822822706</x:v>
      </x:c>
      <x:c r="P103" s="22" t="n">
        <x:f>MIN(1,(D103-1)/19)</x:f>
        <x:v>1</x:v>
      </x:c>
      <x:c r="Q103" s="19" t="n">
        <x:f>INDEX('角色成长'!$F$6:$F$105,D103)+O103*'参数'!$K$21</x:f>
        <x:v>1145.8462834504471</x:v>
      </x:c>
      <x:c r="R103" s="19" t="n">
        <x:f>INDEX('角色成长'!$I$6:$I$105,D103)+O103*'参数'!$K$21</x:f>
        <x:v>974.8462834504471</x:v>
      </x:c>
      <x:c r="S103" s="19" t="n">
        <x:f>INDEX('角色成长'!$L$6:$L$105,D103)+O103*'参数'!$K$21</x:f>
        <x:v>875.8462834504471</x:v>
      </x:c>
      <x:c r="T103" s="19" t="n">
        <x:f>(INDEX('角色成长'!$J$6:$J$105,D103)+O103*'参数'!$L$21)*(1+'参数'!$B$40*P103)</x:f>
        <x:v>13013.651312933305</x:v>
      </x:c>
      <x:c r="U103" s="19" t="n">
        <x:f>(INDEX('角色成长'!$K$6:$K$105,D103)+O103*'参数'!$M$21)*(1+'参数'!$B$41*P103)</x:f>
        <x:v>710.8049458393372</x:v>
      </x:c>
      <x:c r="V103" s="19" t="n">
        <x:f>(('参数'!$K$5*(((Q103*(1+'参数'!$B$39*P103))^2/((Q103*(1+'参数'!$B$39*P103))+'参数'!$B$22*(I103)))*(1+'参数'!$B$42*P103)/'参数'!$J$5+((Q103*'参数'!$B$43*(1+'参数'!$B$39*P103))^2/((Q103*'参数'!$B$43*(1+'参数'!$B$39*P103))+'参数'!$B$22*(I103)))/'参数'!$B$44))+(((R103*(1+'参数'!$B$39*P103))^2/((R103*(1+'参数'!$B$39*P103))+'参数'!$B$22*(I103)))*(1+'参数'!$B$42*P103)/'参数'!$J$6+((R103*'参数'!$B$45*(1+'参数'!$B$39*P103))^2/((R103*'参数'!$B$45*(1+'参数'!$B$39*P103))+'参数'!$B$22*(I103)))/'参数'!$B$46)+((S103*(1+'参数'!$B$39*P103))^2/((S103*(1+'参数'!$B$39*P103))+'参数'!$B$22*(I103)))*(1+'参数'!$B$42*P103)/'参数'!$J$7)*(1+'参数'!$B$37*('参数'!$B$38-1))*'参数'!$B$25</x:f>
        <x:v>7698.531397961498</x:v>
      </x:c>
      <x:c r="W103" s="19" t="n">
        <x:f>(('参数'!$K$5*(((Q103*(1+'参数'!$B$39*P103))^2/((Q103*(1+'参数'!$B$39*P103))+'参数'!$B$22*(M103)))*(1+'参数'!$B$42*P103)/'参数'!$J$5+((Q103*'参数'!$B$43*(1+'参数'!$B$39*P103))^2/((Q103*'参数'!$B$43*(1+'参数'!$B$39*P103))+'参数'!$B$22*(M103)))/'参数'!$B$44))+(((R103*(1+'参数'!$B$39*P103))^2/((R103*(1+'参数'!$B$39*P103))+'参数'!$B$22*(M103)))*(1+'参数'!$B$42*P103)/'参数'!$J$6+((R103*'参数'!$B$45*(1+'参数'!$B$39*P103))^2/((R103*'参数'!$B$45*(1+'参数'!$B$39*P103))+'参数'!$B$22*(M103)))/'参数'!$B$46)+((S103*(1+'参数'!$B$39*P103))^2/((S103*(1+'参数'!$B$39*P103))+'参数'!$B$22*(M103)))*(1+'参数'!$B$42*P103)/'参数'!$J$7)*(1+'参数'!$B$37*('参数'!$B$38-1))</x:f>
        <x:v>5931.011803997693</x:v>
      </x:c>
      <x:c r="X103" s="26" t="n">
        <x:f>('参数'!$B$26+'参数'!$B$27*(D103-1)/99)*'参数'!$K$26*AD103</x:f>
        <x:v>14.666666666666666</x:v>
      </x:c>
      <x:c r="Y103" s="26" t="n">
        <x:f>('参数'!$B$28+'参数'!$B$29*(D103-1)/99)*'参数'!$K$26*AD103*IF(AE103=1,'参数'!$B$51,1)</x:f>
        <x:v>38.888888888888886</x:v>
      </x:c>
      <x:c r="Z103" s="22" t="n">
        <x:f>MIN('参数'!$B$36,U103/(U103+'参数'!$B$35))</x:f>
        <x:v>0.15088821422486026</x:v>
      </x:c>
      <x:c r="AA103" s="19" t="n">
        <x:f>T103*'参数'!$B$30/('参数'!$B$32*'参数'!$B$33)/(1-Z103)*AC103</x:f>
        <x:v>383.15483105246744</x:v>
      </x:c>
      <x:c r="AB103" s="19" t="n">
        <x:f>T103*'参数'!$B$31/'参数'!$B$34/(1-Z103)*AC103</x:f>
        <x:v>766.3096621049349</x:v>
      </x:c>
      <x:c r="AC103" s="20" t="n">
        <x:f>'参数'!$L$26*1</x:f>
        <x:v>1</x:v>
      </x:c>
      <x:c r="AD103" s="20" t="n">
        <x:f>1</x:f>
        <x:v>1</x:v>
      </x:c>
      <x:c r="AE103" s="19" t="n">
        <x:f>IF(MOD(B103,12)=0,1,0)</x:f>
        <x:v>0</x:v>
      </x:c>
    </x:row>
    <x:row r="104" ht="22" customHeight="1">
      <x:c r="A104" s="18" t="str">
        <x:v>简单</x:v>
      </x:c>
      <x:c r="B104" s="18" t="n">
        <x:v>99</x:v>
      </x:c>
      <x:c r="C104" s="18" t="n">
        <x:f>ROUNDUP(B104/12,0)</x:f>
        <x:v>9</x:v>
      </x:c>
      <x:c r="D104" s="18" t="n">
        <x:f>ROUND(MAX('参数'!$G$26,E104)+(IF(C104&lt;10,INDEX('参数'!$G$34:$P$34,1,MIN(10,C104+1)),'参数'!$H$26)-MAX('参数'!$G$26,E104))*MOD(B104-1,12)/11,0)</x:f>
        <x:v>45</x:v>
      </x:c>
      <x:c r="E104" s="18" t="n">
        <x:f>INDEX('参数'!$G$34:$P$34,1,C104)</x:f>
        <x:v>45</x:v>
      </x:c>
      <x:c r="F104" s="15" t="n">
        <x:f>'参数'!$I$26</x:f>
        <x:v>1.05</x:v>
      </x:c>
      <x:c r="G104" s="18" t="n">
        <x:f>ROUND(V104*X104/'参数'!$B$56,0)</x:f>
        <x:v>24546</x:v>
      </x:c>
      <x:c r="H104" s="18" t="n">
        <x:f>ROUND((AA104+SQRT(AA104^2+4*AA104*'参数'!$B$22*U104))/2,0)</x:f>
        <x:v>806</x:v>
      </x:c>
      <x:c r="I104" s="18" t="n">
        <x:f>ROUND(Q104*'参数'!$B$23/'参数'!$B$22,0)</x:f>
        <x:v>229</x:v>
      </x:c>
      <x:c r="J104" s="18" t="n">
        <x:f>ROUND(G104*'参数'!$B$50,0)</x:f>
        <x:v>73638</x:v>
      </x:c>
      <x:c r="K104" s="18" t="n">
        <x:f>ROUND(W104*Y104,0)</x:f>
        <x:v>230650</x:v>
      </x:c>
      <x:c r="L104" s="18" t="n">
        <x:f>ROUND((AB104+SQRT(AB104^2+4*AB104*'参数'!$B$22*U104))/2,0)</x:f>
        <x:v>1293</x:v>
      </x:c>
      <x:c r="M104" s="18" t="n">
        <x:f>ROUND(I104*'参数'!$B$24,0)</x:f>
        <x:v>286</x:v>
      </x:c>
      <x:c r="N104" s="18" t="n">
        <x:f>'参数'!$B$9*'参数'!$B$10^(D104-1)</x:f>
        <x:v>2202.871364068746</x:v>
      </x:c>
      <x:c r="O104" s="18" t="n">
        <x:f>'参数'!$B$18*'参数'!$B$19^(MIN(E104,MAX(1,5*INT(D104/5)))-1)*F104*'参数'!$J$26*P104</x:f>
        <x:v>186.96360822822706</x:v>
      </x:c>
      <x:c r="P104" s="21" t="n">
        <x:f>MIN(1,(D104-1)/19)</x:f>
        <x:v>1</x:v>
      </x:c>
      <x:c r="Q104" s="18" t="n">
        <x:f>INDEX('角色成长'!$F$6:$F$105,D104)+O104*'参数'!$K$21</x:f>
        <x:v>1145.8462834504471</x:v>
      </x:c>
      <x:c r="R104" s="18" t="n">
        <x:f>INDEX('角色成长'!$I$6:$I$105,D104)+O104*'参数'!$K$21</x:f>
        <x:v>974.8462834504471</x:v>
      </x:c>
      <x:c r="S104" s="18" t="n">
        <x:f>INDEX('角色成长'!$L$6:$L$105,D104)+O104*'参数'!$K$21</x:f>
        <x:v>875.8462834504471</x:v>
      </x:c>
      <x:c r="T104" s="18" t="n">
        <x:f>(INDEX('角色成长'!$J$6:$J$105,D104)+O104*'参数'!$L$21)*(1+'参数'!$B$40*P104)</x:f>
        <x:v>13013.651312933305</x:v>
      </x:c>
      <x:c r="U104" s="18" t="n">
        <x:f>(INDEX('角色成长'!$K$6:$K$105,D104)+O104*'参数'!$M$21)*(1+'参数'!$B$41*P104)</x:f>
        <x:v>710.8049458393372</x:v>
      </x:c>
      <x:c r="V104" s="18" t="n">
        <x:f>(('参数'!$K$5*(((Q104*(1+'参数'!$B$39*P104))^2/((Q104*(1+'参数'!$B$39*P104))+'参数'!$B$22*(I104)))*(1+'参数'!$B$42*P104)/'参数'!$J$5+((Q104*'参数'!$B$43*(1+'参数'!$B$39*P104))^2/((Q104*'参数'!$B$43*(1+'参数'!$B$39*P104))+'参数'!$B$22*(I104)))/'参数'!$B$44))+(((R104*(1+'参数'!$B$39*P104))^2/((R104*(1+'参数'!$B$39*P104))+'参数'!$B$22*(I104)))*(1+'参数'!$B$42*P104)/'参数'!$J$6+((R104*'参数'!$B$45*(1+'参数'!$B$39*P104))^2/((R104*'参数'!$B$45*(1+'参数'!$B$39*P104))+'参数'!$B$22*(I104)))/'参数'!$B$46)+((S104*(1+'参数'!$B$39*P104))^2/((S104*(1+'参数'!$B$39*P104))+'参数'!$B$22*(I104)))*(1+'参数'!$B$42*P104)/'参数'!$J$7)*(1+'参数'!$B$37*('参数'!$B$38-1))*'参数'!$B$25</x:f>
        <x:v>7698.531397961498</x:v>
      </x:c>
      <x:c r="W104" s="18" t="n">
        <x:f>(('参数'!$K$5*(((Q104*(1+'参数'!$B$39*P104))^2/((Q104*(1+'参数'!$B$39*P104))+'参数'!$B$22*(M104)))*(1+'参数'!$B$42*P104)/'参数'!$J$5+((Q104*'参数'!$B$43*(1+'参数'!$B$39*P104))^2/((Q104*'参数'!$B$43*(1+'参数'!$B$39*P104))+'参数'!$B$22*(M104)))/'参数'!$B$44))+(((R104*(1+'参数'!$B$39*P104))^2/((R104*(1+'参数'!$B$39*P104))+'参数'!$B$22*(M104)))*(1+'参数'!$B$42*P104)/'参数'!$J$6+((R104*'参数'!$B$45*(1+'参数'!$B$39*P104))^2/((R104*'参数'!$B$45*(1+'参数'!$B$39*P104))+'参数'!$B$22*(M104)))/'参数'!$B$46)+((S104*(1+'参数'!$B$39*P104))^2/((S104*(1+'参数'!$B$39*P104))+'参数'!$B$22*(M104)))*(1+'参数'!$B$42*P104)/'参数'!$J$7)*(1+'参数'!$B$37*('参数'!$B$38-1))</x:f>
        <x:v>5931.011803997693</x:v>
      </x:c>
      <x:c r="X104" s="25" t="n">
        <x:f>('参数'!$B$26+'参数'!$B$27*(D104-1)/99)*'参数'!$K$26*AD104</x:f>
        <x:v>14.666666666666666</x:v>
      </x:c>
      <x:c r="Y104" s="25" t="n">
        <x:f>('参数'!$B$28+'参数'!$B$29*(D104-1)/99)*'参数'!$K$26*AD104*IF(AE104=1,'参数'!$B$51,1)</x:f>
        <x:v>38.888888888888886</x:v>
      </x:c>
      <x:c r="Z104" s="21" t="n">
        <x:f>MIN('参数'!$B$36,U104/(U104+'参数'!$B$35))</x:f>
        <x:v>0.15088821422486026</x:v>
      </x:c>
      <x:c r="AA104" s="18" t="n">
        <x:f>T104*'参数'!$B$30/('参数'!$B$32*'参数'!$B$33)/(1-Z104)*AC104</x:f>
        <x:v>383.15483105246744</x:v>
      </x:c>
      <x:c r="AB104" s="18" t="n">
        <x:f>T104*'参数'!$B$31/'参数'!$B$34/(1-Z104)*AC104</x:f>
        <x:v>766.3096621049349</x:v>
      </x:c>
      <x:c r="AC104" s="15" t="n">
        <x:f>'参数'!$L$26*1</x:f>
        <x:v>1</x:v>
      </x:c>
      <x:c r="AD104" s="15" t="n">
        <x:f>1</x:f>
        <x:v>1</x:v>
      </x:c>
      <x:c r="AE104" s="18" t="n">
        <x:f>IF(MOD(B104,12)=0,1,0)</x:f>
        <x:v>0</x:v>
      </x:c>
    </x:row>
    <x:row r="105" ht="22" customHeight="1">
      <x:c r="A105" s="19" t="str">
        <x:v>简单</x:v>
      </x:c>
      <x:c r="B105" s="19" t="n">
        <x:v>100</x:v>
      </x:c>
      <x:c r="C105" s="19" t="n">
        <x:f>ROUNDUP(B105/12,0)</x:f>
        <x:v>9</x:v>
      </x:c>
      <x:c r="D105" s="19" t="n">
        <x:f>ROUND(MAX('参数'!$G$26,E105)+(IF(C105&lt;10,INDEX('参数'!$G$34:$P$34,1,MIN(10,C105+1)),'参数'!$H$26)-MAX('参数'!$G$26,E105))*MOD(B105-1,12)/11,0)</x:f>
        <x:v>45</x:v>
      </x:c>
      <x:c r="E105" s="19" t="n">
        <x:f>INDEX('参数'!$G$34:$P$34,1,C105)</x:f>
        <x:v>45</x:v>
      </x:c>
      <x:c r="F105" s="20" t="n">
        <x:f>'参数'!$I$26</x:f>
        <x:v>1.05</x:v>
      </x:c>
      <x:c r="G105" s="19" t="n">
        <x:f>ROUND(V105*X105/'参数'!$B$56,0)</x:f>
        <x:v>24546</x:v>
      </x:c>
      <x:c r="H105" s="19" t="n">
        <x:f>ROUND((AA105+SQRT(AA105^2+4*AA105*'参数'!$B$22*U105))/2,0)</x:f>
        <x:v>806</x:v>
      </x:c>
      <x:c r="I105" s="19" t="n">
        <x:f>ROUND(Q105*'参数'!$B$23/'参数'!$B$22,0)</x:f>
        <x:v>229</x:v>
      </x:c>
      <x:c r="J105" s="19" t="n">
        <x:f>ROUND(G105*'参数'!$B$50,0)</x:f>
        <x:v>73638</x:v>
      </x:c>
      <x:c r="K105" s="19" t="n">
        <x:f>ROUND(W105*Y105,0)</x:f>
        <x:v>230650</x:v>
      </x:c>
      <x:c r="L105" s="19" t="n">
        <x:f>ROUND((AB105+SQRT(AB105^2+4*AB105*'参数'!$B$22*U105))/2,0)</x:f>
        <x:v>1293</x:v>
      </x:c>
      <x:c r="M105" s="19" t="n">
        <x:f>ROUND(I105*'参数'!$B$24,0)</x:f>
        <x:v>286</x:v>
      </x:c>
      <x:c r="N105" s="19" t="n">
        <x:f>'参数'!$B$9*'参数'!$B$10^(D105-1)</x:f>
        <x:v>2202.871364068746</x:v>
      </x:c>
      <x:c r="O105" s="19" t="n">
        <x:f>'参数'!$B$18*'参数'!$B$19^(MIN(E105,MAX(1,5*INT(D105/5)))-1)*F105*'参数'!$J$26*P105</x:f>
        <x:v>186.96360822822706</x:v>
      </x:c>
      <x:c r="P105" s="22" t="n">
        <x:f>MIN(1,(D105-1)/19)</x:f>
        <x:v>1</x:v>
      </x:c>
      <x:c r="Q105" s="19" t="n">
        <x:f>INDEX('角色成长'!$F$6:$F$105,D105)+O105*'参数'!$K$21</x:f>
        <x:v>1145.8462834504471</x:v>
      </x:c>
      <x:c r="R105" s="19" t="n">
        <x:f>INDEX('角色成长'!$I$6:$I$105,D105)+O105*'参数'!$K$21</x:f>
        <x:v>974.8462834504471</x:v>
      </x:c>
      <x:c r="S105" s="19" t="n">
        <x:f>INDEX('角色成长'!$L$6:$L$105,D105)+O105*'参数'!$K$21</x:f>
        <x:v>875.8462834504471</x:v>
      </x:c>
      <x:c r="T105" s="19" t="n">
        <x:f>(INDEX('角色成长'!$J$6:$J$105,D105)+O105*'参数'!$L$21)*(1+'参数'!$B$40*P105)</x:f>
        <x:v>13013.651312933305</x:v>
      </x:c>
      <x:c r="U105" s="19" t="n">
        <x:f>(INDEX('角色成长'!$K$6:$K$105,D105)+O105*'参数'!$M$21)*(1+'参数'!$B$41*P105)</x:f>
        <x:v>710.8049458393372</x:v>
      </x:c>
      <x:c r="V105" s="19" t="n">
        <x:f>(('参数'!$K$5*(((Q105*(1+'参数'!$B$39*P105))^2/((Q105*(1+'参数'!$B$39*P105))+'参数'!$B$22*(I105)))*(1+'参数'!$B$42*P105)/'参数'!$J$5+((Q105*'参数'!$B$43*(1+'参数'!$B$39*P105))^2/((Q105*'参数'!$B$43*(1+'参数'!$B$39*P105))+'参数'!$B$22*(I105)))/'参数'!$B$44))+(((R105*(1+'参数'!$B$39*P105))^2/((R105*(1+'参数'!$B$39*P105))+'参数'!$B$22*(I105)))*(1+'参数'!$B$42*P105)/'参数'!$J$6+((R105*'参数'!$B$45*(1+'参数'!$B$39*P105))^2/((R105*'参数'!$B$45*(1+'参数'!$B$39*P105))+'参数'!$B$22*(I105)))/'参数'!$B$46)+((S105*(1+'参数'!$B$39*P105))^2/((S105*(1+'参数'!$B$39*P105))+'参数'!$B$22*(I105)))*(1+'参数'!$B$42*P105)/'参数'!$J$7)*(1+'参数'!$B$37*('参数'!$B$38-1))*'参数'!$B$25</x:f>
        <x:v>7698.531397961498</x:v>
      </x:c>
      <x:c r="W105" s="19" t="n">
        <x:f>(('参数'!$K$5*(((Q105*(1+'参数'!$B$39*P105))^2/((Q105*(1+'参数'!$B$39*P105))+'参数'!$B$22*(M105)))*(1+'参数'!$B$42*P105)/'参数'!$J$5+((Q105*'参数'!$B$43*(1+'参数'!$B$39*P105))^2/((Q105*'参数'!$B$43*(1+'参数'!$B$39*P105))+'参数'!$B$22*(M105)))/'参数'!$B$44))+(((R105*(1+'参数'!$B$39*P105))^2/((R105*(1+'参数'!$B$39*P105))+'参数'!$B$22*(M105)))*(1+'参数'!$B$42*P105)/'参数'!$J$6+((R105*'参数'!$B$45*(1+'参数'!$B$39*P105))^2/((R105*'参数'!$B$45*(1+'参数'!$B$39*P105))+'参数'!$B$22*(M105)))/'参数'!$B$46)+((S105*(1+'参数'!$B$39*P105))^2/((S105*(1+'参数'!$B$39*P105))+'参数'!$B$22*(M105)))*(1+'参数'!$B$42*P105)/'参数'!$J$7)*(1+'参数'!$B$37*('参数'!$B$38-1))</x:f>
        <x:v>5931.011803997693</x:v>
      </x:c>
      <x:c r="X105" s="26" t="n">
        <x:f>('参数'!$B$26+'参数'!$B$27*(D105-1)/99)*'参数'!$K$26*AD105</x:f>
        <x:v>14.666666666666666</x:v>
      </x:c>
      <x:c r="Y105" s="26" t="n">
        <x:f>('参数'!$B$28+'参数'!$B$29*(D105-1)/99)*'参数'!$K$26*AD105*IF(AE105=1,'参数'!$B$51,1)</x:f>
        <x:v>38.888888888888886</x:v>
      </x:c>
      <x:c r="Z105" s="22" t="n">
        <x:f>MIN('参数'!$B$36,U105/(U105+'参数'!$B$35))</x:f>
        <x:v>0.15088821422486026</x:v>
      </x:c>
      <x:c r="AA105" s="19" t="n">
        <x:f>T105*'参数'!$B$30/('参数'!$B$32*'参数'!$B$33)/(1-Z105)*AC105</x:f>
        <x:v>383.15483105246744</x:v>
      </x:c>
      <x:c r="AB105" s="19" t="n">
        <x:f>T105*'参数'!$B$31/'参数'!$B$34/(1-Z105)*AC105</x:f>
        <x:v>766.3096621049349</x:v>
      </x:c>
      <x:c r="AC105" s="20" t="n">
        <x:f>'参数'!$L$26*1</x:f>
        <x:v>1</x:v>
      </x:c>
      <x:c r="AD105" s="20" t="n">
        <x:f>1</x:f>
        <x:v>1</x:v>
      </x:c>
      <x:c r="AE105" s="19" t="n">
        <x:f>IF(MOD(B105,12)=0,1,0)</x:f>
        <x:v>0</x:v>
      </x:c>
    </x:row>
    <x:row r="106" ht="22" customHeight="1">
      <x:c r="A106" s="18" t="str">
        <x:v>简单</x:v>
      </x:c>
      <x:c r="B106" s="18" t="n">
        <x:v>101</x:v>
      </x:c>
      <x:c r="C106" s="18" t="n">
        <x:f>ROUNDUP(B106/12,0)</x:f>
        <x:v>9</x:v>
      </x:c>
      <x:c r="D106" s="18" t="n">
        <x:f>ROUND(MAX('参数'!$G$26,E106)+(IF(C106&lt;10,INDEX('参数'!$G$34:$P$34,1,MIN(10,C106+1)),'参数'!$H$26)-MAX('参数'!$G$26,E106))*MOD(B106-1,12)/11,0)</x:f>
        <x:v>45</x:v>
      </x:c>
      <x:c r="E106" s="18" t="n">
        <x:f>INDEX('参数'!$G$34:$P$34,1,C106)</x:f>
        <x:v>45</x:v>
      </x:c>
      <x:c r="F106" s="15" t="n">
        <x:f>'参数'!$I$26</x:f>
        <x:v>1.05</x:v>
      </x:c>
      <x:c r="G106" s="18" t="n">
        <x:f>ROUND(V106*X106/'参数'!$B$56,0)</x:f>
        <x:v>24546</x:v>
      </x:c>
      <x:c r="H106" s="18" t="n">
        <x:f>ROUND((AA106+SQRT(AA106^2+4*AA106*'参数'!$B$22*U106))/2,0)</x:f>
        <x:v>806</x:v>
      </x:c>
      <x:c r="I106" s="18" t="n">
        <x:f>ROUND(Q106*'参数'!$B$23/'参数'!$B$22,0)</x:f>
        <x:v>229</x:v>
      </x:c>
      <x:c r="J106" s="18" t="n">
        <x:f>ROUND(G106*'参数'!$B$50,0)</x:f>
        <x:v>73638</x:v>
      </x:c>
      <x:c r="K106" s="18" t="n">
        <x:f>ROUND(W106*Y106,0)</x:f>
        <x:v>230650</x:v>
      </x:c>
      <x:c r="L106" s="18" t="n">
        <x:f>ROUND((AB106+SQRT(AB106^2+4*AB106*'参数'!$B$22*U106))/2,0)</x:f>
        <x:v>1293</x:v>
      </x:c>
      <x:c r="M106" s="18" t="n">
        <x:f>ROUND(I106*'参数'!$B$24,0)</x:f>
        <x:v>286</x:v>
      </x:c>
      <x:c r="N106" s="18" t="n">
        <x:f>'参数'!$B$9*'参数'!$B$10^(D106-1)</x:f>
        <x:v>2202.871364068746</x:v>
      </x:c>
      <x:c r="O106" s="18" t="n">
        <x:f>'参数'!$B$18*'参数'!$B$19^(MIN(E106,MAX(1,5*INT(D106/5)))-1)*F106*'参数'!$J$26*P106</x:f>
        <x:v>186.96360822822706</x:v>
      </x:c>
      <x:c r="P106" s="21" t="n">
        <x:f>MIN(1,(D106-1)/19)</x:f>
        <x:v>1</x:v>
      </x:c>
      <x:c r="Q106" s="18" t="n">
        <x:f>INDEX('角色成长'!$F$6:$F$105,D106)+O106*'参数'!$K$21</x:f>
        <x:v>1145.8462834504471</x:v>
      </x:c>
      <x:c r="R106" s="18" t="n">
        <x:f>INDEX('角色成长'!$I$6:$I$105,D106)+O106*'参数'!$K$21</x:f>
        <x:v>974.8462834504471</x:v>
      </x:c>
      <x:c r="S106" s="18" t="n">
        <x:f>INDEX('角色成长'!$L$6:$L$105,D106)+O106*'参数'!$K$21</x:f>
        <x:v>875.8462834504471</x:v>
      </x:c>
      <x:c r="T106" s="18" t="n">
        <x:f>(INDEX('角色成长'!$J$6:$J$105,D106)+O106*'参数'!$L$21)*(1+'参数'!$B$40*P106)</x:f>
        <x:v>13013.651312933305</x:v>
      </x:c>
      <x:c r="U106" s="18" t="n">
        <x:f>(INDEX('角色成长'!$K$6:$K$105,D106)+O106*'参数'!$M$21)*(1+'参数'!$B$41*P106)</x:f>
        <x:v>710.8049458393372</x:v>
      </x:c>
      <x:c r="V106" s="18" t="n">
        <x:f>(('参数'!$K$5*(((Q106*(1+'参数'!$B$39*P106))^2/((Q106*(1+'参数'!$B$39*P106))+'参数'!$B$22*(I106)))*(1+'参数'!$B$42*P106)/'参数'!$J$5+((Q106*'参数'!$B$43*(1+'参数'!$B$39*P106))^2/((Q106*'参数'!$B$43*(1+'参数'!$B$39*P106))+'参数'!$B$22*(I106)))/'参数'!$B$44))+(((R106*(1+'参数'!$B$39*P106))^2/((R106*(1+'参数'!$B$39*P106))+'参数'!$B$22*(I106)))*(1+'参数'!$B$42*P106)/'参数'!$J$6+((R106*'参数'!$B$45*(1+'参数'!$B$39*P106))^2/((R106*'参数'!$B$45*(1+'参数'!$B$39*P106))+'参数'!$B$22*(I106)))/'参数'!$B$46)+((S106*(1+'参数'!$B$39*P106))^2/((S106*(1+'参数'!$B$39*P106))+'参数'!$B$22*(I106)))*(1+'参数'!$B$42*P106)/'参数'!$J$7)*(1+'参数'!$B$37*('参数'!$B$38-1))*'参数'!$B$25</x:f>
        <x:v>7698.531397961498</x:v>
      </x:c>
      <x:c r="W106" s="18" t="n">
        <x:f>(('参数'!$K$5*(((Q106*(1+'参数'!$B$39*P106))^2/((Q106*(1+'参数'!$B$39*P106))+'参数'!$B$22*(M106)))*(1+'参数'!$B$42*P106)/'参数'!$J$5+((Q106*'参数'!$B$43*(1+'参数'!$B$39*P106))^2/((Q106*'参数'!$B$43*(1+'参数'!$B$39*P106))+'参数'!$B$22*(M106)))/'参数'!$B$44))+(((R106*(1+'参数'!$B$39*P106))^2/((R106*(1+'参数'!$B$39*P106))+'参数'!$B$22*(M106)))*(1+'参数'!$B$42*P106)/'参数'!$J$6+((R106*'参数'!$B$45*(1+'参数'!$B$39*P106))^2/((R106*'参数'!$B$45*(1+'参数'!$B$39*P106))+'参数'!$B$22*(M106)))/'参数'!$B$46)+((S106*(1+'参数'!$B$39*P106))^2/((S106*(1+'参数'!$B$39*P106))+'参数'!$B$22*(M106)))*(1+'参数'!$B$42*P106)/'参数'!$J$7)*(1+'参数'!$B$37*('参数'!$B$38-1))</x:f>
        <x:v>5931.011803997693</x:v>
      </x:c>
      <x:c r="X106" s="25" t="n">
        <x:f>('参数'!$B$26+'参数'!$B$27*(D106-1)/99)*'参数'!$K$26*AD106</x:f>
        <x:v>14.666666666666666</x:v>
      </x:c>
      <x:c r="Y106" s="25" t="n">
        <x:f>('参数'!$B$28+'参数'!$B$29*(D106-1)/99)*'参数'!$K$26*AD106*IF(AE106=1,'参数'!$B$51,1)</x:f>
        <x:v>38.888888888888886</x:v>
      </x:c>
      <x:c r="Z106" s="21" t="n">
        <x:f>MIN('参数'!$B$36,U106/(U106+'参数'!$B$35))</x:f>
        <x:v>0.15088821422486026</x:v>
      </x:c>
      <x:c r="AA106" s="18" t="n">
        <x:f>T106*'参数'!$B$30/('参数'!$B$32*'参数'!$B$33)/(1-Z106)*AC106</x:f>
        <x:v>383.15483105246744</x:v>
      </x:c>
      <x:c r="AB106" s="18" t="n">
        <x:f>T106*'参数'!$B$31/'参数'!$B$34/(1-Z106)*AC106</x:f>
        <x:v>766.3096621049349</x:v>
      </x:c>
      <x:c r="AC106" s="15" t="n">
        <x:f>'参数'!$L$26*1</x:f>
        <x:v>1</x:v>
      </x:c>
      <x:c r="AD106" s="15" t="n">
        <x:f>1</x:f>
        <x:v>1</x:v>
      </x:c>
      <x:c r="AE106" s="18" t="n">
        <x:f>IF(MOD(B106,12)=0,1,0)</x:f>
        <x:v>0</x:v>
      </x:c>
    </x:row>
    <x:row r="107" ht="22" customHeight="1">
      <x:c r="A107" s="19" t="str">
        <x:v>简单</x:v>
      </x:c>
      <x:c r="B107" s="19" t="n">
        <x:v>102</x:v>
      </x:c>
      <x:c r="C107" s="19" t="n">
        <x:f>ROUNDUP(B107/12,0)</x:f>
        <x:v>9</x:v>
      </x:c>
      <x:c r="D107" s="19" t="n">
        <x:f>ROUND(MAX('参数'!$G$26,E107)+(IF(C107&lt;10,INDEX('参数'!$G$34:$P$34,1,MIN(10,C107+1)),'参数'!$H$26)-MAX('参数'!$G$26,E107))*MOD(B107-1,12)/11,0)</x:f>
        <x:v>45</x:v>
      </x:c>
      <x:c r="E107" s="19" t="n">
        <x:f>INDEX('参数'!$G$34:$P$34,1,C107)</x:f>
        <x:v>45</x:v>
      </x:c>
      <x:c r="F107" s="20" t="n">
        <x:f>'参数'!$I$26</x:f>
        <x:v>1.05</x:v>
      </x:c>
      <x:c r="G107" s="19" t="n">
        <x:f>ROUND(V107*X107/'参数'!$B$56,0)</x:f>
        <x:v>24546</x:v>
      </x:c>
      <x:c r="H107" s="19" t="n">
        <x:f>ROUND((AA107+SQRT(AA107^2+4*AA107*'参数'!$B$22*U107))/2,0)</x:f>
        <x:v>806</x:v>
      </x:c>
      <x:c r="I107" s="19" t="n">
        <x:f>ROUND(Q107*'参数'!$B$23/'参数'!$B$22,0)</x:f>
        <x:v>229</x:v>
      </x:c>
      <x:c r="J107" s="19" t="n">
        <x:f>ROUND(G107*'参数'!$B$50,0)</x:f>
        <x:v>73638</x:v>
      </x:c>
      <x:c r="K107" s="19" t="n">
        <x:f>ROUND(W107*Y107,0)</x:f>
        <x:v>230650</x:v>
      </x:c>
      <x:c r="L107" s="19" t="n">
        <x:f>ROUND((AB107+SQRT(AB107^2+4*AB107*'参数'!$B$22*U107))/2,0)</x:f>
        <x:v>1293</x:v>
      </x:c>
      <x:c r="M107" s="19" t="n">
        <x:f>ROUND(I107*'参数'!$B$24,0)</x:f>
        <x:v>286</x:v>
      </x:c>
      <x:c r="N107" s="19" t="n">
        <x:f>'参数'!$B$9*'参数'!$B$10^(D107-1)</x:f>
        <x:v>2202.871364068746</x:v>
      </x:c>
      <x:c r="O107" s="19" t="n">
        <x:f>'参数'!$B$18*'参数'!$B$19^(MIN(E107,MAX(1,5*INT(D107/5)))-1)*F107*'参数'!$J$26*P107</x:f>
        <x:v>186.96360822822706</x:v>
      </x:c>
      <x:c r="P107" s="22" t="n">
        <x:f>MIN(1,(D107-1)/19)</x:f>
        <x:v>1</x:v>
      </x:c>
      <x:c r="Q107" s="19" t="n">
        <x:f>INDEX('角色成长'!$F$6:$F$105,D107)+O107*'参数'!$K$21</x:f>
        <x:v>1145.8462834504471</x:v>
      </x:c>
      <x:c r="R107" s="19" t="n">
        <x:f>INDEX('角色成长'!$I$6:$I$105,D107)+O107*'参数'!$K$21</x:f>
        <x:v>974.8462834504471</x:v>
      </x:c>
      <x:c r="S107" s="19" t="n">
        <x:f>INDEX('角色成长'!$L$6:$L$105,D107)+O107*'参数'!$K$21</x:f>
        <x:v>875.8462834504471</x:v>
      </x:c>
      <x:c r="T107" s="19" t="n">
        <x:f>(INDEX('角色成长'!$J$6:$J$105,D107)+O107*'参数'!$L$21)*(1+'参数'!$B$40*P107)</x:f>
        <x:v>13013.651312933305</x:v>
      </x:c>
      <x:c r="U107" s="19" t="n">
        <x:f>(INDEX('角色成长'!$K$6:$K$105,D107)+O107*'参数'!$M$21)*(1+'参数'!$B$41*P107)</x:f>
        <x:v>710.8049458393372</x:v>
      </x:c>
      <x:c r="V107" s="19" t="n">
        <x:f>(('参数'!$K$5*(((Q107*(1+'参数'!$B$39*P107))^2/((Q107*(1+'参数'!$B$39*P107))+'参数'!$B$22*(I107)))*(1+'参数'!$B$42*P107)/'参数'!$J$5+((Q107*'参数'!$B$43*(1+'参数'!$B$39*P107))^2/((Q107*'参数'!$B$43*(1+'参数'!$B$39*P107))+'参数'!$B$22*(I107)))/'参数'!$B$44))+(((R107*(1+'参数'!$B$39*P107))^2/((R107*(1+'参数'!$B$39*P107))+'参数'!$B$22*(I107)))*(1+'参数'!$B$42*P107)/'参数'!$J$6+((R107*'参数'!$B$45*(1+'参数'!$B$39*P107))^2/((R107*'参数'!$B$45*(1+'参数'!$B$39*P107))+'参数'!$B$22*(I107)))/'参数'!$B$46)+((S107*(1+'参数'!$B$39*P107))^2/((S107*(1+'参数'!$B$39*P107))+'参数'!$B$22*(I107)))*(1+'参数'!$B$42*P107)/'参数'!$J$7)*(1+'参数'!$B$37*('参数'!$B$38-1))*'参数'!$B$25</x:f>
        <x:v>7698.531397961498</x:v>
      </x:c>
      <x:c r="W107" s="19" t="n">
        <x:f>(('参数'!$K$5*(((Q107*(1+'参数'!$B$39*P107))^2/((Q107*(1+'参数'!$B$39*P107))+'参数'!$B$22*(M107)))*(1+'参数'!$B$42*P107)/'参数'!$J$5+((Q107*'参数'!$B$43*(1+'参数'!$B$39*P107))^2/((Q107*'参数'!$B$43*(1+'参数'!$B$39*P107))+'参数'!$B$22*(M107)))/'参数'!$B$44))+(((R107*(1+'参数'!$B$39*P107))^2/((R107*(1+'参数'!$B$39*P107))+'参数'!$B$22*(M107)))*(1+'参数'!$B$42*P107)/'参数'!$J$6+((R107*'参数'!$B$45*(1+'参数'!$B$39*P107))^2/((R107*'参数'!$B$45*(1+'参数'!$B$39*P107))+'参数'!$B$22*(M107)))/'参数'!$B$46)+((S107*(1+'参数'!$B$39*P107))^2/((S107*(1+'参数'!$B$39*P107))+'参数'!$B$22*(M107)))*(1+'参数'!$B$42*P107)/'参数'!$J$7)*(1+'参数'!$B$37*('参数'!$B$38-1))</x:f>
        <x:v>5931.011803997693</x:v>
      </x:c>
      <x:c r="X107" s="26" t="n">
        <x:f>('参数'!$B$26+'参数'!$B$27*(D107-1)/99)*'参数'!$K$26*AD107</x:f>
        <x:v>14.666666666666666</x:v>
      </x:c>
      <x:c r="Y107" s="26" t="n">
        <x:f>('参数'!$B$28+'参数'!$B$29*(D107-1)/99)*'参数'!$K$26*AD107*IF(AE107=1,'参数'!$B$51,1)</x:f>
        <x:v>38.888888888888886</x:v>
      </x:c>
      <x:c r="Z107" s="22" t="n">
        <x:f>MIN('参数'!$B$36,U107/(U107+'参数'!$B$35))</x:f>
        <x:v>0.15088821422486026</x:v>
      </x:c>
      <x:c r="AA107" s="19" t="n">
        <x:f>T107*'参数'!$B$30/('参数'!$B$32*'参数'!$B$33)/(1-Z107)*AC107</x:f>
        <x:v>383.15483105246744</x:v>
      </x:c>
      <x:c r="AB107" s="19" t="n">
        <x:f>T107*'参数'!$B$31/'参数'!$B$34/(1-Z107)*AC107</x:f>
        <x:v>766.3096621049349</x:v>
      </x:c>
      <x:c r="AC107" s="20" t="n">
        <x:f>'参数'!$L$26*1</x:f>
        <x:v>1</x:v>
      </x:c>
      <x:c r="AD107" s="20" t="n">
        <x:f>1</x:f>
        <x:v>1</x:v>
      </x:c>
      <x:c r="AE107" s="19" t="n">
        <x:f>IF(MOD(B107,12)=0,1,0)</x:f>
        <x:v>0</x:v>
      </x:c>
    </x:row>
    <x:row r="108" ht="22" customHeight="1">
      <x:c r="A108" s="18" t="str">
        <x:v>简单</x:v>
      </x:c>
      <x:c r="B108" s="18" t="n">
        <x:v>103</x:v>
      </x:c>
      <x:c r="C108" s="18" t="n">
        <x:f>ROUNDUP(B108/12,0)</x:f>
        <x:v>9</x:v>
      </x:c>
      <x:c r="D108" s="18" t="n">
        <x:f>ROUND(MAX('参数'!$G$26,E108)+(IF(C108&lt;10,INDEX('参数'!$G$34:$P$34,1,MIN(10,C108+1)),'参数'!$H$26)-MAX('参数'!$G$26,E108))*MOD(B108-1,12)/11,0)</x:f>
        <x:v>45</x:v>
      </x:c>
      <x:c r="E108" s="18" t="n">
        <x:f>INDEX('参数'!$G$34:$P$34,1,C108)</x:f>
        <x:v>45</x:v>
      </x:c>
      <x:c r="F108" s="15" t="n">
        <x:f>'参数'!$I$26</x:f>
        <x:v>1.05</x:v>
      </x:c>
      <x:c r="G108" s="18" t="n">
        <x:f>ROUND(V108*X108/'参数'!$B$56,0)</x:f>
        <x:v>24546</x:v>
      </x:c>
      <x:c r="H108" s="18" t="n">
        <x:f>ROUND((AA108+SQRT(AA108^2+4*AA108*'参数'!$B$22*U108))/2,0)</x:f>
        <x:v>806</x:v>
      </x:c>
      <x:c r="I108" s="18" t="n">
        <x:f>ROUND(Q108*'参数'!$B$23/'参数'!$B$22,0)</x:f>
        <x:v>229</x:v>
      </x:c>
      <x:c r="J108" s="18" t="n">
        <x:f>ROUND(G108*'参数'!$B$50,0)</x:f>
        <x:v>73638</x:v>
      </x:c>
      <x:c r="K108" s="18" t="n">
        <x:f>ROUND(W108*Y108,0)</x:f>
        <x:v>230650</x:v>
      </x:c>
      <x:c r="L108" s="18" t="n">
        <x:f>ROUND((AB108+SQRT(AB108^2+4*AB108*'参数'!$B$22*U108))/2,0)</x:f>
        <x:v>1293</x:v>
      </x:c>
      <x:c r="M108" s="18" t="n">
        <x:f>ROUND(I108*'参数'!$B$24,0)</x:f>
        <x:v>286</x:v>
      </x:c>
      <x:c r="N108" s="18" t="n">
        <x:f>'参数'!$B$9*'参数'!$B$10^(D108-1)</x:f>
        <x:v>2202.871364068746</x:v>
      </x:c>
      <x:c r="O108" s="18" t="n">
        <x:f>'参数'!$B$18*'参数'!$B$19^(MIN(E108,MAX(1,5*INT(D108/5)))-1)*F108*'参数'!$J$26*P108</x:f>
        <x:v>186.96360822822706</x:v>
      </x:c>
      <x:c r="P108" s="21" t="n">
        <x:f>MIN(1,(D108-1)/19)</x:f>
        <x:v>1</x:v>
      </x:c>
      <x:c r="Q108" s="18" t="n">
        <x:f>INDEX('角色成长'!$F$6:$F$105,D108)+O108*'参数'!$K$21</x:f>
        <x:v>1145.8462834504471</x:v>
      </x:c>
      <x:c r="R108" s="18" t="n">
        <x:f>INDEX('角色成长'!$I$6:$I$105,D108)+O108*'参数'!$K$21</x:f>
        <x:v>974.8462834504471</x:v>
      </x:c>
      <x:c r="S108" s="18" t="n">
        <x:f>INDEX('角色成长'!$L$6:$L$105,D108)+O108*'参数'!$K$21</x:f>
        <x:v>875.8462834504471</x:v>
      </x:c>
      <x:c r="T108" s="18" t="n">
        <x:f>(INDEX('角色成长'!$J$6:$J$105,D108)+O108*'参数'!$L$21)*(1+'参数'!$B$40*P108)</x:f>
        <x:v>13013.651312933305</x:v>
      </x:c>
      <x:c r="U108" s="18" t="n">
        <x:f>(INDEX('角色成长'!$K$6:$K$105,D108)+O108*'参数'!$M$21)*(1+'参数'!$B$41*P108)</x:f>
        <x:v>710.8049458393372</x:v>
      </x:c>
      <x:c r="V108" s="18" t="n">
        <x:f>(('参数'!$K$5*(((Q108*(1+'参数'!$B$39*P108))^2/((Q108*(1+'参数'!$B$39*P108))+'参数'!$B$22*(I108)))*(1+'参数'!$B$42*P108)/'参数'!$J$5+((Q108*'参数'!$B$43*(1+'参数'!$B$39*P108))^2/((Q108*'参数'!$B$43*(1+'参数'!$B$39*P108))+'参数'!$B$22*(I108)))/'参数'!$B$44))+(((R108*(1+'参数'!$B$39*P108))^2/((R108*(1+'参数'!$B$39*P108))+'参数'!$B$22*(I108)))*(1+'参数'!$B$42*P108)/'参数'!$J$6+((R108*'参数'!$B$45*(1+'参数'!$B$39*P108))^2/((R108*'参数'!$B$45*(1+'参数'!$B$39*P108))+'参数'!$B$22*(I108)))/'参数'!$B$46)+((S108*(1+'参数'!$B$39*P108))^2/((S108*(1+'参数'!$B$39*P108))+'参数'!$B$22*(I108)))*(1+'参数'!$B$42*P108)/'参数'!$J$7)*(1+'参数'!$B$37*('参数'!$B$38-1))*'参数'!$B$25</x:f>
        <x:v>7698.531397961498</x:v>
      </x:c>
      <x:c r="W108" s="18" t="n">
        <x:f>(('参数'!$K$5*(((Q108*(1+'参数'!$B$39*P108))^2/((Q108*(1+'参数'!$B$39*P108))+'参数'!$B$22*(M108)))*(1+'参数'!$B$42*P108)/'参数'!$J$5+((Q108*'参数'!$B$43*(1+'参数'!$B$39*P108))^2/((Q108*'参数'!$B$43*(1+'参数'!$B$39*P108))+'参数'!$B$22*(M108)))/'参数'!$B$44))+(((R108*(1+'参数'!$B$39*P108))^2/((R108*(1+'参数'!$B$39*P108))+'参数'!$B$22*(M108)))*(1+'参数'!$B$42*P108)/'参数'!$J$6+((R108*'参数'!$B$45*(1+'参数'!$B$39*P108))^2/((R108*'参数'!$B$45*(1+'参数'!$B$39*P108))+'参数'!$B$22*(M108)))/'参数'!$B$46)+((S108*(1+'参数'!$B$39*P108))^2/((S108*(1+'参数'!$B$39*P108))+'参数'!$B$22*(M108)))*(1+'参数'!$B$42*P108)/'参数'!$J$7)*(1+'参数'!$B$37*('参数'!$B$38-1))</x:f>
        <x:v>5931.011803997693</x:v>
      </x:c>
      <x:c r="X108" s="25" t="n">
        <x:f>('参数'!$B$26+'参数'!$B$27*(D108-1)/99)*'参数'!$K$26*AD108</x:f>
        <x:v>14.666666666666666</x:v>
      </x:c>
      <x:c r="Y108" s="25" t="n">
        <x:f>('参数'!$B$28+'参数'!$B$29*(D108-1)/99)*'参数'!$K$26*AD108*IF(AE108=1,'参数'!$B$51,1)</x:f>
        <x:v>38.888888888888886</x:v>
      </x:c>
      <x:c r="Z108" s="21" t="n">
        <x:f>MIN('参数'!$B$36,U108/(U108+'参数'!$B$35))</x:f>
        <x:v>0.15088821422486026</x:v>
      </x:c>
      <x:c r="AA108" s="18" t="n">
        <x:f>T108*'参数'!$B$30/('参数'!$B$32*'参数'!$B$33)/(1-Z108)*AC108</x:f>
        <x:v>383.15483105246744</x:v>
      </x:c>
      <x:c r="AB108" s="18" t="n">
        <x:f>T108*'参数'!$B$31/'参数'!$B$34/(1-Z108)*AC108</x:f>
        <x:v>766.3096621049349</x:v>
      </x:c>
      <x:c r="AC108" s="15" t="n">
        <x:f>'参数'!$L$26*1</x:f>
        <x:v>1</x:v>
      </x:c>
      <x:c r="AD108" s="15" t="n">
        <x:f>1</x:f>
        <x:v>1</x:v>
      </x:c>
      <x:c r="AE108" s="18" t="n">
        <x:f>IF(MOD(B108,12)=0,1,0)</x:f>
        <x:v>0</x:v>
      </x:c>
    </x:row>
    <x:row r="109" ht="22" customHeight="1">
      <x:c r="A109" s="19" t="str">
        <x:v>简单</x:v>
      </x:c>
      <x:c r="B109" s="19" t="n">
        <x:v>104</x:v>
      </x:c>
      <x:c r="C109" s="19" t="n">
        <x:f>ROUNDUP(B109/12,0)</x:f>
        <x:v>9</x:v>
      </x:c>
      <x:c r="D109" s="19" t="n">
        <x:f>ROUND(MAX('参数'!$G$26,E109)+(IF(C109&lt;10,INDEX('参数'!$G$34:$P$34,1,MIN(10,C109+1)),'参数'!$H$26)-MAX('参数'!$G$26,E109))*MOD(B109-1,12)/11,0)</x:f>
        <x:v>45</x:v>
      </x:c>
      <x:c r="E109" s="19" t="n">
        <x:f>INDEX('参数'!$G$34:$P$34,1,C109)</x:f>
        <x:v>45</x:v>
      </x:c>
      <x:c r="F109" s="20" t="n">
        <x:f>'参数'!$I$26</x:f>
        <x:v>1.05</x:v>
      </x:c>
      <x:c r="G109" s="19" t="n">
        <x:f>ROUND(V109*X109/'参数'!$B$56,0)</x:f>
        <x:v>24546</x:v>
      </x:c>
      <x:c r="H109" s="19" t="n">
        <x:f>ROUND((AA109+SQRT(AA109^2+4*AA109*'参数'!$B$22*U109))/2,0)</x:f>
        <x:v>806</x:v>
      </x:c>
      <x:c r="I109" s="19" t="n">
        <x:f>ROUND(Q109*'参数'!$B$23/'参数'!$B$22,0)</x:f>
        <x:v>229</x:v>
      </x:c>
      <x:c r="J109" s="19" t="n">
        <x:f>ROUND(G109*'参数'!$B$50,0)</x:f>
        <x:v>73638</x:v>
      </x:c>
      <x:c r="K109" s="19" t="n">
        <x:f>ROUND(W109*Y109,0)</x:f>
        <x:v>230650</x:v>
      </x:c>
      <x:c r="L109" s="19" t="n">
        <x:f>ROUND((AB109+SQRT(AB109^2+4*AB109*'参数'!$B$22*U109))/2,0)</x:f>
        <x:v>1293</x:v>
      </x:c>
      <x:c r="M109" s="19" t="n">
        <x:f>ROUND(I109*'参数'!$B$24,0)</x:f>
        <x:v>286</x:v>
      </x:c>
      <x:c r="N109" s="19" t="n">
        <x:f>'参数'!$B$9*'参数'!$B$10^(D109-1)</x:f>
        <x:v>2202.871364068746</x:v>
      </x:c>
      <x:c r="O109" s="19" t="n">
        <x:f>'参数'!$B$18*'参数'!$B$19^(MIN(E109,MAX(1,5*INT(D109/5)))-1)*F109*'参数'!$J$26*P109</x:f>
        <x:v>186.96360822822706</x:v>
      </x:c>
      <x:c r="P109" s="22" t="n">
        <x:f>MIN(1,(D109-1)/19)</x:f>
        <x:v>1</x:v>
      </x:c>
      <x:c r="Q109" s="19" t="n">
        <x:f>INDEX('角色成长'!$F$6:$F$105,D109)+O109*'参数'!$K$21</x:f>
        <x:v>1145.8462834504471</x:v>
      </x:c>
      <x:c r="R109" s="19" t="n">
        <x:f>INDEX('角色成长'!$I$6:$I$105,D109)+O109*'参数'!$K$21</x:f>
        <x:v>974.8462834504471</x:v>
      </x:c>
      <x:c r="S109" s="19" t="n">
        <x:f>INDEX('角色成长'!$L$6:$L$105,D109)+O109*'参数'!$K$21</x:f>
        <x:v>875.8462834504471</x:v>
      </x:c>
      <x:c r="T109" s="19" t="n">
        <x:f>(INDEX('角色成长'!$J$6:$J$105,D109)+O109*'参数'!$L$21)*(1+'参数'!$B$40*P109)</x:f>
        <x:v>13013.651312933305</x:v>
      </x:c>
      <x:c r="U109" s="19" t="n">
        <x:f>(INDEX('角色成长'!$K$6:$K$105,D109)+O109*'参数'!$M$21)*(1+'参数'!$B$41*P109)</x:f>
        <x:v>710.8049458393372</x:v>
      </x:c>
      <x:c r="V109" s="19" t="n">
        <x:f>(('参数'!$K$5*(((Q109*(1+'参数'!$B$39*P109))^2/((Q109*(1+'参数'!$B$39*P109))+'参数'!$B$22*(I109)))*(1+'参数'!$B$42*P109)/'参数'!$J$5+((Q109*'参数'!$B$43*(1+'参数'!$B$39*P109))^2/((Q109*'参数'!$B$43*(1+'参数'!$B$39*P109))+'参数'!$B$22*(I109)))/'参数'!$B$44))+(((R109*(1+'参数'!$B$39*P109))^2/((R109*(1+'参数'!$B$39*P109))+'参数'!$B$22*(I109)))*(1+'参数'!$B$42*P109)/'参数'!$J$6+((R109*'参数'!$B$45*(1+'参数'!$B$39*P109))^2/((R109*'参数'!$B$45*(1+'参数'!$B$39*P109))+'参数'!$B$22*(I109)))/'参数'!$B$46)+((S109*(1+'参数'!$B$39*P109))^2/((S109*(1+'参数'!$B$39*P109))+'参数'!$B$22*(I109)))*(1+'参数'!$B$42*P109)/'参数'!$J$7)*(1+'参数'!$B$37*('参数'!$B$38-1))*'参数'!$B$25</x:f>
        <x:v>7698.531397961498</x:v>
      </x:c>
      <x:c r="W109" s="19" t="n">
        <x:f>(('参数'!$K$5*(((Q109*(1+'参数'!$B$39*P109))^2/((Q109*(1+'参数'!$B$39*P109))+'参数'!$B$22*(M109)))*(1+'参数'!$B$42*P109)/'参数'!$J$5+((Q109*'参数'!$B$43*(1+'参数'!$B$39*P109))^2/((Q109*'参数'!$B$43*(1+'参数'!$B$39*P109))+'参数'!$B$22*(M109)))/'参数'!$B$44))+(((R109*(1+'参数'!$B$39*P109))^2/((R109*(1+'参数'!$B$39*P109))+'参数'!$B$22*(M109)))*(1+'参数'!$B$42*P109)/'参数'!$J$6+((R109*'参数'!$B$45*(1+'参数'!$B$39*P109))^2/((R109*'参数'!$B$45*(1+'参数'!$B$39*P109))+'参数'!$B$22*(M109)))/'参数'!$B$46)+((S109*(1+'参数'!$B$39*P109))^2/((S109*(1+'参数'!$B$39*P109))+'参数'!$B$22*(M109)))*(1+'参数'!$B$42*P109)/'参数'!$J$7)*(1+'参数'!$B$37*('参数'!$B$38-1))</x:f>
        <x:v>5931.011803997693</x:v>
      </x:c>
      <x:c r="X109" s="26" t="n">
        <x:f>('参数'!$B$26+'参数'!$B$27*(D109-1)/99)*'参数'!$K$26*AD109</x:f>
        <x:v>14.666666666666666</x:v>
      </x:c>
      <x:c r="Y109" s="26" t="n">
        <x:f>('参数'!$B$28+'参数'!$B$29*(D109-1)/99)*'参数'!$K$26*AD109*IF(AE109=1,'参数'!$B$51,1)</x:f>
        <x:v>38.888888888888886</x:v>
      </x:c>
      <x:c r="Z109" s="22" t="n">
        <x:f>MIN('参数'!$B$36,U109/(U109+'参数'!$B$35))</x:f>
        <x:v>0.15088821422486026</x:v>
      </x:c>
      <x:c r="AA109" s="19" t="n">
        <x:f>T109*'参数'!$B$30/('参数'!$B$32*'参数'!$B$33)/(1-Z109)*AC109</x:f>
        <x:v>383.15483105246744</x:v>
      </x:c>
      <x:c r="AB109" s="19" t="n">
        <x:f>T109*'参数'!$B$31/'参数'!$B$34/(1-Z109)*AC109</x:f>
        <x:v>766.3096621049349</x:v>
      </x:c>
      <x:c r="AC109" s="20" t="n">
        <x:f>'参数'!$L$26*1</x:f>
        <x:v>1</x:v>
      </x:c>
      <x:c r="AD109" s="20" t="n">
        <x:f>1</x:f>
        <x:v>1</x:v>
      </x:c>
      <x:c r="AE109" s="19" t="n">
        <x:f>IF(MOD(B109,12)=0,1,0)</x:f>
        <x:v>0</x:v>
      </x:c>
    </x:row>
    <x:row r="110" ht="22" customHeight="1">
      <x:c r="A110" s="18" t="str">
        <x:v>简单</x:v>
      </x:c>
      <x:c r="B110" s="18" t="n">
        <x:v>105</x:v>
      </x:c>
      <x:c r="C110" s="18" t="n">
        <x:f>ROUNDUP(B110/12,0)</x:f>
        <x:v>9</x:v>
      </x:c>
      <x:c r="D110" s="18" t="n">
        <x:f>ROUND(MAX('参数'!$G$26,E110)+(IF(C110&lt;10,INDEX('参数'!$G$34:$P$34,1,MIN(10,C110+1)),'参数'!$H$26)-MAX('参数'!$G$26,E110))*MOD(B110-1,12)/11,0)</x:f>
        <x:v>45</x:v>
      </x:c>
      <x:c r="E110" s="18" t="n">
        <x:f>INDEX('参数'!$G$34:$P$34,1,C110)</x:f>
        <x:v>45</x:v>
      </x:c>
      <x:c r="F110" s="15" t="n">
        <x:f>'参数'!$I$26</x:f>
        <x:v>1.05</x:v>
      </x:c>
      <x:c r="G110" s="18" t="n">
        <x:f>ROUND(V110*X110/'参数'!$B$56,0)</x:f>
        <x:v>24546</x:v>
      </x:c>
      <x:c r="H110" s="18" t="n">
        <x:f>ROUND((AA110+SQRT(AA110^2+4*AA110*'参数'!$B$22*U110))/2,0)</x:f>
        <x:v>806</x:v>
      </x:c>
      <x:c r="I110" s="18" t="n">
        <x:f>ROUND(Q110*'参数'!$B$23/'参数'!$B$22,0)</x:f>
        <x:v>229</x:v>
      </x:c>
      <x:c r="J110" s="18" t="n">
        <x:f>ROUND(G110*'参数'!$B$50,0)</x:f>
        <x:v>73638</x:v>
      </x:c>
      <x:c r="K110" s="18" t="n">
        <x:f>ROUND(W110*Y110,0)</x:f>
        <x:v>230650</x:v>
      </x:c>
      <x:c r="L110" s="18" t="n">
        <x:f>ROUND((AB110+SQRT(AB110^2+4*AB110*'参数'!$B$22*U110))/2,0)</x:f>
        <x:v>1293</x:v>
      </x:c>
      <x:c r="M110" s="18" t="n">
        <x:f>ROUND(I110*'参数'!$B$24,0)</x:f>
        <x:v>286</x:v>
      </x:c>
      <x:c r="N110" s="18" t="n">
        <x:f>'参数'!$B$9*'参数'!$B$10^(D110-1)</x:f>
        <x:v>2202.871364068746</x:v>
      </x:c>
      <x:c r="O110" s="18" t="n">
        <x:f>'参数'!$B$18*'参数'!$B$19^(MIN(E110,MAX(1,5*INT(D110/5)))-1)*F110*'参数'!$J$26*P110</x:f>
        <x:v>186.96360822822706</x:v>
      </x:c>
      <x:c r="P110" s="21" t="n">
        <x:f>MIN(1,(D110-1)/19)</x:f>
        <x:v>1</x:v>
      </x:c>
      <x:c r="Q110" s="18" t="n">
        <x:f>INDEX('角色成长'!$F$6:$F$105,D110)+O110*'参数'!$K$21</x:f>
        <x:v>1145.8462834504471</x:v>
      </x:c>
      <x:c r="R110" s="18" t="n">
        <x:f>INDEX('角色成长'!$I$6:$I$105,D110)+O110*'参数'!$K$21</x:f>
        <x:v>974.8462834504471</x:v>
      </x:c>
      <x:c r="S110" s="18" t="n">
        <x:f>INDEX('角色成长'!$L$6:$L$105,D110)+O110*'参数'!$K$21</x:f>
        <x:v>875.8462834504471</x:v>
      </x:c>
      <x:c r="T110" s="18" t="n">
        <x:f>(INDEX('角色成长'!$J$6:$J$105,D110)+O110*'参数'!$L$21)*(1+'参数'!$B$40*P110)</x:f>
        <x:v>13013.651312933305</x:v>
      </x:c>
      <x:c r="U110" s="18" t="n">
        <x:f>(INDEX('角色成长'!$K$6:$K$105,D110)+O110*'参数'!$M$21)*(1+'参数'!$B$41*P110)</x:f>
        <x:v>710.8049458393372</x:v>
      </x:c>
      <x:c r="V110" s="18" t="n">
        <x:f>(('参数'!$K$5*(((Q110*(1+'参数'!$B$39*P110))^2/((Q110*(1+'参数'!$B$39*P110))+'参数'!$B$22*(I110)))*(1+'参数'!$B$42*P110)/'参数'!$J$5+((Q110*'参数'!$B$43*(1+'参数'!$B$39*P110))^2/((Q110*'参数'!$B$43*(1+'参数'!$B$39*P110))+'参数'!$B$22*(I110)))/'参数'!$B$44))+(((R110*(1+'参数'!$B$39*P110))^2/((R110*(1+'参数'!$B$39*P110))+'参数'!$B$22*(I110)))*(1+'参数'!$B$42*P110)/'参数'!$J$6+((R110*'参数'!$B$45*(1+'参数'!$B$39*P110))^2/((R110*'参数'!$B$45*(1+'参数'!$B$39*P110))+'参数'!$B$22*(I110)))/'参数'!$B$46)+((S110*(1+'参数'!$B$39*P110))^2/((S110*(1+'参数'!$B$39*P110))+'参数'!$B$22*(I110)))*(1+'参数'!$B$42*P110)/'参数'!$J$7)*(1+'参数'!$B$37*('参数'!$B$38-1))*'参数'!$B$25</x:f>
        <x:v>7698.531397961498</x:v>
      </x:c>
      <x:c r="W110" s="18" t="n">
        <x:f>(('参数'!$K$5*(((Q110*(1+'参数'!$B$39*P110))^2/((Q110*(1+'参数'!$B$39*P110))+'参数'!$B$22*(M110)))*(1+'参数'!$B$42*P110)/'参数'!$J$5+((Q110*'参数'!$B$43*(1+'参数'!$B$39*P110))^2/((Q110*'参数'!$B$43*(1+'参数'!$B$39*P110))+'参数'!$B$22*(M110)))/'参数'!$B$44))+(((R110*(1+'参数'!$B$39*P110))^2/((R110*(1+'参数'!$B$39*P110))+'参数'!$B$22*(M110)))*(1+'参数'!$B$42*P110)/'参数'!$J$6+((R110*'参数'!$B$45*(1+'参数'!$B$39*P110))^2/((R110*'参数'!$B$45*(1+'参数'!$B$39*P110))+'参数'!$B$22*(M110)))/'参数'!$B$46)+((S110*(1+'参数'!$B$39*P110))^2/((S110*(1+'参数'!$B$39*P110))+'参数'!$B$22*(M110)))*(1+'参数'!$B$42*P110)/'参数'!$J$7)*(1+'参数'!$B$37*('参数'!$B$38-1))</x:f>
        <x:v>5931.011803997693</x:v>
      </x:c>
      <x:c r="X110" s="25" t="n">
        <x:f>('参数'!$B$26+'参数'!$B$27*(D110-1)/99)*'参数'!$K$26*AD110</x:f>
        <x:v>14.666666666666666</x:v>
      </x:c>
      <x:c r="Y110" s="25" t="n">
        <x:f>('参数'!$B$28+'参数'!$B$29*(D110-1)/99)*'参数'!$K$26*AD110*IF(AE110=1,'参数'!$B$51,1)</x:f>
        <x:v>38.888888888888886</x:v>
      </x:c>
      <x:c r="Z110" s="21" t="n">
        <x:f>MIN('参数'!$B$36,U110/(U110+'参数'!$B$35))</x:f>
        <x:v>0.15088821422486026</x:v>
      </x:c>
      <x:c r="AA110" s="18" t="n">
        <x:f>T110*'参数'!$B$30/('参数'!$B$32*'参数'!$B$33)/(1-Z110)*AC110</x:f>
        <x:v>383.15483105246744</x:v>
      </x:c>
      <x:c r="AB110" s="18" t="n">
        <x:f>T110*'参数'!$B$31/'参数'!$B$34/(1-Z110)*AC110</x:f>
        <x:v>766.3096621049349</x:v>
      </x:c>
      <x:c r="AC110" s="15" t="n">
        <x:f>'参数'!$L$26*1</x:f>
        <x:v>1</x:v>
      </x:c>
      <x:c r="AD110" s="15" t="n">
        <x:f>1</x:f>
        <x:v>1</x:v>
      </x:c>
      <x:c r="AE110" s="18" t="n">
        <x:f>IF(MOD(B110,12)=0,1,0)</x:f>
        <x:v>0</x:v>
      </x:c>
    </x:row>
    <x:row r="111" ht="22" customHeight="1">
      <x:c r="A111" s="19" t="str">
        <x:v>简单</x:v>
      </x:c>
      <x:c r="B111" s="19" t="n">
        <x:v>106</x:v>
      </x:c>
      <x:c r="C111" s="19" t="n">
        <x:f>ROUNDUP(B111/12,0)</x:f>
        <x:v>9</x:v>
      </x:c>
      <x:c r="D111" s="19" t="n">
        <x:f>ROUND(MAX('参数'!$G$26,E111)+(IF(C111&lt;10,INDEX('参数'!$G$34:$P$34,1,MIN(10,C111+1)),'参数'!$H$26)-MAX('参数'!$G$26,E111))*MOD(B111-1,12)/11,0)</x:f>
        <x:v>45</x:v>
      </x:c>
      <x:c r="E111" s="19" t="n">
        <x:f>INDEX('参数'!$G$34:$P$34,1,C111)</x:f>
        <x:v>45</x:v>
      </x:c>
      <x:c r="F111" s="20" t="n">
        <x:f>'参数'!$I$26</x:f>
        <x:v>1.05</x:v>
      </x:c>
      <x:c r="G111" s="19" t="n">
        <x:f>ROUND(V111*X111/'参数'!$B$56,0)</x:f>
        <x:v>24546</x:v>
      </x:c>
      <x:c r="H111" s="19" t="n">
        <x:f>ROUND((AA111+SQRT(AA111^2+4*AA111*'参数'!$B$22*U111))/2,0)</x:f>
        <x:v>806</x:v>
      </x:c>
      <x:c r="I111" s="19" t="n">
        <x:f>ROUND(Q111*'参数'!$B$23/'参数'!$B$22,0)</x:f>
        <x:v>229</x:v>
      </x:c>
      <x:c r="J111" s="19" t="n">
        <x:f>ROUND(G111*'参数'!$B$50,0)</x:f>
        <x:v>73638</x:v>
      </x:c>
      <x:c r="K111" s="19" t="n">
        <x:f>ROUND(W111*Y111,0)</x:f>
        <x:v>230650</x:v>
      </x:c>
      <x:c r="L111" s="19" t="n">
        <x:f>ROUND((AB111+SQRT(AB111^2+4*AB111*'参数'!$B$22*U111))/2,0)</x:f>
        <x:v>1293</x:v>
      </x:c>
      <x:c r="M111" s="19" t="n">
        <x:f>ROUND(I111*'参数'!$B$24,0)</x:f>
        <x:v>286</x:v>
      </x:c>
      <x:c r="N111" s="19" t="n">
        <x:f>'参数'!$B$9*'参数'!$B$10^(D111-1)</x:f>
        <x:v>2202.871364068746</x:v>
      </x:c>
      <x:c r="O111" s="19" t="n">
        <x:f>'参数'!$B$18*'参数'!$B$19^(MIN(E111,MAX(1,5*INT(D111/5)))-1)*F111*'参数'!$J$26*P111</x:f>
        <x:v>186.96360822822706</x:v>
      </x:c>
      <x:c r="P111" s="22" t="n">
        <x:f>MIN(1,(D111-1)/19)</x:f>
        <x:v>1</x:v>
      </x:c>
      <x:c r="Q111" s="19" t="n">
        <x:f>INDEX('角色成长'!$F$6:$F$105,D111)+O111*'参数'!$K$21</x:f>
        <x:v>1145.8462834504471</x:v>
      </x:c>
      <x:c r="R111" s="19" t="n">
        <x:f>INDEX('角色成长'!$I$6:$I$105,D111)+O111*'参数'!$K$21</x:f>
        <x:v>974.8462834504471</x:v>
      </x:c>
      <x:c r="S111" s="19" t="n">
        <x:f>INDEX('角色成长'!$L$6:$L$105,D111)+O111*'参数'!$K$21</x:f>
        <x:v>875.8462834504471</x:v>
      </x:c>
      <x:c r="T111" s="19" t="n">
        <x:f>(INDEX('角色成长'!$J$6:$J$105,D111)+O111*'参数'!$L$21)*(1+'参数'!$B$40*P111)</x:f>
        <x:v>13013.651312933305</x:v>
      </x:c>
      <x:c r="U111" s="19" t="n">
        <x:f>(INDEX('角色成长'!$K$6:$K$105,D111)+O111*'参数'!$M$21)*(1+'参数'!$B$41*P111)</x:f>
        <x:v>710.8049458393372</x:v>
      </x:c>
      <x:c r="V111" s="19" t="n">
        <x:f>(('参数'!$K$5*(((Q111*(1+'参数'!$B$39*P111))^2/((Q111*(1+'参数'!$B$39*P111))+'参数'!$B$22*(I111)))*(1+'参数'!$B$42*P111)/'参数'!$J$5+((Q111*'参数'!$B$43*(1+'参数'!$B$39*P111))^2/((Q111*'参数'!$B$43*(1+'参数'!$B$39*P111))+'参数'!$B$22*(I111)))/'参数'!$B$44))+(((R111*(1+'参数'!$B$39*P111))^2/((R111*(1+'参数'!$B$39*P111))+'参数'!$B$22*(I111)))*(1+'参数'!$B$42*P111)/'参数'!$J$6+((R111*'参数'!$B$45*(1+'参数'!$B$39*P111))^2/((R111*'参数'!$B$45*(1+'参数'!$B$39*P111))+'参数'!$B$22*(I111)))/'参数'!$B$46)+((S111*(1+'参数'!$B$39*P111))^2/((S111*(1+'参数'!$B$39*P111))+'参数'!$B$22*(I111)))*(1+'参数'!$B$42*P111)/'参数'!$J$7)*(1+'参数'!$B$37*('参数'!$B$38-1))*'参数'!$B$25</x:f>
        <x:v>7698.531397961498</x:v>
      </x:c>
      <x:c r="W111" s="19" t="n">
        <x:f>(('参数'!$K$5*(((Q111*(1+'参数'!$B$39*P111))^2/((Q111*(1+'参数'!$B$39*P111))+'参数'!$B$22*(M111)))*(1+'参数'!$B$42*P111)/'参数'!$J$5+((Q111*'参数'!$B$43*(1+'参数'!$B$39*P111))^2/((Q111*'参数'!$B$43*(1+'参数'!$B$39*P111))+'参数'!$B$22*(M111)))/'参数'!$B$44))+(((R111*(1+'参数'!$B$39*P111))^2/((R111*(1+'参数'!$B$39*P111))+'参数'!$B$22*(M111)))*(1+'参数'!$B$42*P111)/'参数'!$J$6+((R111*'参数'!$B$45*(1+'参数'!$B$39*P111))^2/((R111*'参数'!$B$45*(1+'参数'!$B$39*P111))+'参数'!$B$22*(M111)))/'参数'!$B$46)+((S111*(1+'参数'!$B$39*P111))^2/((S111*(1+'参数'!$B$39*P111))+'参数'!$B$22*(M111)))*(1+'参数'!$B$42*P111)/'参数'!$J$7)*(1+'参数'!$B$37*('参数'!$B$38-1))</x:f>
        <x:v>5931.011803997693</x:v>
      </x:c>
      <x:c r="X111" s="26" t="n">
        <x:f>('参数'!$B$26+'参数'!$B$27*(D111-1)/99)*'参数'!$K$26*AD111</x:f>
        <x:v>14.666666666666666</x:v>
      </x:c>
      <x:c r="Y111" s="26" t="n">
        <x:f>('参数'!$B$28+'参数'!$B$29*(D111-1)/99)*'参数'!$K$26*AD111*IF(AE111=1,'参数'!$B$51,1)</x:f>
        <x:v>38.888888888888886</x:v>
      </x:c>
      <x:c r="Z111" s="22" t="n">
        <x:f>MIN('参数'!$B$36,U111/(U111+'参数'!$B$35))</x:f>
        <x:v>0.15088821422486026</x:v>
      </x:c>
      <x:c r="AA111" s="19" t="n">
        <x:f>T111*'参数'!$B$30/('参数'!$B$32*'参数'!$B$33)/(1-Z111)*AC111</x:f>
        <x:v>383.15483105246744</x:v>
      </x:c>
      <x:c r="AB111" s="19" t="n">
        <x:f>T111*'参数'!$B$31/'参数'!$B$34/(1-Z111)*AC111</x:f>
        <x:v>766.3096621049349</x:v>
      </x:c>
      <x:c r="AC111" s="20" t="n">
        <x:f>'参数'!$L$26*1</x:f>
        <x:v>1</x:v>
      </x:c>
      <x:c r="AD111" s="20" t="n">
        <x:f>1</x:f>
        <x:v>1</x:v>
      </x:c>
      <x:c r="AE111" s="19" t="n">
        <x:f>IF(MOD(B111,12)=0,1,0)</x:f>
        <x:v>0</x:v>
      </x:c>
    </x:row>
    <x:row r="112" ht="22" customHeight="1">
      <x:c r="A112" s="18" t="str">
        <x:v>简单</x:v>
      </x:c>
      <x:c r="B112" s="18" t="n">
        <x:v>107</x:v>
      </x:c>
      <x:c r="C112" s="18" t="n">
        <x:f>ROUNDUP(B112/12,0)</x:f>
        <x:v>9</x:v>
      </x:c>
      <x:c r="D112" s="18" t="n">
        <x:f>ROUND(MAX('参数'!$G$26,E112)+(IF(C112&lt;10,INDEX('参数'!$G$34:$P$34,1,MIN(10,C112+1)),'参数'!$H$26)-MAX('参数'!$G$26,E112))*MOD(B112-1,12)/11,0)</x:f>
        <x:v>45</x:v>
      </x:c>
      <x:c r="E112" s="18" t="n">
        <x:f>INDEX('参数'!$G$34:$P$34,1,C112)</x:f>
        <x:v>45</x:v>
      </x:c>
      <x:c r="F112" s="15" t="n">
        <x:f>'参数'!$I$26</x:f>
        <x:v>1.05</x:v>
      </x:c>
      <x:c r="G112" s="18" t="n">
        <x:f>ROUND(V112*X112/'参数'!$B$56,0)</x:f>
        <x:v>24546</x:v>
      </x:c>
      <x:c r="H112" s="18" t="n">
        <x:f>ROUND((AA112+SQRT(AA112^2+4*AA112*'参数'!$B$22*U112))/2,0)</x:f>
        <x:v>806</x:v>
      </x:c>
      <x:c r="I112" s="18" t="n">
        <x:f>ROUND(Q112*'参数'!$B$23/'参数'!$B$22,0)</x:f>
        <x:v>229</x:v>
      </x:c>
      <x:c r="J112" s="18" t="n">
        <x:f>ROUND(G112*'参数'!$B$50,0)</x:f>
        <x:v>73638</x:v>
      </x:c>
      <x:c r="K112" s="18" t="n">
        <x:f>ROUND(W112*Y112,0)</x:f>
        <x:v>230650</x:v>
      </x:c>
      <x:c r="L112" s="18" t="n">
        <x:f>ROUND((AB112+SQRT(AB112^2+4*AB112*'参数'!$B$22*U112))/2,0)</x:f>
        <x:v>1293</x:v>
      </x:c>
      <x:c r="M112" s="18" t="n">
        <x:f>ROUND(I112*'参数'!$B$24,0)</x:f>
        <x:v>286</x:v>
      </x:c>
      <x:c r="N112" s="18" t="n">
        <x:f>'参数'!$B$9*'参数'!$B$10^(D112-1)</x:f>
        <x:v>2202.871364068746</x:v>
      </x:c>
      <x:c r="O112" s="18" t="n">
        <x:f>'参数'!$B$18*'参数'!$B$19^(MIN(E112,MAX(1,5*INT(D112/5)))-1)*F112*'参数'!$J$26*P112</x:f>
        <x:v>186.96360822822706</x:v>
      </x:c>
      <x:c r="P112" s="21" t="n">
        <x:f>MIN(1,(D112-1)/19)</x:f>
        <x:v>1</x:v>
      </x:c>
      <x:c r="Q112" s="18" t="n">
        <x:f>INDEX('角色成长'!$F$6:$F$105,D112)+O112*'参数'!$K$21</x:f>
        <x:v>1145.8462834504471</x:v>
      </x:c>
      <x:c r="R112" s="18" t="n">
        <x:f>INDEX('角色成长'!$I$6:$I$105,D112)+O112*'参数'!$K$21</x:f>
        <x:v>974.8462834504471</x:v>
      </x:c>
      <x:c r="S112" s="18" t="n">
        <x:f>INDEX('角色成长'!$L$6:$L$105,D112)+O112*'参数'!$K$21</x:f>
        <x:v>875.8462834504471</x:v>
      </x:c>
      <x:c r="T112" s="18" t="n">
        <x:f>(INDEX('角色成长'!$J$6:$J$105,D112)+O112*'参数'!$L$21)*(1+'参数'!$B$40*P112)</x:f>
        <x:v>13013.651312933305</x:v>
      </x:c>
      <x:c r="U112" s="18" t="n">
        <x:f>(INDEX('角色成长'!$K$6:$K$105,D112)+O112*'参数'!$M$21)*(1+'参数'!$B$41*P112)</x:f>
        <x:v>710.8049458393372</x:v>
      </x:c>
      <x:c r="V112" s="18" t="n">
        <x:f>(('参数'!$K$5*(((Q112*(1+'参数'!$B$39*P112))^2/((Q112*(1+'参数'!$B$39*P112))+'参数'!$B$22*(I112)))*(1+'参数'!$B$42*P112)/'参数'!$J$5+((Q112*'参数'!$B$43*(1+'参数'!$B$39*P112))^2/((Q112*'参数'!$B$43*(1+'参数'!$B$39*P112))+'参数'!$B$22*(I112)))/'参数'!$B$44))+(((R112*(1+'参数'!$B$39*P112))^2/((R112*(1+'参数'!$B$39*P112))+'参数'!$B$22*(I112)))*(1+'参数'!$B$42*P112)/'参数'!$J$6+((R112*'参数'!$B$45*(1+'参数'!$B$39*P112))^2/((R112*'参数'!$B$45*(1+'参数'!$B$39*P112))+'参数'!$B$22*(I112)))/'参数'!$B$46)+((S112*(1+'参数'!$B$39*P112))^2/((S112*(1+'参数'!$B$39*P112))+'参数'!$B$22*(I112)))*(1+'参数'!$B$42*P112)/'参数'!$J$7)*(1+'参数'!$B$37*('参数'!$B$38-1))*'参数'!$B$25</x:f>
        <x:v>7698.531397961498</x:v>
      </x:c>
      <x:c r="W112" s="18" t="n">
        <x:f>(('参数'!$K$5*(((Q112*(1+'参数'!$B$39*P112))^2/((Q112*(1+'参数'!$B$39*P112))+'参数'!$B$22*(M112)))*(1+'参数'!$B$42*P112)/'参数'!$J$5+((Q112*'参数'!$B$43*(1+'参数'!$B$39*P112))^2/((Q112*'参数'!$B$43*(1+'参数'!$B$39*P112))+'参数'!$B$22*(M112)))/'参数'!$B$44))+(((R112*(1+'参数'!$B$39*P112))^2/((R112*(1+'参数'!$B$39*P112))+'参数'!$B$22*(M112)))*(1+'参数'!$B$42*P112)/'参数'!$J$6+((R112*'参数'!$B$45*(1+'参数'!$B$39*P112))^2/((R112*'参数'!$B$45*(1+'参数'!$B$39*P112))+'参数'!$B$22*(M112)))/'参数'!$B$46)+((S112*(1+'参数'!$B$39*P112))^2/((S112*(1+'参数'!$B$39*P112))+'参数'!$B$22*(M112)))*(1+'参数'!$B$42*P112)/'参数'!$J$7)*(1+'参数'!$B$37*('参数'!$B$38-1))</x:f>
        <x:v>5931.011803997693</x:v>
      </x:c>
      <x:c r="X112" s="25" t="n">
        <x:f>('参数'!$B$26+'参数'!$B$27*(D112-1)/99)*'参数'!$K$26*AD112</x:f>
        <x:v>14.666666666666666</x:v>
      </x:c>
      <x:c r="Y112" s="25" t="n">
        <x:f>('参数'!$B$28+'参数'!$B$29*(D112-1)/99)*'参数'!$K$26*AD112*IF(AE112=1,'参数'!$B$51,1)</x:f>
        <x:v>38.888888888888886</x:v>
      </x:c>
      <x:c r="Z112" s="21" t="n">
        <x:f>MIN('参数'!$B$36,U112/(U112+'参数'!$B$35))</x:f>
        <x:v>0.15088821422486026</x:v>
      </x:c>
      <x:c r="AA112" s="18" t="n">
        <x:f>T112*'参数'!$B$30/('参数'!$B$32*'参数'!$B$33)/(1-Z112)*AC112</x:f>
        <x:v>383.15483105246744</x:v>
      </x:c>
      <x:c r="AB112" s="18" t="n">
        <x:f>T112*'参数'!$B$31/'参数'!$B$34/(1-Z112)*AC112</x:f>
        <x:v>766.3096621049349</x:v>
      </x:c>
      <x:c r="AC112" s="15" t="n">
        <x:f>'参数'!$L$26*1</x:f>
        <x:v>1</x:v>
      </x:c>
      <x:c r="AD112" s="15" t="n">
        <x:f>1</x:f>
        <x:v>1</x:v>
      </x:c>
      <x:c r="AE112" s="18" t="n">
        <x:f>IF(MOD(B112,12)=0,1,0)</x:f>
        <x:v>0</x:v>
      </x:c>
    </x:row>
    <x:row r="113" ht="22" customHeight="1">
      <x:c r="A113" s="19" t="str">
        <x:v>简单</x:v>
      </x:c>
      <x:c r="B113" s="19" t="n">
        <x:v>108</x:v>
      </x:c>
      <x:c r="C113" s="19" t="n">
        <x:f>ROUNDUP(B113/12,0)</x:f>
        <x:v>9</x:v>
      </x:c>
      <x:c r="D113" s="19" t="n">
        <x:f>ROUND(MAX('参数'!$G$26,E113)+(IF(C113&lt;10,INDEX('参数'!$G$34:$P$34,1,MIN(10,C113+1)),'参数'!$H$26)-MAX('参数'!$G$26,E113))*MOD(B113-1,12)/11,0)</x:f>
        <x:v>45</x:v>
      </x:c>
      <x:c r="E113" s="19" t="n">
        <x:f>INDEX('参数'!$G$34:$P$34,1,C113)</x:f>
        <x:v>45</x:v>
      </x:c>
      <x:c r="F113" s="20" t="n">
        <x:f>'参数'!$I$26</x:f>
        <x:v>1.05</x:v>
      </x:c>
      <x:c r="G113" s="19" t="n">
        <x:f>ROUND(V113*X113/'参数'!$B$56,0)</x:f>
        <x:v>24546</x:v>
      </x:c>
      <x:c r="H113" s="19" t="n">
        <x:f>ROUND((AA113+SQRT(AA113^2+4*AA113*'参数'!$B$22*U113))/2,0)</x:f>
        <x:v>806</x:v>
      </x:c>
      <x:c r="I113" s="19" t="n">
        <x:f>ROUND(Q113*'参数'!$B$23/'参数'!$B$22,0)</x:f>
        <x:v>229</x:v>
      </x:c>
      <x:c r="J113" s="19" t="n">
        <x:f>ROUND(G113*'参数'!$B$50,0)</x:f>
        <x:v>73638</x:v>
      </x:c>
      <x:c r="K113" s="19" t="n">
        <x:f>ROUND(W113*Y113,0)</x:f>
        <x:v>265248</x:v>
      </x:c>
      <x:c r="L113" s="19" t="n">
        <x:f>ROUND((AB113+SQRT(AB113^2+4*AB113*'参数'!$B$22*U113))/2,0)</x:f>
        <x:v>1293</x:v>
      </x:c>
      <x:c r="M113" s="19" t="n">
        <x:f>ROUND(I113*'参数'!$B$24,0)</x:f>
        <x:v>286</x:v>
      </x:c>
      <x:c r="N113" s="19" t="n">
        <x:f>'参数'!$B$9*'参数'!$B$10^(D113-1)</x:f>
        <x:v>2202.871364068746</x:v>
      </x:c>
      <x:c r="O113" s="19" t="n">
        <x:f>'参数'!$B$18*'参数'!$B$19^(MIN(E113,MAX(1,5*INT(D113/5)))-1)*F113*'参数'!$J$26*P113</x:f>
        <x:v>186.96360822822706</x:v>
      </x:c>
      <x:c r="P113" s="22" t="n">
        <x:f>MIN(1,(D113-1)/19)</x:f>
        <x:v>1</x:v>
      </x:c>
      <x:c r="Q113" s="19" t="n">
        <x:f>INDEX('角色成长'!$F$6:$F$105,D113)+O113*'参数'!$K$21</x:f>
        <x:v>1145.8462834504471</x:v>
      </x:c>
      <x:c r="R113" s="19" t="n">
        <x:f>INDEX('角色成长'!$I$6:$I$105,D113)+O113*'参数'!$K$21</x:f>
        <x:v>974.8462834504471</x:v>
      </x:c>
      <x:c r="S113" s="19" t="n">
        <x:f>INDEX('角色成长'!$L$6:$L$105,D113)+O113*'参数'!$K$21</x:f>
        <x:v>875.8462834504471</x:v>
      </x:c>
      <x:c r="T113" s="19" t="n">
        <x:f>(INDEX('角色成长'!$J$6:$J$105,D113)+O113*'参数'!$L$21)*(1+'参数'!$B$40*P113)</x:f>
        <x:v>13013.651312933305</x:v>
      </x:c>
      <x:c r="U113" s="19" t="n">
        <x:f>(INDEX('角色成长'!$K$6:$K$105,D113)+O113*'参数'!$M$21)*(1+'参数'!$B$41*P113)</x:f>
        <x:v>710.8049458393372</x:v>
      </x:c>
      <x:c r="V113" s="19" t="n">
        <x:f>(('参数'!$K$5*(((Q113*(1+'参数'!$B$39*P113))^2/((Q113*(1+'参数'!$B$39*P113))+'参数'!$B$22*(I113)))*(1+'参数'!$B$42*P113)/'参数'!$J$5+((Q113*'参数'!$B$43*(1+'参数'!$B$39*P113))^2/((Q113*'参数'!$B$43*(1+'参数'!$B$39*P113))+'参数'!$B$22*(I113)))/'参数'!$B$44))+(((R113*(1+'参数'!$B$39*P113))^2/((R113*(1+'参数'!$B$39*P113))+'参数'!$B$22*(I113)))*(1+'参数'!$B$42*P113)/'参数'!$J$6+((R113*'参数'!$B$45*(1+'参数'!$B$39*P113))^2/((R113*'参数'!$B$45*(1+'参数'!$B$39*P113))+'参数'!$B$22*(I113)))/'参数'!$B$46)+((S113*(1+'参数'!$B$39*P113))^2/((S113*(1+'参数'!$B$39*P113))+'参数'!$B$22*(I113)))*(1+'参数'!$B$42*P113)/'参数'!$J$7)*(1+'参数'!$B$37*('参数'!$B$38-1))*'参数'!$B$25</x:f>
        <x:v>7698.531397961498</x:v>
      </x:c>
      <x:c r="W113" s="19" t="n">
        <x:f>(('参数'!$K$5*(((Q113*(1+'参数'!$B$39*P113))^2/((Q113*(1+'参数'!$B$39*P113))+'参数'!$B$22*(M113)))*(1+'参数'!$B$42*P113)/'参数'!$J$5+((Q113*'参数'!$B$43*(1+'参数'!$B$39*P113))^2/((Q113*'参数'!$B$43*(1+'参数'!$B$39*P113))+'参数'!$B$22*(M113)))/'参数'!$B$44))+(((R113*(1+'参数'!$B$39*P113))^2/((R113*(1+'参数'!$B$39*P113))+'参数'!$B$22*(M113)))*(1+'参数'!$B$42*P113)/'参数'!$J$6+((R113*'参数'!$B$45*(1+'参数'!$B$39*P113))^2/((R113*'参数'!$B$45*(1+'参数'!$B$39*P113))+'参数'!$B$22*(M113)))/'参数'!$B$46)+((S113*(1+'参数'!$B$39*P113))^2/((S113*(1+'参数'!$B$39*P113))+'参数'!$B$22*(M113)))*(1+'参数'!$B$42*P113)/'参数'!$J$7)*(1+'参数'!$B$37*('参数'!$B$38-1))</x:f>
        <x:v>5931.011803997693</x:v>
      </x:c>
      <x:c r="X113" s="26" t="n">
        <x:f>('参数'!$B$26+'参数'!$B$27*(D113-1)/99)*'参数'!$K$26*AD113</x:f>
        <x:v>14.666666666666666</x:v>
      </x:c>
      <x:c r="Y113" s="26" t="n">
        <x:f>('参数'!$B$28+'参数'!$B$29*(D113-1)/99)*'参数'!$K$26*AD113*IF(AE113=1,'参数'!$B$51,1)</x:f>
        <x:v>44.722222222222214</x:v>
      </x:c>
      <x:c r="Z113" s="22" t="n">
        <x:f>MIN('参数'!$B$36,U113/(U113+'参数'!$B$35))</x:f>
        <x:v>0.15088821422486026</x:v>
      </x:c>
      <x:c r="AA113" s="19" t="n">
        <x:f>T113*'参数'!$B$30/('参数'!$B$32*'参数'!$B$33)/(1-Z113)*AC113</x:f>
        <x:v>383.15483105246744</x:v>
      </x:c>
      <x:c r="AB113" s="19" t="n">
        <x:f>T113*'参数'!$B$31/'参数'!$B$34/(1-Z113)*AC113</x:f>
        <x:v>766.3096621049349</x:v>
      </x:c>
      <x:c r="AC113" s="20" t="n">
        <x:f>'参数'!$L$26*1</x:f>
        <x:v>1</x:v>
      </x:c>
      <x:c r="AD113" s="20" t="n">
        <x:f>1</x:f>
        <x:v>1</x:v>
      </x:c>
      <x:c r="AE113" s="19" t="n">
        <x:f>IF(MOD(B113,12)=0,1,0)</x:f>
        <x:v>1</x:v>
      </x:c>
    </x:row>
    <x:row r="114" ht="22" customHeight="1">
      <x:c r="A114" s="18" t="str">
        <x:v>简单</x:v>
      </x:c>
      <x:c r="B114" s="18" t="n">
        <x:v>109</x:v>
      </x:c>
      <x:c r="C114" s="18" t="n">
        <x:f>ROUNDUP(B114/12,0)</x:f>
        <x:v>10</x:v>
      </x:c>
      <x:c r="D114" s="18" t="n">
        <x:f>ROUND(MAX('参数'!$G$26,E114)+(IF(C114&lt;10,INDEX('参数'!$G$34:$P$34,1,MIN(10,C114+1)),'参数'!$H$26)-MAX('参数'!$G$26,E114))*MOD(B114-1,12)/11,0)</x:f>
        <x:v>45</x:v>
      </x:c>
      <x:c r="E114" s="18" t="n">
        <x:f>INDEX('参数'!$G$34:$P$34,1,C114)</x:f>
        <x:v>45</x:v>
      </x:c>
      <x:c r="F114" s="15" t="n">
        <x:f>'参数'!$I$26</x:f>
        <x:v>1.05</x:v>
      </x:c>
      <x:c r="G114" s="18" t="n">
        <x:f>ROUND(V114*X114/'参数'!$B$56,0)</x:f>
        <x:v>24546</x:v>
      </x:c>
      <x:c r="H114" s="18" t="n">
        <x:f>ROUND((AA114+SQRT(AA114^2+4*AA114*'参数'!$B$22*U114))/2,0)</x:f>
        <x:v>806</x:v>
      </x:c>
      <x:c r="I114" s="18" t="n">
        <x:f>ROUND(Q114*'参数'!$B$23/'参数'!$B$22,0)</x:f>
        <x:v>229</x:v>
      </x:c>
      <x:c r="J114" s="18" t="n">
        <x:f>ROUND(G114*'参数'!$B$50,0)</x:f>
        <x:v>73638</x:v>
      </x:c>
      <x:c r="K114" s="18" t="n">
        <x:f>ROUND(W114*Y114,0)</x:f>
        <x:v>230650</x:v>
      </x:c>
      <x:c r="L114" s="18" t="n">
        <x:f>ROUND((AB114+SQRT(AB114^2+4*AB114*'参数'!$B$22*U114))/2,0)</x:f>
        <x:v>1293</x:v>
      </x:c>
      <x:c r="M114" s="18" t="n">
        <x:f>ROUND(I114*'参数'!$B$24,0)</x:f>
        <x:v>286</x:v>
      </x:c>
      <x:c r="N114" s="18" t="n">
        <x:f>'参数'!$B$9*'参数'!$B$10^(D114-1)</x:f>
        <x:v>2202.871364068746</x:v>
      </x:c>
      <x:c r="O114" s="18" t="n">
        <x:f>'参数'!$B$18*'参数'!$B$19^(MIN(E114,MAX(1,5*INT(D114/5)))-1)*F114*'参数'!$J$26*P114</x:f>
        <x:v>186.96360822822706</x:v>
      </x:c>
      <x:c r="P114" s="21" t="n">
        <x:f>MIN(1,(D114-1)/19)</x:f>
        <x:v>1</x:v>
      </x:c>
      <x:c r="Q114" s="18" t="n">
        <x:f>INDEX('角色成长'!$F$6:$F$105,D114)+O114*'参数'!$K$21</x:f>
        <x:v>1145.8462834504471</x:v>
      </x:c>
      <x:c r="R114" s="18" t="n">
        <x:f>INDEX('角色成长'!$I$6:$I$105,D114)+O114*'参数'!$K$21</x:f>
        <x:v>974.8462834504471</x:v>
      </x:c>
      <x:c r="S114" s="18" t="n">
        <x:f>INDEX('角色成长'!$L$6:$L$105,D114)+O114*'参数'!$K$21</x:f>
        <x:v>875.8462834504471</x:v>
      </x:c>
      <x:c r="T114" s="18" t="n">
        <x:f>(INDEX('角色成长'!$J$6:$J$105,D114)+O114*'参数'!$L$21)*(1+'参数'!$B$40*P114)</x:f>
        <x:v>13013.651312933305</x:v>
      </x:c>
      <x:c r="U114" s="18" t="n">
        <x:f>(INDEX('角色成长'!$K$6:$K$105,D114)+O114*'参数'!$M$21)*(1+'参数'!$B$41*P114)</x:f>
        <x:v>710.8049458393372</x:v>
      </x:c>
      <x:c r="V114" s="18" t="n">
        <x:f>(('参数'!$K$5*(((Q114*(1+'参数'!$B$39*P114))^2/((Q114*(1+'参数'!$B$39*P114))+'参数'!$B$22*(I114)))*(1+'参数'!$B$42*P114)/'参数'!$J$5+((Q114*'参数'!$B$43*(1+'参数'!$B$39*P114))^2/((Q114*'参数'!$B$43*(1+'参数'!$B$39*P114))+'参数'!$B$22*(I114)))/'参数'!$B$44))+(((R114*(1+'参数'!$B$39*P114))^2/((R114*(1+'参数'!$B$39*P114))+'参数'!$B$22*(I114)))*(1+'参数'!$B$42*P114)/'参数'!$J$6+((R114*'参数'!$B$45*(1+'参数'!$B$39*P114))^2/((R114*'参数'!$B$45*(1+'参数'!$B$39*P114))+'参数'!$B$22*(I114)))/'参数'!$B$46)+((S114*(1+'参数'!$B$39*P114))^2/((S114*(1+'参数'!$B$39*P114))+'参数'!$B$22*(I114)))*(1+'参数'!$B$42*P114)/'参数'!$J$7)*(1+'参数'!$B$37*('参数'!$B$38-1))*'参数'!$B$25</x:f>
        <x:v>7698.531397961498</x:v>
      </x:c>
      <x:c r="W114" s="18" t="n">
        <x:f>(('参数'!$K$5*(((Q114*(1+'参数'!$B$39*P114))^2/((Q114*(1+'参数'!$B$39*P114))+'参数'!$B$22*(M114)))*(1+'参数'!$B$42*P114)/'参数'!$J$5+((Q114*'参数'!$B$43*(1+'参数'!$B$39*P114))^2/((Q114*'参数'!$B$43*(1+'参数'!$B$39*P114))+'参数'!$B$22*(M114)))/'参数'!$B$44))+(((R114*(1+'参数'!$B$39*P114))^2/((R114*(1+'参数'!$B$39*P114))+'参数'!$B$22*(M114)))*(1+'参数'!$B$42*P114)/'参数'!$J$6+((R114*'参数'!$B$45*(1+'参数'!$B$39*P114))^2/((R114*'参数'!$B$45*(1+'参数'!$B$39*P114))+'参数'!$B$22*(M114)))/'参数'!$B$46)+((S114*(1+'参数'!$B$39*P114))^2/((S114*(1+'参数'!$B$39*P114))+'参数'!$B$22*(M114)))*(1+'参数'!$B$42*P114)/'参数'!$J$7)*(1+'参数'!$B$37*('参数'!$B$38-1))</x:f>
        <x:v>5931.011803997693</x:v>
      </x:c>
      <x:c r="X114" s="25" t="n">
        <x:f>('参数'!$B$26+'参数'!$B$27*(D114-1)/99)*'参数'!$K$26*AD114</x:f>
        <x:v>14.666666666666666</x:v>
      </x:c>
      <x:c r="Y114" s="25" t="n">
        <x:f>('参数'!$B$28+'参数'!$B$29*(D114-1)/99)*'参数'!$K$26*AD114*IF(AE114=1,'参数'!$B$51,1)</x:f>
        <x:v>38.888888888888886</x:v>
      </x:c>
      <x:c r="Z114" s="21" t="n">
        <x:f>MIN('参数'!$B$36,U114/(U114+'参数'!$B$35))</x:f>
        <x:v>0.15088821422486026</x:v>
      </x:c>
      <x:c r="AA114" s="18" t="n">
        <x:f>T114*'参数'!$B$30/('参数'!$B$32*'参数'!$B$33)/(1-Z114)*AC114</x:f>
        <x:v>383.15483105246744</x:v>
      </x:c>
      <x:c r="AB114" s="18" t="n">
        <x:f>T114*'参数'!$B$31/'参数'!$B$34/(1-Z114)*AC114</x:f>
        <x:v>766.3096621049349</x:v>
      </x:c>
      <x:c r="AC114" s="15" t="n">
        <x:f>'参数'!$L$26*1</x:f>
        <x:v>1</x:v>
      </x:c>
      <x:c r="AD114" s="15" t="n">
        <x:f>1</x:f>
        <x:v>1</x:v>
      </x:c>
      <x:c r="AE114" s="18" t="n">
        <x:f>IF(MOD(B114,12)=0,1,0)</x:f>
        <x:v>0</x:v>
      </x:c>
    </x:row>
    <x:row r="115" ht="22" customHeight="1">
      <x:c r="A115" s="19" t="str">
        <x:v>简单</x:v>
      </x:c>
      <x:c r="B115" s="19" t="n">
        <x:v>110</x:v>
      </x:c>
      <x:c r="C115" s="19" t="n">
        <x:f>ROUNDUP(B115/12,0)</x:f>
        <x:v>10</x:v>
      </x:c>
      <x:c r="D115" s="19" t="n">
        <x:f>ROUND(MAX('参数'!$G$26,E115)+(IF(C115&lt;10,INDEX('参数'!$G$34:$P$34,1,MIN(10,C115+1)),'参数'!$H$26)-MAX('参数'!$G$26,E115))*MOD(B115-1,12)/11,0)</x:f>
        <x:v>45</x:v>
      </x:c>
      <x:c r="E115" s="19" t="n">
        <x:f>INDEX('参数'!$G$34:$P$34,1,C115)</x:f>
        <x:v>45</x:v>
      </x:c>
      <x:c r="F115" s="20" t="n">
        <x:f>'参数'!$I$26</x:f>
        <x:v>1.05</x:v>
      </x:c>
      <x:c r="G115" s="19" t="n">
        <x:f>ROUND(V115*X115/'参数'!$B$56,0)</x:f>
        <x:v>24546</x:v>
      </x:c>
      <x:c r="H115" s="19" t="n">
        <x:f>ROUND((AA115+SQRT(AA115^2+4*AA115*'参数'!$B$22*U115))/2,0)</x:f>
        <x:v>806</x:v>
      </x:c>
      <x:c r="I115" s="19" t="n">
        <x:f>ROUND(Q115*'参数'!$B$23/'参数'!$B$22,0)</x:f>
        <x:v>229</x:v>
      </x:c>
      <x:c r="J115" s="19" t="n">
        <x:f>ROUND(G115*'参数'!$B$50,0)</x:f>
        <x:v>73638</x:v>
      </x:c>
      <x:c r="K115" s="19" t="n">
        <x:f>ROUND(W115*Y115,0)</x:f>
        <x:v>230650</x:v>
      </x:c>
      <x:c r="L115" s="19" t="n">
        <x:f>ROUND((AB115+SQRT(AB115^2+4*AB115*'参数'!$B$22*U115))/2,0)</x:f>
        <x:v>1293</x:v>
      </x:c>
      <x:c r="M115" s="19" t="n">
        <x:f>ROUND(I115*'参数'!$B$24,0)</x:f>
        <x:v>286</x:v>
      </x:c>
      <x:c r="N115" s="19" t="n">
        <x:f>'参数'!$B$9*'参数'!$B$10^(D115-1)</x:f>
        <x:v>2202.871364068746</x:v>
      </x:c>
      <x:c r="O115" s="19" t="n">
        <x:f>'参数'!$B$18*'参数'!$B$19^(MIN(E115,MAX(1,5*INT(D115/5)))-1)*F115*'参数'!$J$26*P115</x:f>
        <x:v>186.96360822822706</x:v>
      </x:c>
      <x:c r="P115" s="22" t="n">
        <x:f>MIN(1,(D115-1)/19)</x:f>
        <x:v>1</x:v>
      </x:c>
      <x:c r="Q115" s="19" t="n">
        <x:f>INDEX('角色成长'!$F$6:$F$105,D115)+O115*'参数'!$K$21</x:f>
        <x:v>1145.8462834504471</x:v>
      </x:c>
      <x:c r="R115" s="19" t="n">
        <x:f>INDEX('角色成长'!$I$6:$I$105,D115)+O115*'参数'!$K$21</x:f>
        <x:v>974.8462834504471</x:v>
      </x:c>
      <x:c r="S115" s="19" t="n">
        <x:f>INDEX('角色成长'!$L$6:$L$105,D115)+O115*'参数'!$K$21</x:f>
        <x:v>875.8462834504471</x:v>
      </x:c>
      <x:c r="T115" s="19" t="n">
        <x:f>(INDEX('角色成长'!$J$6:$J$105,D115)+O115*'参数'!$L$21)*(1+'参数'!$B$40*P115)</x:f>
        <x:v>13013.651312933305</x:v>
      </x:c>
      <x:c r="U115" s="19" t="n">
        <x:f>(INDEX('角色成长'!$K$6:$K$105,D115)+O115*'参数'!$M$21)*(1+'参数'!$B$41*P115)</x:f>
        <x:v>710.8049458393372</x:v>
      </x:c>
      <x:c r="V115" s="19" t="n">
        <x:f>(('参数'!$K$5*(((Q115*(1+'参数'!$B$39*P115))^2/((Q115*(1+'参数'!$B$39*P115))+'参数'!$B$22*(I115)))*(1+'参数'!$B$42*P115)/'参数'!$J$5+((Q115*'参数'!$B$43*(1+'参数'!$B$39*P115))^2/((Q115*'参数'!$B$43*(1+'参数'!$B$39*P115))+'参数'!$B$22*(I115)))/'参数'!$B$44))+(((R115*(1+'参数'!$B$39*P115))^2/((R115*(1+'参数'!$B$39*P115))+'参数'!$B$22*(I115)))*(1+'参数'!$B$42*P115)/'参数'!$J$6+((R115*'参数'!$B$45*(1+'参数'!$B$39*P115))^2/((R115*'参数'!$B$45*(1+'参数'!$B$39*P115))+'参数'!$B$22*(I115)))/'参数'!$B$46)+((S115*(1+'参数'!$B$39*P115))^2/((S115*(1+'参数'!$B$39*P115))+'参数'!$B$22*(I115)))*(1+'参数'!$B$42*P115)/'参数'!$J$7)*(1+'参数'!$B$37*('参数'!$B$38-1))*'参数'!$B$25</x:f>
        <x:v>7698.531397961498</x:v>
      </x:c>
      <x:c r="W115" s="19" t="n">
        <x:f>(('参数'!$K$5*(((Q115*(1+'参数'!$B$39*P115))^2/((Q115*(1+'参数'!$B$39*P115))+'参数'!$B$22*(M115)))*(1+'参数'!$B$42*P115)/'参数'!$J$5+((Q115*'参数'!$B$43*(1+'参数'!$B$39*P115))^2/((Q115*'参数'!$B$43*(1+'参数'!$B$39*P115))+'参数'!$B$22*(M115)))/'参数'!$B$44))+(((R115*(1+'参数'!$B$39*P115))^2/((R115*(1+'参数'!$B$39*P115))+'参数'!$B$22*(M115)))*(1+'参数'!$B$42*P115)/'参数'!$J$6+((R115*'参数'!$B$45*(1+'参数'!$B$39*P115))^2/((R115*'参数'!$B$45*(1+'参数'!$B$39*P115))+'参数'!$B$22*(M115)))/'参数'!$B$46)+((S115*(1+'参数'!$B$39*P115))^2/((S115*(1+'参数'!$B$39*P115))+'参数'!$B$22*(M115)))*(1+'参数'!$B$42*P115)/'参数'!$J$7)*(1+'参数'!$B$37*('参数'!$B$38-1))</x:f>
        <x:v>5931.011803997693</x:v>
      </x:c>
      <x:c r="X115" s="26" t="n">
        <x:f>('参数'!$B$26+'参数'!$B$27*(D115-1)/99)*'参数'!$K$26*AD115</x:f>
        <x:v>14.666666666666666</x:v>
      </x:c>
      <x:c r="Y115" s="26" t="n">
        <x:f>('参数'!$B$28+'参数'!$B$29*(D115-1)/99)*'参数'!$K$26*AD115*IF(AE115=1,'参数'!$B$51,1)</x:f>
        <x:v>38.888888888888886</x:v>
      </x:c>
      <x:c r="Z115" s="22" t="n">
        <x:f>MIN('参数'!$B$36,U115/(U115+'参数'!$B$35))</x:f>
        <x:v>0.15088821422486026</x:v>
      </x:c>
      <x:c r="AA115" s="19" t="n">
        <x:f>T115*'参数'!$B$30/('参数'!$B$32*'参数'!$B$33)/(1-Z115)*AC115</x:f>
        <x:v>383.15483105246744</x:v>
      </x:c>
      <x:c r="AB115" s="19" t="n">
        <x:f>T115*'参数'!$B$31/'参数'!$B$34/(1-Z115)*AC115</x:f>
        <x:v>766.3096621049349</x:v>
      </x:c>
      <x:c r="AC115" s="20" t="n">
        <x:f>'参数'!$L$26*1</x:f>
        <x:v>1</x:v>
      </x:c>
      <x:c r="AD115" s="20" t="n">
        <x:f>1</x:f>
        <x:v>1</x:v>
      </x:c>
      <x:c r="AE115" s="19" t="n">
        <x:f>IF(MOD(B115,12)=0,1,0)</x:f>
        <x:v>0</x:v>
      </x:c>
    </x:row>
    <x:row r="116" ht="22" customHeight="1">
      <x:c r="A116" s="18" t="str">
        <x:v>简单</x:v>
      </x:c>
      <x:c r="B116" s="18" t="n">
        <x:v>111</x:v>
      </x:c>
      <x:c r="C116" s="18" t="n">
        <x:f>ROUNDUP(B116/12,0)</x:f>
        <x:v>10</x:v>
      </x:c>
      <x:c r="D116" s="18" t="n">
        <x:f>ROUND(MAX('参数'!$G$26,E116)+(IF(C116&lt;10,INDEX('参数'!$G$34:$P$34,1,MIN(10,C116+1)),'参数'!$H$26)-MAX('参数'!$G$26,E116))*MOD(B116-1,12)/11,0)</x:f>
        <x:v>46</x:v>
      </x:c>
      <x:c r="E116" s="18" t="n">
        <x:f>INDEX('参数'!$G$34:$P$34,1,C116)</x:f>
        <x:v>45</x:v>
      </x:c>
      <x:c r="F116" s="15" t="n">
        <x:f>'参数'!$I$26</x:f>
        <x:v>1.05</x:v>
      </x:c>
      <x:c r="G116" s="18" t="n">
        <x:f>ROUND(V116*X116/'参数'!$B$56,0)</x:f>
        <x:v>25078</x:v>
      </x:c>
      <x:c r="H116" s="18" t="n">
        <x:f>ROUND((AA116+SQRT(AA116^2+4*AA116*'参数'!$B$22*U116))/2,0)</x:f>
        <x:v>824</x:v>
      </x:c>
      <x:c r="I116" s="18" t="n">
        <x:f>ROUND(Q116*'参数'!$B$23/'参数'!$B$22,0)</x:f>
        <x:v>234</x:v>
      </x:c>
      <x:c r="J116" s="18" t="n">
        <x:f>ROUND(G116*'参数'!$B$50,0)</x:f>
        <x:v>75234</x:v>
      </x:c>
      <x:c r="K116" s="18" t="n">
        <x:f>ROUND(W116*Y116,0)</x:f>
        <x:v>235765</x:v>
      </x:c>
      <x:c r="L116" s="18" t="n">
        <x:f>ROUND((AB116+SQRT(AB116^2+4*AB116*'参数'!$B$22*U116))/2,0)</x:f>
        <x:v>1323</x:v>
      </x:c>
      <x:c r="M116" s="18" t="n">
        <x:f>ROUND(I116*'参数'!$B$24,0)</x:f>
        <x:v>293</x:v>
      </x:c>
      <x:c r="N116" s="18" t="n">
        <x:f>'参数'!$B$9*'参数'!$B$10^(D116-1)</x:f>
        <x:v>2268.957504990808</x:v>
      </x:c>
      <x:c r="O116" s="18" t="n">
        <x:f>'参数'!$B$18*'参数'!$B$19^(MIN(E116,MAX(1,5*INT(D116/5)))-1)*F116*'参数'!$J$26*P116</x:f>
        <x:v>186.96360822822706</x:v>
      </x:c>
      <x:c r="P116" s="21" t="n">
        <x:f>MIN(1,(D116-1)/19)</x:f>
        <x:v>1</x:v>
      </x:c>
      <x:c r="Q116" s="18" t="n">
        <x:f>INDEX('角色成长'!$F$6:$F$105,D116)+O116*'参数'!$K$21</x:f>
        <x:v>1167.8462834504471</x:v>
      </x:c>
      <x:c r="R116" s="18" t="n">
        <x:f>INDEX('角色成长'!$I$6:$I$105,D116)+O116*'参数'!$K$21</x:f>
        <x:v>989.8462834504471</x:v>
      </x:c>
      <x:c r="S116" s="18" t="n">
        <x:f>INDEX('角色成长'!$L$6:$L$105,D116)+O116*'参数'!$K$21</x:f>
        <x:v>887.8462834504471</x:v>
      </x:c>
      <x:c r="T116" s="18" t="n">
        <x:f>(INDEX('角色成长'!$J$6:$J$105,D116)+O116*'参数'!$L$21)*(1+'参数'!$B$40*P116)</x:f>
        <x:v>13317.251312933306</x:v>
      </x:c>
      <x:c r="U116" s="18" t="n">
        <x:f>(INDEX('角色成长'!$K$6:$K$105,D116)+O116*'参数'!$M$21)*(1+'参数'!$B$41*P116)</x:f>
        <x:v>722.9049458393372</x:v>
      </x:c>
      <x:c r="V116" s="18" t="n">
        <x:f>(('参数'!$K$5*(((Q116*(1+'参数'!$B$39*P116))^2/((Q116*(1+'参数'!$B$39*P116))+'参数'!$B$22*(I116)))*(1+'参数'!$B$42*P116)/'参数'!$J$5+((Q116*'参数'!$B$43*(1+'参数'!$B$39*P116))^2/((Q116*'参数'!$B$43*(1+'参数'!$B$39*P116))+'参数'!$B$22*(I116)))/'参数'!$B$44))+(((R116*(1+'参数'!$B$39*P116))^2/((R116*(1+'参数'!$B$39*P116))+'参数'!$B$22*(I116)))*(1+'参数'!$B$42*P116)/'参数'!$J$6+((R116*'参数'!$B$45*(1+'参数'!$B$39*P116))^2/((R116*'参数'!$B$45*(1+'参数'!$B$39*P116))+'参数'!$B$22*(I116)))/'参数'!$B$46)+((S116*(1+'参数'!$B$39*P116))^2/((S116*(1+'参数'!$B$39*P116))+'参数'!$B$22*(I116)))*(1+'参数'!$B$42*P116)/'参数'!$J$7)*(1+'参数'!$B$37*('参数'!$B$38-1))*'参数'!$B$25</x:f>
        <x:v>7833.148334851776</x:v>
      </x:c>
      <x:c r="W116" s="18" t="n">
        <x:f>(('参数'!$K$5*(((Q116*(1+'参数'!$B$39*P116))^2/((Q116*(1+'参数'!$B$39*P116))+'参数'!$B$22*(M116)))*(1+'参数'!$B$42*P116)/'参数'!$J$5+((Q116*'参数'!$B$43*(1+'参数'!$B$39*P116))^2/((Q116*'参数'!$B$43*(1+'参数'!$B$39*P116))+'参数'!$B$22*(M116)))/'参数'!$B$44))+(((R116*(1+'参数'!$B$39*P116))^2/((R116*(1+'参数'!$B$39*P116))+'参数'!$B$22*(M116)))*(1+'参数'!$B$42*P116)/'参数'!$J$6+((R116*'参数'!$B$45*(1+'参数'!$B$39*P116))^2/((R116*'参数'!$B$45*(1+'参数'!$B$39*P116))+'参数'!$B$22*(M116)))/'参数'!$B$46)+((S116*(1+'参数'!$B$39*P116))^2/((S116*(1+'参数'!$B$39*P116))+'参数'!$B$22*(M116)))*(1+'参数'!$B$42*P116)/'参数'!$J$7)*(1+'参数'!$B$37*('参数'!$B$38-1))</x:f>
        <x:v>6031.202142406792</x:v>
      </x:c>
      <x:c r="X116" s="25" t="n">
        <x:f>('参数'!$B$26+'参数'!$B$27*(D116-1)/99)*'参数'!$K$26*AD116</x:f>
        <x:v>14.727272727272727</x:v>
      </x:c>
      <x:c r="Y116" s="25" t="n">
        <x:f>('参数'!$B$28+'参数'!$B$29*(D116-1)/99)*'参数'!$K$26*AD116*IF(AE116=1,'参数'!$B$51,1)</x:f>
        <x:v>39.09090909090909</x:v>
      </x:c>
      <x:c r="Z116" s="21" t="n">
        <x:f>MIN('参数'!$B$36,U116/(U116+'参数'!$B$35))</x:f>
        <x:v>0.15306362379284877</x:v>
      </x:c>
      <x:c r="AA116" s="18" t="n">
        <x:f>T116*'参数'!$B$30/('参数'!$B$32*'参数'!$B$33)/(1-Z116)*AC116</x:f>
        <x:v>393.10070056773816</x:v>
      </x:c>
      <x:c r="AB116" s="18" t="n">
        <x:f>T116*'参数'!$B$31/'参数'!$B$34/(1-Z116)*AC116</x:f>
        <x:v>786.2014011354764</x:v>
      </x:c>
      <x:c r="AC116" s="15" t="n">
        <x:f>'参数'!$L$26*1</x:f>
        <x:v>1</x:v>
      </x:c>
      <x:c r="AD116" s="15" t="n">
        <x:f>1</x:f>
        <x:v>1</x:v>
      </x:c>
      <x:c r="AE116" s="18" t="n">
        <x:f>IF(MOD(B116,12)=0,1,0)</x:f>
        <x:v>0</x:v>
      </x:c>
    </x:row>
    <x:row r="117" ht="22" customHeight="1">
      <x:c r="A117" s="19" t="str">
        <x:v>简单</x:v>
      </x:c>
      <x:c r="B117" s="19" t="n">
        <x:v>112</x:v>
      </x:c>
      <x:c r="C117" s="19" t="n">
        <x:f>ROUNDUP(B117/12,0)</x:f>
        <x:v>10</x:v>
      </x:c>
      <x:c r="D117" s="19" t="n">
        <x:f>ROUND(MAX('参数'!$G$26,E117)+(IF(C117&lt;10,INDEX('参数'!$G$34:$P$34,1,MIN(10,C117+1)),'参数'!$H$26)-MAX('参数'!$G$26,E117))*MOD(B117-1,12)/11,0)</x:f>
        <x:v>46</x:v>
      </x:c>
      <x:c r="E117" s="19" t="n">
        <x:f>INDEX('参数'!$G$34:$P$34,1,C117)</x:f>
        <x:v>45</x:v>
      </x:c>
      <x:c r="F117" s="20" t="n">
        <x:f>'参数'!$I$26</x:f>
        <x:v>1.05</x:v>
      </x:c>
      <x:c r="G117" s="19" t="n">
        <x:f>ROUND(V117*X117/'参数'!$B$56,0)</x:f>
        <x:v>25078</x:v>
      </x:c>
      <x:c r="H117" s="19" t="n">
        <x:f>ROUND((AA117+SQRT(AA117^2+4*AA117*'参数'!$B$22*U117))/2,0)</x:f>
        <x:v>824</x:v>
      </x:c>
      <x:c r="I117" s="19" t="n">
        <x:f>ROUND(Q117*'参数'!$B$23/'参数'!$B$22,0)</x:f>
        <x:v>234</x:v>
      </x:c>
      <x:c r="J117" s="19" t="n">
        <x:f>ROUND(G117*'参数'!$B$50,0)</x:f>
        <x:v>75234</x:v>
      </x:c>
      <x:c r="K117" s="19" t="n">
        <x:f>ROUND(W117*Y117,0)</x:f>
        <x:v>235765</x:v>
      </x:c>
      <x:c r="L117" s="19" t="n">
        <x:f>ROUND((AB117+SQRT(AB117^2+4*AB117*'参数'!$B$22*U117))/2,0)</x:f>
        <x:v>1323</x:v>
      </x:c>
      <x:c r="M117" s="19" t="n">
        <x:f>ROUND(I117*'参数'!$B$24,0)</x:f>
        <x:v>293</x:v>
      </x:c>
      <x:c r="N117" s="19" t="n">
        <x:f>'参数'!$B$9*'参数'!$B$10^(D117-1)</x:f>
        <x:v>2268.957504990808</x:v>
      </x:c>
      <x:c r="O117" s="19" t="n">
        <x:f>'参数'!$B$18*'参数'!$B$19^(MIN(E117,MAX(1,5*INT(D117/5)))-1)*F117*'参数'!$J$26*P117</x:f>
        <x:v>186.96360822822706</x:v>
      </x:c>
      <x:c r="P117" s="22" t="n">
        <x:f>MIN(1,(D117-1)/19)</x:f>
        <x:v>1</x:v>
      </x:c>
      <x:c r="Q117" s="19" t="n">
        <x:f>INDEX('角色成长'!$F$6:$F$105,D117)+O117*'参数'!$K$21</x:f>
        <x:v>1167.8462834504471</x:v>
      </x:c>
      <x:c r="R117" s="19" t="n">
        <x:f>INDEX('角色成长'!$I$6:$I$105,D117)+O117*'参数'!$K$21</x:f>
        <x:v>989.8462834504471</x:v>
      </x:c>
      <x:c r="S117" s="19" t="n">
        <x:f>INDEX('角色成长'!$L$6:$L$105,D117)+O117*'参数'!$K$21</x:f>
        <x:v>887.8462834504471</x:v>
      </x:c>
      <x:c r="T117" s="19" t="n">
        <x:f>(INDEX('角色成长'!$J$6:$J$105,D117)+O117*'参数'!$L$21)*(1+'参数'!$B$40*P117)</x:f>
        <x:v>13317.251312933306</x:v>
      </x:c>
      <x:c r="U117" s="19" t="n">
        <x:f>(INDEX('角色成长'!$K$6:$K$105,D117)+O117*'参数'!$M$21)*(1+'参数'!$B$41*P117)</x:f>
        <x:v>722.9049458393372</x:v>
      </x:c>
      <x:c r="V117" s="19" t="n">
        <x:f>(('参数'!$K$5*(((Q117*(1+'参数'!$B$39*P117))^2/((Q117*(1+'参数'!$B$39*P117))+'参数'!$B$22*(I117)))*(1+'参数'!$B$42*P117)/'参数'!$J$5+((Q117*'参数'!$B$43*(1+'参数'!$B$39*P117))^2/((Q117*'参数'!$B$43*(1+'参数'!$B$39*P117))+'参数'!$B$22*(I117)))/'参数'!$B$44))+(((R117*(1+'参数'!$B$39*P117))^2/((R117*(1+'参数'!$B$39*P117))+'参数'!$B$22*(I117)))*(1+'参数'!$B$42*P117)/'参数'!$J$6+((R117*'参数'!$B$45*(1+'参数'!$B$39*P117))^2/((R117*'参数'!$B$45*(1+'参数'!$B$39*P117))+'参数'!$B$22*(I117)))/'参数'!$B$46)+((S117*(1+'参数'!$B$39*P117))^2/((S117*(1+'参数'!$B$39*P117))+'参数'!$B$22*(I117)))*(1+'参数'!$B$42*P117)/'参数'!$J$7)*(1+'参数'!$B$37*('参数'!$B$38-1))*'参数'!$B$25</x:f>
        <x:v>7833.148334851776</x:v>
      </x:c>
      <x:c r="W117" s="19" t="n">
        <x:f>(('参数'!$K$5*(((Q117*(1+'参数'!$B$39*P117))^2/((Q117*(1+'参数'!$B$39*P117))+'参数'!$B$22*(M117)))*(1+'参数'!$B$42*P117)/'参数'!$J$5+((Q117*'参数'!$B$43*(1+'参数'!$B$39*P117))^2/((Q117*'参数'!$B$43*(1+'参数'!$B$39*P117))+'参数'!$B$22*(M117)))/'参数'!$B$44))+(((R117*(1+'参数'!$B$39*P117))^2/((R117*(1+'参数'!$B$39*P117))+'参数'!$B$22*(M117)))*(1+'参数'!$B$42*P117)/'参数'!$J$6+((R117*'参数'!$B$45*(1+'参数'!$B$39*P117))^2/((R117*'参数'!$B$45*(1+'参数'!$B$39*P117))+'参数'!$B$22*(M117)))/'参数'!$B$46)+((S117*(1+'参数'!$B$39*P117))^2/((S117*(1+'参数'!$B$39*P117))+'参数'!$B$22*(M117)))*(1+'参数'!$B$42*P117)/'参数'!$J$7)*(1+'参数'!$B$37*('参数'!$B$38-1))</x:f>
        <x:v>6031.202142406792</x:v>
      </x:c>
      <x:c r="X117" s="26" t="n">
        <x:f>('参数'!$B$26+'参数'!$B$27*(D117-1)/99)*'参数'!$K$26*AD117</x:f>
        <x:v>14.727272727272727</x:v>
      </x:c>
      <x:c r="Y117" s="26" t="n">
        <x:f>('参数'!$B$28+'参数'!$B$29*(D117-1)/99)*'参数'!$K$26*AD117*IF(AE117=1,'参数'!$B$51,1)</x:f>
        <x:v>39.09090909090909</x:v>
      </x:c>
      <x:c r="Z117" s="22" t="n">
        <x:f>MIN('参数'!$B$36,U117/(U117+'参数'!$B$35))</x:f>
        <x:v>0.15306362379284877</x:v>
      </x:c>
      <x:c r="AA117" s="19" t="n">
        <x:f>T117*'参数'!$B$30/('参数'!$B$32*'参数'!$B$33)/(1-Z117)*AC117</x:f>
        <x:v>393.10070056773816</x:v>
      </x:c>
      <x:c r="AB117" s="19" t="n">
        <x:f>T117*'参数'!$B$31/'参数'!$B$34/(1-Z117)*AC117</x:f>
        <x:v>786.2014011354764</x:v>
      </x:c>
      <x:c r="AC117" s="20" t="n">
        <x:f>'参数'!$L$26*1</x:f>
        <x:v>1</x:v>
      </x:c>
      <x:c r="AD117" s="20" t="n">
        <x:f>1</x:f>
        <x:v>1</x:v>
      </x:c>
      <x:c r="AE117" s="19" t="n">
        <x:f>IF(MOD(B117,12)=0,1,0)</x:f>
        <x:v>0</x:v>
      </x:c>
    </x:row>
    <x:row r="118" ht="22" customHeight="1">
      <x:c r="A118" s="18" t="str">
        <x:v>简单</x:v>
      </x:c>
      <x:c r="B118" s="18" t="n">
        <x:v>113</x:v>
      </x:c>
      <x:c r="C118" s="18" t="n">
        <x:f>ROUNDUP(B118/12,0)</x:f>
        <x:v>10</x:v>
      </x:c>
      <x:c r="D118" s="18" t="n">
        <x:f>ROUND(MAX('参数'!$G$26,E118)+(IF(C118&lt;10,INDEX('参数'!$G$34:$P$34,1,MIN(10,C118+1)),'参数'!$H$26)-MAX('参数'!$G$26,E118))*MOD(B118-1,12)/11,0)</x:f>
        <x:v>47</x:v>
      </x:c>
      <x:c r="E118" s="18" t="n">
        <x:f>INDEX('参数'!$G$34:$P$34,1,C118)</x:f>
        <x:v>45</x:v>
      </x:c>
      <x:c r="F118" s="15" t="n">
        <x:f>'参数'!$I$26</x:f>
        <x:v>1.05</x:v>
      </x:c>
      <x:c r="G118" s="18" t="n">
        <x:f>ROUND(V118*X118/'参数'!$B$56,0)</x:f>
        <x:v>25639</x:v>
      </x:c>
      <x:c r="H118" s="18" t="n">
        <x:f>ROUND((AA118+SQRT(AA118^2+4*AA118*'参数'!$B$22*U118))/2,0)</x:f>
        <x:v>844</x:v>
      </x:c>
      <x:c r="I118" s="18" t="n">
        <x:f>ROUND(Q118*'参数'!$B$23/'参数'!$B$22,0)</x:f>
        <x:v>238</x:v>
      </x:c>
      <x:c r="J118" s="18" t="n">
        <x:f>ROUND(G118*'参数'!$B$50,0)</x:f>
        <x:v>76917</x:v>
      </x:c>
      <x:c r="K118" s="18" t="n">
        <x:f>ROUND(W118*Y118,0)</x:f>
        <x:v>241296</x:v>
      </x:c>
      <x:c r="L118" s="18" t="n">
        <x:f>ROUND((AB118+SQRT(AB118^2+4*AB118*'参数'!$B$22*U118))/2,0)</x:f>
        <x:v>1355</x:v>
      </x:c>
      <x:c r="M118" s="18" t="n">
        <x:f>ROUND(I118*'参数'!$B$24,0)</x:f>
        <x:v>298</x:v>
      </x:c>
      <x:c r="N118" s="18" t="n">
        <x:f>'参数'!$B$9*'参数'!$B$10^(D118-1)</x:f>
        <x:v>2337.026230140533</x:v>
      </x:c>
      <x:c r="O118" s="18" t="n">
        <x:f>'参数'!$B$18*'参数'!$B$19^(MIN(E118,MAX(1,5*INT(D118/5)))-1)*F118*'参数'!$J$26*P118</x:f>
        <x:v>186.96360822822706</x:v>
      </x:c>
      <x:c r="P118" s="21" t="n">
        <x:f>MIN(1,(D118-1)/19)</x:f>
        <x:v>1</x:v>
      </x:c>
      <x:c r="Q118" s="18" t="n">
        <x:f>INDEX('角色成长'!$F$6:$F$105,D118)+O118*'参数'!$K$21</x:f>
        <x:v>1189.8462834504471</x:v>
      </x:c>
      <x:c r="R118" s="18" t="n">
        <x:f>INDEX('角色成长'!$I$6:$I$105,D118)+O118*'参数'!$K$21</x:f>
        <x:v>1005.8462834504471</x:v>
      </x:c>
      <x:c r="S118" s="18" t="n">
        <x:f>INDEX('角色成长'!$L$6:$L$105,D118)+O118*'参数'!$K$21</x:f>
        <x:v>900.8462834504471</x:v>
      </x:c>
      <x:c r="T118" s="18" t="n">
        <x:f>(INDEX('角色成长'!$J$6:$J$105,D118)+O118*'参数'!$L$21)*(1+'参数'!$B$40*P118)</x:f>
        <x:v>13632.951312933305</x:v>
      </x:c>
      <x:c r="U118" s="18" t="n">
        <x:f>(INDEX('角色成长'!$K$6:$K$105,D118)+O118*'参数'!$M$21)*(1+'参数'!$B$41*P118)</x:f>
        <x:v>736.1049458393371</x:v>
      </x:c>
      <x:c r="V118" s="18" t="n">
        <x:f>(('参数'!$K$5*(((Q118*(1+'参数'!$B$39*P118))^2/((Q118*(1+'参数'!$B$39*P118))+'参数'!$B$22*(I118)))*(1+'参数'!$B$42*P118)/'参数'!$J$5+((Q118*'参数'!$B$43*(1+'参数'!$B$39*P118))^2/((Q118*'参数'!$B$43*(1+'参数'!$B$39*P118))+'参数'!$B$22*(I118)))/'参数'!$B$44))+(((R118*(1+'参数'!$B$39*P118))^2/((R118*(1+'参数'!$B$39*P118))+'参数'!$B$22*(I118)))*(1+'参数'!$B$42*P118)/'参数'!$J$6+((R118*'参数'!$B$45*(1+'参数'!$B$39*P118))^2/((R118*'参数'!$B$45*(1+'参数'!$B$39*P118))+'参数'!$B$22*(I118)))/'参数'!$B$46)+((S118*(1+'参数'!$B$39*P118))^2/((S118*(1+'参数'!$B$39*P118))+'参数'!$B$22*(I118)))*(1+'参数'!$B$42*P118)/'参数'!$J$7)*(1+'参数'!$B$37*('参数'!$B$38-1))*'参数'!$B$25</x:f>
        <x:v>7975.380567372621</x:v>
      </x:c>
      <x:c r="W118" s="18" t="n">
        <x:f>(('参数'!$K$5*(((Q118*(1+'参数'!$B$39*P118))^2/((Q118*(1+'参数'!$B$39*P118))+'参数'!$B$22*(M118)))*(1+'参数'!$B$42*P118)/'参数'!$J$5+((Q118*'参数'!$B$43*(1+'参数'!$B$39*P118))^2/((Q118*'参数'!$B$43*(1+'参数'!$B$39*P118))+'参数'!$B$22*(M118)))/'参数'!$B$44))+(((R118*(1+'参数'!$B$39*P118))^2/((R118*(1+'参数'!$B$39*P118))+'参数'!$B$22*(M118)))*(1+'参数'!$B$42*P118)/'参数'!$J$6+((R118*'参数'!$B$45*(1+'参数'!$B$39*P118))^2/((R118*'参数'!$B$45*(1+'参数'!$B$39*P118))+'参数'!$B$22*(M118)))/'参数'!$B$46)+((S118*(1+'参数'!$B$39*P118))^2/((S118*(1+'参数'!$B$39*P118))+'参数'!$B$22*(M118)))*(1+'参数'!$B$42*P118)/'参数'!$J$7)*(1+'参数'!$B$37*('参数'!$B$38-1))</x:f>
        <x:v>6140.951671563096</x:v>
      </x:c>
      <x:c r="X118" s="25" t="n">
        <x:f>('参数'!$B$26+'参数'!$B$27*(D118-1)/99)*'参数'!$K$26*AD118</x:f>
        <x:v>14.787878787878789</x:v>
      </x:c>
      <x:c r="Y118" s="25" t="n">
        <x:f>('参数'!$B$28+'参数'!$B$29*(D118-1)/99)*'参数'!$K$26*AD118*IF(AE118=1,'参数'!$B$51,1)</x:f>
        <x:v>39.292929292929294</x:v>
      </x:c>
      <x:c r="Z118" s="21" t="n">
        <x:f>MIN('参数'!$B$36,U118/(U118+'参数'!$B$35))</x:f>
        <x:v>0.155424120507719</x:v>
      </x:c>
      <x:c r="AA118" s="18" t="n">
        <x:f>T118*'参数'!$B$30/('参数'!$B$32*'参数'!$B$33)/(1-Z118)*AC118</x:f>
        <x:v>403.5443008723144</x:v>
      </x:c>
      <x:c r="AB118" s="18" t="n">
        <x:f>T118*'参数'!$B$31/'参数'!$B$34/(1-Z118)*AC118</x:f>
        <x:v>807.0886017446289</x:v>
      </x:c>
      <x:c r="AC118" s="15" t="n">
        <x:f>'参数'!$L$26*1</x:f>
        <x:v>1</x:v>
      </x:c>
      <x:c r="AD118" s="15" t="n">
        <x:f>1</x:f>
        <x:v>1</x:v>
      </x:c>
      <x:c r="AE118" s="18" t="n">
        <x:f>IF(MOD(B118,12)=0,1,0)</x:f>
        <x:v>0</x:v>
      </x:c>
    </x:row>
    <x:row r="119" ht="22" customHeight="1">
      <x:c r="A119" s="19" t="str">
        <x:v>简单</x:v>
      </x:c>
      <x:c r="B119" s="19" t="n">
        <x:v>114</x:v>
      </x:c>
      <x:c r="C119" s="19" t="n">
        <x:f>ROUNDUP(B119/12,0)</x:f>
        <x:v>10</x:v>
      </x:c>
      <x:c r="D119" s="19" t="n">
        <x:f>ROUND(MAX('参数'!$G$26,E119)+(IF(C119&lt;10,INDEX('参数'!$G$34:$P$34,1,MIN(10,C119+1)),'参数'!$H$26)-MAX('参数'!$G$26,E119))*MOD(B119-1,12)/11,0)</x:f>
        <x:v>47</x:v>
      </x:c>
      <x:c r="E119" s="19" t="n">
        <x:f>INDEX('参数'!$G$34:$P$34,1,C119)</x:f>
        <x:v>45</x:v>
      </x:c>
      <x:c r="F119" s="20" t="n">
        <x:f>'参数'!$I$26</x:f>
        <x:v>1.05</x:v>
      </x:c>
      <x:c r="G119" s="19" t="n">
        <x:f>ROUND(V119*X119/'参数'!$B$56,0)</x:f>
        <x:v>25639</x:v>
      </x:c>
      <x:c r="H119" s="19" t="n">
        <x:f>ROUND((AA119+SQRT(AA119^2+4*AA119*'参数'!$B$22*U119))/2,0)</x:f>
        <x:v>844</x:v>
      </x:c>
      <x:c r="I119" s="19" t="n">
        <x:f>ROUND(Q119*'参数'!$B$23/'参数'!$B$22,0)</x:f>
        <x:v>238</x:v>
      </x:c>
      <x:c r="J119" s="19" t="n">
        <x:f>ROUND(G119*'参数'!$B$50,0)</x:f>
        <x:v>76917</x:v>
      </x:c>
      <x:c r="K119" s="19" t="n">
        <x:f>ROUND(W119*Y119,0)</x:f>
        <x:v>241296</x:v>
      </x:c>
      <x:c r="L119" s="19" t="n">
        <x:f>ROUND((AB119+SQRT(AB119^2+4*AB119*'参数'!$B$22*U119))/2,0)</x:f>
        <x:v>1355</x:v>
      </x:c>
      <x:c r="M119" s="19" t="n">
        <x:f>ROUND(I119*'参数'!$B$24,0)</x:f>
        <x:v>298</x:v>
      </x:c>
      <x:c r="N119" s="19" t="n">
        <x:f>'参数'!$B$9*'参数'!$B$10^(D119-1)</x:f>
        <x:v>2337.026230140533</x:v>
      </x:c>
      <x:c r="O119" s="19" t="n">
        <x:f>'参数'!$B$18*'参数'!$B$19^(MIN(E119,MAX(1,5*INT(D119/5)))-1)*F119*'参数'!$J$26*P119</x:f>
        <x:v>186.96360822822706</x:v>
      </x:c>
      <x:c r="P119" s="22" t="n">
        <x:f>MIN(1,(D119-1)/19)</x:f>
        <x:v>1</x:v>
      </x:c>
      <x:c r="Q119" s="19" t="n">
        <x:f>INDEX('角色成长'!$F$6:$F$105,D119)+O119*'参数'!$K$21</x:f>
        <x:v>1189.8462834504471</x:v>
      </x:c>
      <x:c r="R119" s="19" t="n">
        <x:f>INDEX('角色成长'!$I$6:$I$105,D119)+O119*'参数'!$K$21</x:f>
        <x:v>1005.8462834504471</x:v>
      </x:c>
      <x:c r="S119" s="19" t="n">
        <x:f>INDEX('角色成长'!$L$6:$L$105,D119)+O119*'参数'!$K$21</x:f>
        <x:v>900.8462834504471</x:v>
      </x:c>
      <x:c r="T119" s="19" t="n">
        <x:f>(INDEX('角色成长'!$J$6:$J$105,D119)+O119*'参数'!$L$21)*(1+'参数'!$B$40*P119)</x:f>
        <x:v>13632.951312933305</x:v>
      </x:c>
      <x:c r="U119" s="19" t="n">
        <x:f>(INDEX('角色成长'!$K$6:$K$105,D119)+O119*'参数'!$M$21)*(1+'参数'!$B$41*P119)</x:f>
        <x:v>736.1049458393371</x:v>
      </x:c>
      <x:c r="V119" s="19" t="n">
        <x:f>(('参数'!$K$5*(((Q119*(1+'参数'!$B$39*P119))^2/((Q119*(1+'参数'!$B$39*P119))+'参数'!$B$22*(I119)))*(1+'参数'!$B$42*P119)/'参数'!$J$5+((Q119*'参数'!$B$43*(1+'参数'!$B$39*P119))^2/((Q119*'参数'!$B$43*(1+'参数'!$B$39*P119))+'参数'!$B$22*(I119)))/'参数'!$B$44))+(((R119*(1+'参数'!$B$39*P119))^2/((R119*(1+'参数'!$B$39*P119))+'参数'!$B$22*(I119)))*(1+'参数'!$B$42*P119)/'参数'!$J$6+((R119*'参数'!$B$45*(1+'参数'!$B$39*P119))^2/((R119*'参数'!$B$45*(1+'参数'!$B$39*P119))+'参数'!$B$22*(I119)))/'参数'!$B$46)+((S119*(1+'参数'!$B$39*P119))^2/((S119*(1+'参数'!$B$39*P119))+'参数'!$B$22*(I119)))*(1+'参数'!$B$42*P119)/'参数'!$J$7)*(1+'参数'!$B$37*('参数'!$B$38-1))*'参数'!$B$25</x:f>
        <x:v>7975.380567372621</x:v>
      </x:c>
      <x:c r="W119" s="19" t="n">
        <x:f>(('参数'!$K$5*(((Q119*(1+'参数'!$B$39*P119))^2/((Q119*(1+'参数'!$B$39*P119))+'参数'!$B$22*(M119)))*(1+'参数'!$B$42*P119)/'参数'!$J$5+((Q119*'参数'!$B$43*(1+'参数'!$B$39*P119))^2/((Q119*'参数'!$B$43*(1+'参数'!$B$39*P119))+'参数'!$B$22*(M119)))/'参数'!$B$44))+(((R119*(1+'参数'!$B$39*P119))^2/((R119*(1+'参数'!$B$39*P119))+'参数'!$B$22*(M119)))*(1+'参数'!$B$42*P119)/'参数'!$J$6+((R119*'参数'!$B$45*(1+'参数'!$B$39*P119))^2/((R119*'参数'!$B$45*(1+'参数'!$B$39*P119))+'参数'!$B$22*(M119)))/'参数'!$B$46)+((S119*(1+'参数'!$B$39*P119))^2/((S119*(1+'参数'!$B$39*P119))+'参数'!$B$22*(M119)))*(1+'参数'!$B$42*P119)/'参数'!$J$7)*(1+'参数'!$B$37*('参数'!$B$38-1))</x:f>
        <x:v>6140.951671563096</x:v>
      </x:c>
      <x:c r="X119" s="26" t="n">
        <x:f>('参数'!$B$26+'参数'!$B$27*(D119-1)/99)*'参数'!$K$26*AD119</x:f>
        <x:v>14.787878787878789</x:v>
      </x:c>
      <x:c r="Y119" s="26" t="n">
        <x:f>('参数'!$B$28+'参数'!$B$29*(D119-1)/99)*'参数'!$K$26*AD119*IF(AE119=1,'参数'!$B$51,1)</x:f>
        <x:v>39.292929292929294</x:v>
      </x:c>
      <x:c r="Z119" s="22" t="n">
        <x:f>MIN('参数'!$B$36,U119/(U119+'参数'!$B$35))</x:f>
        <x:v>0.155424120507719</x:v>
      </x:c>
      <x:c r="AA119" s="19" t="n">
        <x:f>T119*'参数'!$B$30/('参数'!$B$32*'参数'!$B$33)/(1-Z119)*AC119</x:f>
        <x:v>403.5443008723144</x:v>
      </x:c>
      <x:c r="AB119" s="19" t="n">
        <x:f>T119*'参数'!$B$31/'参数'!$B$34/(1-Z119)*AC119</x:f>
        <x:v>807.0886017446289</x:v>
      </x:c>
      <x:c r="AC119" s="20" t="n">
        <x:f>'参数'!$L$26*1</x:f>
        <x:v>1</x:v>
      </x:c>
      <x:c r="AD119" s="20" t="n">
        <x:f>1</x:f>
        <x:v>1</x:v>
      </x:c>
      <x:c r="AE119" s="19" t="n">
        <x:f>IF(MOD(B119,12)=0,1,0)</x:f>
        <x:v>0</x:v>
      </x:c>
    </x:row>
    <x:row r="120" ht="22" customHeight="1">
      <x:c r="A120" s="18" t="str">
        <x:v>简单</x:v>
      </x:c>
      <x:c r="B120" s="18" t="n">
        <x:v>115</x:v>
      </x:c>
      <x:c r="C120" s="18" t="n">
        <x:f>ROUNDUP(B120/12,0)</x:f>
        <x:v>10</x:v>
      </x:c>
      <x:c r="D120" s="18" t="n">
        <x:f>ROUND(MAX('参数'!$G$26,E120)+(IF(C120&lt;10,INDEX('参数'!$G$34:$P$34,1,MIN(10,C120+1)),'参数'!$H$26)-MAX('参数'!$G$26,E120))*MOD(B120-1,12)/11,0)</x:f>
        <x:v>48</x:v>
      </x:c>
      <x:c r="E120" s="18" t="n">
        <x:f>INDEX('参数'!$G$34:$P$34,1,C120)</x:f>
        <x:v>45</x:v>
      </x:c>
      <x:c r="F120" s="15" t="n">
        <x:f>'参数'!$I$26</x:f>
        <x:v>1.05</x:v>
      </x:c>
      <x:c r="G120" s="18" t="n">
        <x:f>ROUND(V120*X120/'参数'!$B$56,0)</x:f>
        <x:v>26210</x:v>
      </x:c>
      <x:c r="H120" s="18" t="n">
        <x:f>ROUND((AA120+SQRT(AA120^2+4*AA120*'参数'!$B$22*U120))/2,0)</x:f>
        <x:v>864</x:v>
      </x:c>
      <x:c r="I120" s="18" t="n">
        <x:f>ROUND(Q120*'参数'!$B$23/'参数'!$B$22,0)</x:f>
        <x:v>243</x:v>
      </x:c>
      <x:c r="J120" s="18" t="n">
        <x:f>ROUND(G120*'参数'!$B$50,0)</x:f>
        <x:v>78630</x:v>
      </x:c>
      <x:c r="K120" s="18" t="n">
        <x:f>ROUND(W120*Y120,0)</x:f>
        <x:v>246945</x:v>
      </x:c>
      <x:c r="L120" s="18" t="n">
        <x:f>ROUND((AB120+SQRT(AB120^2+4*AB120*'参数'!$B$22*U120))/2,0)</x:f>
        <x:v>1388</x:v>
      </x:c>
      <x:c r="M120" s="18" t="n">
        <x:f>ROUND(I120*'参数'!$B$24,0)</x:f>
        <x:v>304</x:v>
      </x:c>
      <x:c r="N120" s="18" t="n">
        <x:f>'参数'!$B$9*'参数'!$B$10^(D120-1)</x:f>
        <x:v>2407.1370170447485</x:v>
      </x:c>
      <x:c r="O120" s="18" t="n">
        <x:f>'参数'!$B$18*'参数'!$B$19^(MIN(E120,MAX(1,5*INT(D120/5)))-1)*F120*'参数'!$J$26*P120</x:f>
        <x:v>186.96360822822706</x:v>
      </x:c>
      <x:c r="P120" s="21" t="n">
        <x:f>MIN(1,(D120-1)/19)</x:f>
        <x:v>1</x:v>
      </x:c>
      <x:c r="Q120" s="18" t="n">
        <x:f>INDEX('角色成长'!$F$6:$F$105,D120)+O120*'参数'!$K$21</x:f>
        <x:v>1212.8462834504471</x:v>
      </x:c>
      <x:c r="R120" s="18" t="n">
        <x:f>INDEX('角色成长'!$I$6:$I$105,D120)+O120*'参数'!$K$21</x:f>
        <x:v>1022.8462834504471</x:v>
      </x:c>
      <x:c r="S120" s="18" t="n">
        <x:f>INDEX('角色成长'!$L$6:$L$105,D120)+O120*'参数'!$K$21</x:f>
        <x:v>913.8462834504471</x:v>
      </x:c>
      <x:c r="T120" s="18" t="n">
        <x:f>(INDEX('角色成长'!$J$6:$J$105,D120)+O120*'参数'!$L$21)*(1+'参数'!$B$40*P120)</x:f>
        <x:v>13958.551312933305</x:v>
      </x:c>
      <x:c r="U120" s="18" t="n">
        <x:f>(INDEX('角色成长'!$K$6:$K$105,D120)+O120*'参数'!$M$21)*(1+'参数'!$B$41*P120)</x:f>
        <x:v>749.3049458393372</x:v>
      </x:c>
      <x:c r="V120" s="18" t="n">
        <x:f>(('参数'!$K$5*(((Q120*(1+'参数'!$B$39*P120))^2/((Q120*(1+'参数'!$B$39*P120))+'参数'!$B$22*(I120)))*(1+'参数'!$B$42*P120)/'参数'!$J$5+((Q120*'参数'!$B$43*(1+'参数'!$B$39*P120))^2/((Q120*'参数'!$B$43*(1+'参数'!$B$39*P120))+'参数'!$B$22*(I120)))/'参数'!$B$44))+(((R120*(1+'参数'!$B$39*P120))^2/((R120*(1+'参数'!$B$39*P120))+'参数'!$B$22*(I120)))*(1+'参数'!$B$42*P120)/'参数'!$J$6+((R120*'参数'!$B$45*(1+'参数'!$B$39*P120))^2/((R120*'参数'!$B$45*(1+'参数'!$B$39*P120))+'参数'!$B$22*(I120)))/'参数'!$B$46)+((S120*(1+'参数'!$B$39*P120))^2/((S120*(1+'参数'!$B$39*P120))+'参数'!$B$22*(I120)))*(1+'参数'!$B$42*P120)/'参数'!$J$7)*(1+'参数'!$B$37*('参数'!$B$38-1))*'参数'!$B$25</x:f>
        <x:v>8119.63052537264</x:v>
      </x:c>
      <x:c r="W120" s="18" t="n">
        <x:f>(('参数'!$K$5*(((Q120*(1+'参数'!$B$39*P120))^2/((Q120*(1+'参数'!$B$39*P120))+'参数'!$B$22*(M120)))*(1+'参数'!$B$42*P120)/'参数'!$J$5+((Q120*'参数'!$B$43*(1+'参数'!$B$39*P120))^2/((Q120*'参数'!$B$43*(1+'参数'!$B$39*P120))+'参数'!$B$22*(M120)))/'参数'!$B$44))+(((R120*(1+'参数'!$B$39*P120))^2/((R120*(1+'参数'!$B$39*P120))+'参数'!$B$22*(M120)))*(1+'参数'!$B$42*P120)/'参数'!$J$6+((R120*'参数'!$B$45*(1+'参数'!$B$39*P120))^2/((R120*'参数'!$B$45*(1+'参数'!$B$39*P120))+'参数'!$B$22*(M120)))/'参数'!$B$46)+((S120*(1+'参数'!$B$39*P120))^2/((S120*(1+'参数'!$B$39*P120))+'参数'!$B$22*(M120)))*(1+'参数'!$B$42*P120)/'参数'!$J$7)*(1+'参数'!$B$37*('参数'!$B$38-1))</x:f>
        <x:v>6252.5824941191795</x:v>
      </x:c>
      <x:c r="X120" s="25" t="n">
        <x:f>('参数'!$B$26+'参数'!$B$27*(D120-1)/99)*'参数'!$K$26*AD120</x:f>
        <x:v>14.848484848484848</x:v>
      </x:c>
      <x:c r="Y120" s="25" t="n">
        <x:f>('参数'!$B$28+'参数'!$B$29*(D120-1)/99)*'参数'!$K$26*AD120*IF(AE120=1,'参数'!$B$51,1)</x:f>
        <x:v>39.494949494949495</x:v>
      </x:c>
      <x:c r="Z120" s="21" t="n">
        <x:f>MIN('参数'!$B$36,U120/(U120+'参数'!$B$35))</x:f>
        <x:v>0.15777149591031656</x:v>
      </x:c>
      <x:c r="AA120" s="18" t="n">
        <x:f>T120*'参数'!$B$30/('参数'!$B$32*'参数'!$B$33)/(1-Z120)*AC120</x:f>
        <x:v>414.3338549204145</x:v>
      </x:c>
      <x:c r="AB120" s="18" t="n">
        <x:f>T120*'参数'!$B$31/'参数'!$B$34/(1-Z120)*AC120</x:f>
        <x:v>828.667709840829</x:v>
      </x:c>
      <x:c r="AC120" s="15" t="n">
        <x:f>'参数'!$L$26*1</x:f>
        <x:v>1</x:v>
      </x:c>
      <x:c r="AD120" s="15" t="n">
        <x:f>1</x:f>
        <x:v>1</x:v>
      </x:c>
      <x:c r="AE120" s="18" t="n">
        <x:f>IF(MOD(B120,12)=0,1,0)</x:f>
        <x:v>0</x:v>
      </x:c>
    </x:row>
    <x:row r="121" ht="22" customHeight="1">
      <x:c r="A121" s="19" t="str">
        <x:v>简单</x:v>
      </x:c>
      <x:c r="B121" s="19" t="n">
        <x:v>116</x:v>
      </x:c>
      <x:c r="C121" s="19" t="n">
        <x:f>ROUNDUP(B121/12,0)</x:f>
        <x:v>10</x:v>
      </x:c>
      <x:c r="D121" s="19" t="n">
        <x:f>ROUND(MAX('参数'!$G$26,E121)+(IF(C121&lt;10,INDEX('参数'!$G$34:$P$34,1,MIN(10,C121+1)),'参数'!$H$26)-MAX('参数'!$G$26,E121))*MOD(B121-1,12)/11,0)</x:f>
        <x:v>48</x:v>
      </x:c>
      <x:c r="E121" s="19" t="n">
        <x:f>INDEX('参数'!$G$34:$P$34,1,C121)</x:f>
        <x:v>45</x:v>
      </x:c>
      <x:c r="F121" s="20" t="n">
        <x:f>'参数'!$I$26</x:f>
        <x:v>1.05</x:v>
      </x:c>
      <x:c r="G121" s="19" t="n">
        <x:f>ROUND(V121*X121/'参数'!$B$56,0)</x:f>
        <x:v>26210</x:v>
      </x:c>
      <x:c r="H121" s="19" t="n">
        <x:f>ROUND((AA121+SQRT(AA121^2+4*AA121*'参数'!$B$22*U121))/2,0)</x:f>
        <x:v>864</x:v>
      </x:c>
      <x:c r="I121" s="19" t="n">
        <x:f>ROUND(Q121*'参数'!$B$23/'参数'!$B$22,0)</x:f>
        <x:v>243</x:v>
      </x:c>
      <x:c r="J121" s="19" t="n">
        <x:f>ROUND(G121*'参数'!$B$50,0)</x:f>
        <x:v>78630</x:v>
      </x:c>
      <x:c r="K121" s="19" t="n">
        <x:f>ROUND(W121*Y121,0)</x:f>
        <x:v>246945</x:v>
      </x:c>
      <x:c r="L121" s="19" t="n">
        <x:f>ROUND((AB121+SQRT(AB121^2+4*AB121*'参数'!$B$22*U121))/2,0)</x:f>
        <x:v>1388</x:v>
      </x:c>
      <x:c r="M121" s="19" t="n">
        <x:f>ROUND(I121*'参数'!$B$24,0)</x:f>
        <x:v>304</x:v>
      </x:c>
      <x:c r="N121" s="19" t="n">
        <x:f>'参数'!$B$9*'参数'!$B$10^(D121-1)</x:f>
        <x:v>2407.1370170447485</x:v>
      </x:c>
      <x:c r="O121" s="19" t="n">
        <x:f>'参数'!$B$18*'参数'!$B$19^(MIN(E121,MAX(1,5*INT(D121/5)))-1)*F121*'参数'!$J$26*P121</x:f>
        <x:v>186.96360822822706</x:v>
      </x:c>
      <x:c r="P121" s="22" t="n">
        <x:f>MIN(1,(D121-1)/19)</x:f>
        <x:v>1</x:v>
      </x:c>
      <x:c r="Q121" s="19" t="n">
        <x:f>INDEX('角色成长'!$F$6:$F$105,D121)+O121*'参数'!$K$21</x:f>
        <x:v>1212.8462834504471</x:v>
      </x:c>
      <x:c r="R121" s="19" t="n">
        <x:f>INDEX('角色成长'!$I$6:$I$105,D121)+O121*'参数'!$K$21</x:f>
        <x:v>1022.8462834504471</x:v>
      </x:c>
      <x:c r="S121" s="19" t="n">
        <x:f>INDEX('角色成长'!$L$6:$L$105,D121)+O121*'参数'!$K$21</x:f>
        <x:v>913.8462834504471</x:v>
      </x:c>
      <x:c r="T121" s="19" t="n">
        <x:f>(INDEX('角色成长'!$J$6:$J$105,D121)+O121*'参数'!$L$21)*(1+'参数'!$B$40*P121)</x:f>
        <x:v>13958.551312933305</x:v>
      </x:c>
      <x:c r="U121" s="19" t="n">
        <x:f>(INDEX('角色成长'!$K$6:$K$105,D121)+O121*'参数'!$M$21)*(1+'参数'!$B$41*P121)</x:f>
        <x:v>749.3049458393372</x:v>
      </x:c>
      <x:c r="V121" s="19" t="n">
        <x:f>(('参数'!$K$5*(((Q121*(1+'参数'!$B$39*P121))^2/((Q121*(1+'参数'!$B$39*P121))+'参数'!$B$22*(I121)))*(1+'参数'!$B$42*P121)/'参数'!$J$5+((Q121*'参数'!$B$43*(1+'参数'!$B$39*P121))^2/((Q121*'参数'!$B$43*(1+'参数'!$B$39*P121))+'参数'!$B$22*(I121)))/'参数'!$B$44))+(((R121*(1+'参数'!$B$39*P121))^2/((R121*(1+'参数'!$B$39*P121))+'参数'!$B$22*(I121)))*(1+'参数'!$B$42*P121)/'参数'!$J$6+((R121*'参数'!$B$45*(1+'参数'!$B$39*P121))^2/((R121*'参数'!$B$45*(1+'参数'!$B$39*P121))+'参数'!$B$22*(I121)))/'参数'!$B$46)+((S121*(1+'参数'!$B$39*P121))^2/((S121*(1+'参数'!$B$39*P121))+'参数'!$B$22*(I121)))*(1+'参数'!$B$42*P121)/'参数'!$J$7)*(1+'参数'!$B$37*('参数'!$B$38-1))*'参数'!$B$25</x:f>
        <x:v>8119.63052537264</x:v>
      </x:c>
      <x:c r="W121" s="19" t="n">
        <x:f>(('参数'!$K$5*(((Q121*(1+'参数'!$B$39*P121))^2/((Q121*(1+'参数'!$B$39*P121))+'参数'!$B$22*(M121)))*(1+'参数'!$B$42*P121)/'参数'!$J$5+((Q121*'参数'!$B$43*(1+'参数'!$B$39*P121))^2/((Q121*'参数'!$B$43*(1+'参数'!$B$39*P121))+'参数'!$B$22*(M121)))/'参数'!$B$44))+(((R121*(1+'参数'!$B$39*P121))^2/((R121*(1+'参数'!$B$39*P121))+'参数'!$B$22*(M121)))*(1+'参数'!$B$42*P121)/'参数'!$J$6+((R121*'参数'!$B$45*(1+'参数'!$B$39*P121))^2/((R121*'参数'!$B$45*(1+'参数'!$B$39*P121))+'参数'!$B$22*(M121)))/'参数'!$B$46)+((S121*(1+'参数'!$B$39*P121))^2/((S121*(1+'参数'!$B$39*P121))+'参数'!$B$22*(M121)))*(1+'参数'!$B$42*P121)/'参数'!$J$7)*(1+'参数'!$B$37*('参数'!$B$38-1))</x:f>
        <x:v>6252.5824941191795</x:v>
      </x:c>
      <x:c r="X121" s="26" t="n">
        <x:f>('参数'!$B$26+'参数'!$B$27*(D121-1)/99)*'参数'!$K$26*AD121</x:f>
        <x:v>14.848484848484848</x:v>
      </x:c>
      <x:c r="Y121" s="26" t="n">
        <x:f>('参数'!$B$28+'参数'!$B$29*(D121-1)/99)*'参数'!$K$26*AD121*IF(AE121=1,'参数'!$B$51,1)</x:f>
        <x:v>39.494949494949495</x:v>
      </x:c>
      <x:c r="Z121" s="22" t="n">
        <x:f>MIN('参数'!$B$36,U121/(U121+'参数'!$B$35))</x:f>
        <x:v>0.15777149591031656</x:v>
      </x:c>
      <x:c r="AA121" s="19" t="n">
        <x:f>T121*'参数'!$B$30/('参数'!$B$32*'参数'!$B$33)/(1-Z121)*AC121</x:f>
        <x:v>414.3338549204145</x:v>
      </x:c>
      <x:c r="AB121" s="19" t="n">
        <x:f>T121*'参数'!$B$31/'参数'!$B$34/(1-Z121)*AC121</x:f>
        <x:v>828.667709840829</x:v>
      </x:c>
      <x:c r="AC121" s="20" t="n">
        <x:f>'参数'!$L$26*1</x:f>
        <x:v>1</x:v>
      </x:c>
      <x:c r="AD121" s="20" t="n">
        <x:f>1</x:f>
        <x:v>1</x:v>
      </x:c>
      <x:c r="AE121" s="19" t="n">
        <x:f>IF(MOD(B121,12)=0,1,0)</x:f>
        <x:v>0</x:v>
      </x:c>
    </x:row>
    <x:row r="122" ht="22" customHeight="1">
      <x:c r="A122" s="18" t="str">
        <x:v>简单</x:v>
      </x:c>
      <x:c r="B122" s="18" t="n">
        <x:v>117</x:v>
      </x:c>
      <x:c r="C122" s="18" t="n">
        <x:f>ROUNDUP(B122/12,0)</x:f>
        <x:v>10</x:v>
      </x:c>
      <x:c r="D122" s="18" t="n">
        <x:f>ROUND(MAX('参数'!$G$26,E122)+(IF(C122&lt;10,INDEX('参数'!$G$34:$P$34,1,MIN(10,C122+1)),'参数'!$H$26)-MAX('参数'!$G$26,E122))*MOD(B122-1,12)/11,0)</x:f>
        <x:v>49</x:v>
      </x:c>
      <x:c r="E122" s="18" t="n">
        <x:f>INDEX('参数'!$G$34:$P$34,1,C122)</x:f>
        <x:v>45</x:v>
      </x:c>
      <x:c r="F122" s="15" t="n">
        <x:f>'参数'!$I$26</x:f>
        <x:v>1.05</x:v>
      </x:c>
      <x:c r="G122" s="18" t="n">
        <x:f>ROUND(V122*X122/'参数'!$B$56,0)</x:f>
        <x:v>26820</x:v>
      </x:c>
      <x:c r="H122" s="18" t="n">
        <x:f>ROUND((AA122+SQRT(AA122^2+4*AA122*'参数'!$B$22*U122))/2,0)</x:f>
        <x:v>884</x:v>
      </x:c>
      <x:c r="I122" s="18" t="n">
        <x:f>ROUND(Q122*'参数'!$B$23/'参数'!$B$22,0)</x:f>
        <x:v>247</x:v>
      </x:c>
      <x:c r="J122" s="18" t="n">
        <x:f>ROUND(G122*'参数'!$B$50,0)</x:f>
        <x:v>80460</x:v>
      </x:c>
      <x:c r="K122" s="18" t="n">
        <x:f>ROUND(W122*Y122,0)</x:f>
        <x:v>252974</x:v>
      </x:c>
      <x:c r="L122" s="18" t="n">
        <x:f>ROUND((AB122+SQRT(AB122^2+4*AB122*'参数'!$B$22*U122))/2,0)</x:f>
        <x:v>1422</x:v>
      </x:c>
      <x:c r="M122" s="18" t="n">
        <x:f>ROUND(I122*'参数'!$B$24,0)</x:f>
        <x:v>309</x:v>
      </x:c>
      <x:c r="N122" s="18" t="n">
        <x:f>'参数'!$B$9*'参数'!$B$10^(D122-1)</x:f>
        <x:v>2479.3511275560913</x:v>
      </x:c>
      <x:c r="O122" s="18" t="n">
        <x:f>'参数'!$B$18*'参数'!$B$19^(MIN(E122,MAX(1,5*INT(D122/5)))-1)*F122*'参数'!$J$26*P122</x:f>
        <x:v>186.96360822822706</x:v>
      </x:c>
      <x:c r="P122" s="21" t="n">
        <x:f>MIN(1,(D122-1)/19)</x:f>
        <x:v>1</x:v>
      </x:c>
      <x:c r="Q122" s="18" t="n">
        <x:f>INDEX('角色成长'!$F$6:$F$105,D122)+O122*'参数'!$K$21</x:f>
        <x:v>1236.8462834504471</x:v>
      </x:c>
      <x:c r="R122" s="18" t="n">
        <x:f>INDEX('角色成长'!$I$6:$I$105,D122)+O122*'参数'!$K$21</x:f>
        <x:v>1039.8462834504471</x:v>
      </x:c>
      <x:c r="S122" s="18" t="n">
        <x:f>INDEX('角色成长'!$L$6:$L$105,D122)+O122*'参数'!$K$21</x:f>
        <x:v>926.8462834504471</x:v>
      </x:c>
      <x:c r="T122" s="18" t="n">
        <x:f>(INDEX('角色成长'!$J$6:$J$105,D122)+O122*'参数'!$L$21)*(1+'参数'!$B$40*P122)</x:f>
        <x:v>14297.351312933306</x:v>
      </x:c>
      <x:c r="U122" s="18" t="n">
        <x:f>(INDEX('角色成长'!$K$6:$K$105,D122)+O122*'参数'!$M$21)*(1+'参数'!$B$41*P122)</x:f>
        <x:v>762.5049458393372</x:v>
      </x:c>
      <x:c r="V122" s="18" t="n">
        <x:f>(('参数'!$K$5*(((Q122*(1+'参数'!$B$39*P122))^2/((Q122*(1+'参数'!$B$39*P122))+'参数'!$B$22*(I122)))*(1+'参数'!$B$42*P122)/'参数'!$J$5+((Q122*'参数'!$B$43*(1+'参数'!$B$39*P122))^2/((Q122*'参数'!$B$43*(1+'参数'!$B$39*P122))+'参数'!$B$22*(I122)))/'参数'!$B$44))+(((R122*(1+'参数'!$B$39*P122))^2/((R122*(1+'参数'!$B$39*P122))+'参数'!$B$22*(I122)))*(1+'参数'!$B$42*P122)/'参数'!$J$6+((R122*'参数'!$B$45*(1+'参数'!$B$39*P122))^2/((R122*'参数'!$B$45*(1+'参数'!$B$39*P122))+'参数'!$B$22*(I122)))/'参数'!$B$46)+((S122*(1+'参数'!$B$39*P122))^2/((S122*(1+'参数'!$B$39*P122))+'参数'!$B$22*(I122)))*(1+'参数'!$B$42*P122)/'参数'!$J$7)*(1+'参数'!$B$37*('参数'!$B$38-1))*'参数'!$B$25</x:f>
        <x:v>8274.869482439097</x:v>
      </x:c>
      <x:c r="W122" s="18" t="n">
        <x:f>(('参数'!$K$5*(((Q122*(1+'参数'!$B$39*P122))^2/((Q122*(1+'参数'!$B$39*P122))+'参数'!$B$22*(M122)))*(1+'参数'!$B$42*P122)/'参数'!$J$5+((Q122*'参数'!$B$43*(1+'参数'!$B$39*P122))^2/((Q122*'参数'!$B$43*(1+'参数'!$B$39*P122))+'参数'!$B$22*(M122)))/'参数'!$B$44))+(((R122*(1+'参数'!$B$39*P122))^2/((R122*(1+'参数'!$B$39*P122))+'参数'!$B$22*(M122)))*(1+'参数'!$B$42*P122)/'参数'!$J$6+((R122*'参数'!$B$45*(1+'参数'!$B$39*P122))^2/((R122*'参数'!$B$45*(1+'参数'!$B$39*P122))+'参数'!$B$22*(M122)))/'参数'!$B$46)+((S122*(1+'参数'!$B$39*P122))^2/((S122*(1+'参数'!$B$39*P122))+'参数'!$B$22*(M122)))*(1+'参数'!$B$42*P122)/'参数'!$J$7)*(1+'参数'!$B$37*('参数'!$B$38-1))</x:f>
        <x:v>6372.625409051468</x:v>
      </x:c>
      <x:c r="X122" s="25" t="n">
        <x:f>('参数'!$B$26+'参数'!$B$27*(D122-1)/99)*'参数'!$K$26*AD122</x:f>
        <x:v>14.90909090909091</x:v>
      </x:c>
      <x:c r="Y122" s="25" t="n">
        <x:f>('参数'!$B$28+'参数'!$B$29*(D122-1)/99)*'参数'!$K$26*AD122*IF(AE122=1,'参数'!$B$51,1)</x:f>
        <x:v>39.696969696969695</x:v>
      </x:c>
      <x:c r="Z122" s="21" t="n">
        <x:f>MIN('参数'!$B$36,U122/(U122+'参数'!$B$35))</x:f>
        <x:v>0.16010585910372307</x:v>
      </x:c>
      <x:c r="AA122" s="18" t="n">
        <x:f>T122*'参数'!$B$30/('参数'!$B$32*'参数'!$B$33)/(1-Z122)*AC122</x:f>
        <x:v>425.57003962654636</x:v>
      </x:c>
      <x:c r="AB122" s="18" t="n">
        <x:f>T122*'参数'!$B$31/'参数'!$B$34/(1-Z122)*AC122</x:f>
        <x:v>851.1400792530927</x:v>
      </x:c>
      <x:c r="AC122" s="15" t="n">
        <x:f>'参数'!$L$26*1</x:f>
        <x:v>1</x:v>
      </x:c>
      <x:c r="AD122" s="15" t="n">
        <x:f>1</x:f>
        <x:v>1</x:v>
      </x:c>
      <x:c r="AE122" s="18" t="n">
        <x:f>IF(MOD(B122,12)=0,1,0)</x:f>
        <x:v>0</x:v>
      </x:c>
    </x:row>
    <x:row r="123" ht="22" customHeight="1">
      <x:c r="A123" s="19" t="str">
        <x:v>简单</x:v>
      </x:c>
      <x:c r="B123" s="19" t="n">
        <x:v>118</x:v>
      </x:c>
      <x:c r="C123" s="19" t="n">
        <x:f>ROUNDUP(B123/12,0)</x:f>
        <x:v>10</x:v>
      </x:c>
      <x:c r="D123" s="19" t="n">
        <x:f>ROUND(MAX('参数'!$G$26,E123)+(IF(C123&lt;10,INDEX('参数'!$G$34:$P$34,1,MIN(10,C123+1)),'参数'!$H$26)-MAX('参数'!$G$26,E123))*MOD(B123-1,12)/11,0)</x:f>
        <x:v>49</x:v>
      </x:c>
      <x:c r="E123" s="19" t="n">
        <x:f>INDEX('参数'!$G$34:$P$34,1,C123)</x:f>
        <x:v>45</x:v>
      </x:c>
      <x:c r="F123" s="20" t="n">
        <x:f>'参数'!$I$26</x:f>
        <x:v>1.05</x:v>
      </x:c>
      <x:c r="G123" s="19" t="n">
        <x:f>ROUND(V123*X123/'参数'!$B$56,0)</x:f>
        <x:v>26820</x:v>
      </x:c>
      <x:c r="H123" s="19" t="n">
        <x:f>ROUND((AA123+SQRT(AA123^2+4*AA123*'参数'!$B$22*U123))/2,0)</x:f>
        <x:v>884</x:v>
      </x:c>
      <x:c r="I123" s="19" t="n">
        <x:f>ROUND(Q123*'参数'!$B$23/'参数'!$B$22,0)</x:f>
        <x:v>247</x:v>
      </x:c>
      <x:c r="J123" s="19" t="n">
        <x:f>ROUND(G123*'参数'!$B$50,0)</x:f>
        <x:v>80460</x:v>
      </x:c>
      <x:c r="K123" s="19" t="n">
        <x:f>ROUND(W123*Y123,0)</x:f>
        <x:v>252974</x:v>
      </x:c>
      <x:c r="L123" s="19" t="n">
        <x:f>ROUND((AB123+SQRT(AB123^2+4*AB123*'参数'!$B$22*U123))/2,0)</x:f>
        <x:v>1422</x:v>
      </x:c>
      <x:c r="M123" s="19" t="n">
        <x:f>ROUND(I123*'参数'!$B$24,0)</x:f>
        <x:v>309</x:v>
      </x:c>
      <x:c r="N123" s="19" t="n">
        <x:f>'参数'!$B$9*'参数'!$B$10^(D123-1)</x:f>
        <x:v>2479.3511275560913</x:v>
      </x:c>
      <x:c r="O123" s="19" t="n">
        <x:f>'参数'!$B$18*'参数'!$B$19^(MIN(E123,MAX(1,5*INT(D123/5)))-1)*F123*'参数'!$J$26*P123</x:f>
        <x:v>186.96360822822706</x:v>
      </x:c>
      <x:c r="P123" s="22" t="n">
        <x:f>MIN(1,(D123-1)/19)</x:f>
        <x:v>1</x:v>
      </x:c>
      <x:c r="Q123" s="19" t="n">
        <x:f>INDEX('角色成长'!$F$6:$F$105,D123)+O123*'参数'!$K$21</x:f>
        <x:v>1236.8462834504471</x:v>
      </x:c>
      <x:c r="R123" s="19" t="n">
        <x:f>INDEX('角色成长'!$I$6:$I$105,D123)+O123*'参数'!$K$21</x:f>
        <x:v>1039.8462834504471</x:v>
      </x:c>
      <x:c r="S123" s="19" t="n">
        <x:f>INDEX('角色成长'!$L$6:$L$105,D123)+O123*'参数'!$K$21</x:f>
        <x:v>926.8462834504471</x:v>
      </x:c>
      <x:c r="T123" s="19" t="n">
        <x:f>(INDEX('角色成长'!$J$6:$J$105,D123)+O123*'参数'!$L$21)*(1+'参数'!$B$40*P123)</x:f>
        <x:v>14297.351312933306</x:v>
      </x:c>
      <x:c r="U123" s="19" t="n">
        <x:f>(INDEX('角色成长'!$K$6:$K$105,D123)+O123*'参数'!$M$21)*(1+'参数'!$B$41*P123)</x:f>
        <x:v>762.5049458393372</x:v>
      </x:c>
      <x:c r="V123" s="19" t="n">
        <x:f>(('参数'!$K$5*(((Q123*(1+'参数'!$B$39*P123))^2/((Q123*(1+'参数'!$B$39*P123))+'参数'!$B$22*(I123)))*(1+'参数'!$B$42*P123)/'参数'!$J$5+((Q123*'参数'!$B$43*(1+'参数'!$B$39*P123))^2/((Q123*'参数'!$B$43*(1+'参数'!$B$39*P123))+'参数'!$B$22*(I123)))/'参数'!$B$44))+(((R123*(1+'参数'!$B$39*P123))^2/((R123*(1+'参数'!$B$39*P123))+'参数'!$B$22*(I123)))*(1+'参数'!$B$42*P123)/'参数'!$J$6+((R123*'参数'!$B$45*(1+'参数'!$B$39*P123))^2/((R123*'参数'!$B$45*(1+'参数'!$B$39*P123))+'参数'!$B$22*(I123)))/'参数'!$B$46)+((S123*(1+'参数'!$B$39*P123))^2/((S123*(1+'参数'!$B$39*P123))+'参数'!$B$22*(I123)))*(1+'参数'!$B$42*P123)/'参数'!$J$7)*(1+'参数'!$B$37*('参数'!$B$38-1))*'参数'!$B$25</x:f>
        <x:v>8274.869482439097</x:v>
      </x:c>
      <x:c r="W123" s="19" t="n">
        <x:f>(('参数'!$K$5*(((Q123*(1+'参数'!$B$39*P123))^2/((Q123*(1+'参数'!$B$39*P123))+'参数'!$B$22*(M123)))*(1+'参数'!$B$42*P123)/'参数'!$J$5+((Q123*'参数'!$B$43*(1+'参数'!$B$39*P123))^2/((Q123*'参数'!$B$43*(1+'参数'!$B$39*P123))+'参数'!$B$22*(M123)))/'参数'!$B$44))+(((R123*(1+'参数'!$B$39*P123))^2/((R123*(1+'参数'!$B$39*P123))+'参数'!$B$22*(M123)))*(1+'参数'!$B$42*P123)/'参数'!$J$6+((R123*'参数'!$B$45*(1+'参数'!$B$39*P123))^2/((R123*'参数'!$B$45*(1+'参数'!$B$39*P123))+'参数'!$B$22*(M123)))/'参数'!$B$46)+((S123*(1+'参数'!$B$39*P123))^2/((S123*(1+'参数'!$B$39*P123))+'参数'!$B$22*(M123)))*(1+'参数'!$B$42*P123)/'参数'!$J$7)*(1+'参数'!$B$37*('参数'!$B$38-1))</x:f>
        <x:v>6372.625409051468</x:v>
      </x:c>
      <x:c r="X123" s="26" t="n">
        <x:f>('参数'!$B$26+'参数'!$B$27*(D123-1)/99)*'参数'!$K$26*AD123</x:f>
        <x:v>14.90909090909091</x:v>
      </x:c>
      <x:c r="Y123" s="26" t="n">
        <x:f>('参数'!$B$28+'参数'!$B$29*(D123-1)/99)*'参数'!$K$26*AD123*IF(AE123=1,'参数'!$B$51,1)</x:f>
        <x:v>39.696969696969695</x:v>
      </x:c>
      <x:c r="Z123" s="22" t="n">
        <x:f>MIN('参数'!$B$36,U123/(U123+'参数'!$B$35))</x:f>
        <x:v>0.16010585910372307</x:v>
      </x:c>
      <x:c r="AA123" s="19" t="n">
        <x:f>T123*'参数'!$B$30/('参数'!$B$32*'参数'!$B$33)/(1-Z123)*AC123</x:f>
        <x:v>425.57003962654636</x:v>
      </x:c>
      <x:c r="AB123" s="19" t="n">
        <x:f>T123*'参数'!$B$31/'参数'!$B$34/(1-Z123)*AC123</x:f>
        <x:v>851.1400792530927</x:v>
      </x:c>
      <x:c r="AC123" s="20" t="n">
        <x:f>'参数'!$L$26*1</x:f>
        <x:v>1</x:v>
      </x:c>
      <x:c r="AD123" s="20" t="n">
        <x:f>1</x:f>
        <x:v>1</x:v>
      </x:c>
      <x:c r="AE123" s="19" t="n">
        <x:f>IF(MOD(B123,12)=0,1,0)</x:f>
        <x:v>0</x:v>
      </x:c>
    </x:row>
    <x:row r="124" ht="22" customHeight="1">
      <x:c r="A124" s="18" t="str">
        <x:v>简单</x:v>
      </x:c>
      <x:c r="B124" s="18" t="n">
        <x:v>119</x:v>
      </x:c>
      <x:c r="C124" s="18" t="n">
        <x:f>ROUNDUP(B124/12,0)</x:f>
        <x:v>10</x:v>
      </x:c>
      <x:c r="D124" s="18" t="n">
        <x:f>ROUND(MAX('参数'!$G$26,E124)+(IF(C124&lt;10,INDEX('参数'!$G$34:$P$34,1,MIN(10,C124+1)),'参数'!$H$26)-MAX('参数'!$G$26,E124))*MOD(B124-1,12)/11,0)</x:f>
        <x:v>50</x:v>
      </x:c>
      <x:c r="E124" s="18" t="n">
        <x:f>INDEX('参数'!$G$34:$P$34,1,C124)</x:f>
        <x:v>45</x:v>
      </x:c>
      <x:c r="F124" s="15" t="n">
        <x:f>'参数'!$I$26</x:f>
        <x:v>1.05</x:v>
      </x:c>
      <x:c r="G124" s="18" t="n">
        <x:f>ROUND(V124*X124/'参数'!$B$56,0)</x:f>
        <x:v>27420</x:v>
      </x:c>
      <x:c r="H124" s="18" t="n">
        <x:f>ROUND((AA124+SQRT(AA124^2+4*AA124*'参数'!$B$22*U124))/2,0)</x:f>
        <x:v>906</x:v>
      </x:c>
      <x:c r="I124" s="18" t="n">
        <x:f>ROUND(Q124*'参数'!$B$23/'参数'!$B$22,0)</x:f>
        <x:v>252</x:v>
      </x:c>
      <x:c r="J124" s="18" t="n">
        <x:f>ROUND(G124*'参数'!$B$50,0)</x:f>
        <x:v>82260</x:v>
      </x:c>
      <x:c r="K124" s="18" t="n">
        <x:f>ROUND(W124*Y124,0)</x:f>
        <x:v>258929</x:v>
      </x:c>
      <x:c r="L124" s="18" t="n">
        <x:f>ROUND((AB124+SQRT(AB124^2+4*AB124*'参数'!$B$22*U124))/2,0)</x:f>
        <x:v>1457</x:v>
      </x:c>
      <x:c r="M124" s="18" t="n">
        <x:f>ROUND(I124*'参数'!$B$24,0)</x:f>
        <x:v>315</x:v>
      </x:c>
      <x:c r="N124" s="18" t="n">
        <x:f>'参数'!$B$9*'参数'!$B$10^(D124-1)</x:f>
        <x:v>2553.731661382774</x:v>
      </x:c>
      <x:c r="O124" s="18" t="n">
        <x:f>'参数'!$B$18*'参数'!$B$19^(MIN(E124,MAX(1,5*INT(D124/5)))-1)*F124*'参数'!$J$26*P124</x:f>
        <x:v>186.96360822822706</x:v>
      </x:c>
      <x:c r="P124" s="21" t="n">
        <x:f>MIN(1,(D124-1)/19)</x:f>
        <x:v>1</x:v>
      </x:c>
      <x:c r="Q124" s="18" t="n">
        <x:f>INDEX('角色成长'!$F$6:$F$105,D124)+O124*'参数'!$K$21</x:f>
        <x:v>1260.8462834504471</x:v>
      </x:c>
      <x:c r="R124" s="18" t="n">
        <x:f>INDEX('角色成长'!$I$6:$I$105,D124)+O124*'参数'!$K$21</x:f>
        <x:v>1056.8462834504471</x:v>
      </x:c>
      <x:c r="S124" s="18" t="n">
        <x:f>INDEX('角色成长'!$L$6:$L$105,D124)+O124*'参数'!$K$21</x:f>
        <x:v>940.8462834504471</x:v>
      </x:c>
      <x:c r="T124" s="18" t="n">
        <x:f>(INDEX('角色成长'!$J$6:$J$105,D124)+O124*'参数'!$L$21)*(1+'参数'!$B$40*P124)</x:f>
        <x:v>14647.151312933305</x:v>
      </x:c>
      <x:c r="U124" s="18" t="n">
        <x:f>(INDEX('角色成长'!$K$6:$K$105,D124)+O124*'参数'!$M$21)*(1+'参数'!$B$41*P124)</x:f>
        <x:v>776.8049458393372</x:v>
      </x:c>
      <x:c r="V124" s="18" t="n">
        <x:f>(('参数'!$K$5*(((Q124*(1+'参数'!$B$39*P124))^2/((Q124*(1+'参数'!$B$39*P124))+'参数'!$B$22*(I124)))*(1+'参数'!$B$42*P124)/'参数'!$J$5+((Q124*'参数'!$B$43*(1+'参数'!$B$39*P124))^2/((Q124*'参数'!$B$43*(1+'参数'!$B$39*P124))+'参数'!$B$22*(I124)))/'参数'!$B$44))+(((R124*(1+'参数'!$B$39*P124))^2/((R124*(1+'参数'!$B$39*P124))+'参数'!$B$22*(I124)))*(1+'参数'!$B$42*P124)/'参数'!$J$6+((R124*'参数'!$B$45*(1+'参数'!$B$39*P124))^2/((R124*'参数'!$B$45*(1+'参数'!$B$39*P124))+'参数'!$B$22*(I124)))/'参数'!$B$46)+((S124*(1+'参数'!$B$39*P124))^2/((S124*(1+'参数'!$B$39*P124))+'参数'!$B$22*(I124)))*(1+'参数'!$B$42*P124)/'参数'!$J$7)*(1+'参数'!$B$37*('参数'!$B$38-1))*'参数'!$B$25</x:f>
        <x:v>8425.903598778437</x:v>
      </x:c>
      <x:c r="W124" s="18" t="n">
        <x:f>(('参数'!$K$5*(((Q124*(1+'参数'!$B$39*P124))^2/((Q124*(1+'参数'!$B$39*P124))+'参数'!$B$22*(M124)))*(1+'参数'!$B$42*P124)/'参数'!$J$5+((Q124*'参数'!$B$43*(1+'参数'!$B$39*P124))^2/((Q124*'参数'!$B$43*(1+'参数'!$B$39*P124))+'参数'!$B$22*(M124)))/'参数'!$B$44))+(((R124*(1+'参数'!$B$39*P124))^2/((R124*(1+'参数'!$B$39*P124))+'参数'!$B$22*(M124)))*(1+'参数'!$B$42*P124)/'参数'!$J$6+((R124*'参数'!$B$45*(1+'参数'!$B$39*P124))^2/((R124*'参数'!$B$45*(1+'参数'!$B$39*P124))+'参数'!$B$22*(M124)))/'参数'!$B$46)+((S124*(1+'参数'!$B$39*P124))^2/((S124*(1+'参数'!$B$39*P124))+'参数'!$B$22*(M124)))*(1+'参数'!$B$42*P124)/'参数'!$J$7)*(1+'参数'!$B$37*('参数'!$B$38-1))</x:f>
        <x:v>6489.620218955269</x:v>
      </x:c>
      <x:c r="X124" s="25" t="n">
        <x:f>('参数'!$B$26+'参数'!$B$27*(D124-1)/99)*'参数'!$K$26*AD124</x:f>
        <x:v>14.969696969696969</x:v>
      </x:c>
      <x:c r="Y124" s="25" t="n">
        <x:f>('参数'!$B$28+'参数'!$B$29*(D124-1)/99)*'参数'!$K$26*AD124*IF(AE124=1,'参数'!$B$51,1)</x:f>
        <x:v>39.898989898989896</x:v>
      </x:c>
      <x:c r="Z124" s="21" t="n">
        <x:f>MIN('参数'!$B$36,U124/(U124+'参数'!$B$35))</x:f>
        <x:v>0.1626201937585802</x:v>
      </x:c>
      <x:c r="AA124" s="18" t="n">
        <x:f>T124*'参数'!$B$30/('参数'!$B$32*'参数'!$B$33)/(1-Z124)*AC124</x:f>
        <x:v>437.291155212981</x:v>
      </x:c>
      <x:c r="AB124" s="18" t="n">
        <x:f>T124*'参数'!$B$31/'参数'!$B$34/(1-Z124)*AC124</x:f>
        <x:v>874.582310425962</x:v>
      </x:c>
      <x:c r="AC124" s="15" t="n">
        <x:f>'参数'!$L$26*1</x:f>
        <x:v>1</x:v>
      </x:c>
      <x:c r="AD124" s="15" t="n">
        <x:f>1</x:f>
        <x:v>1</x:v>
      </x:c>
      <x:c r="AE124" s="18" t="n">
        <x:f>IF(MOD(B124,12)=0,1,0)</x:f>
        <x:v>0</x:v>
      </x:c>
    </x:row>
    <x:row r="125" ht="22" customHeight="1">
      <x:c r="A125" s="19" t="str">
        <x:v>简单</x:v>
      </x:c>
      <x:c r="B125" s="19" t="n">
        <x:v>120</x:v>
      </x:c>
      <x:c r="C125" s="19" t="n">
        <x:f>ROUNDUP(B125/12,0)</x:f>
        <x:v>10</x:v>
      </x:c>
      <x:c r="D125" s="19" t="n">
        <x:f>ROUND(MAX('参数'!$G$26,E125)+(IF(C125&lt;10,INDEX('参数'!$G$34:$P$34,1,MIN(10,C125+1)),'参数'!$H$26)-MAX('参数'!$G$26,E125))*MOD(B125-1,12)/11,0)</x:f>
        <x:v>50</x:v>
      </x:c>
      <x:c r="E125" s="19" t="n">
        <x:f>INDEX('参数'!$G$34:$P$34,1,C125)</x:f>
        <x:v>45</x:v>
      </x:c>
      <x:c r="F125" s="20" t="n">
        <x:f>'参数'!$I$26</x:f>
        <x:v>1.05</x:v>
      </x:c>
      <x:c r="G125" s="19" t="n">
        <x:f>ROUND(V125*X125/'参数'!$B$56,0)</x:f>
        <x:v>27420</x:v>
      </x:c>
      <x:c r="H125" s="19" t="n">
        <x:f>ROUND((AA125+SQRT(AA125^2+4*AA125*'参数'!$B$22*U125))/2,0)</x:f>
        <x:v>906</x:v>
      </x:c>
      <x:c r="I125" s="19" t="n">
        <x:f>ROUND(Q125*'参数'!$B$23/'参数'!$B$22,0)</x:f>
        <x:v>252</x:v>
      </x:c>
      <x:c r="J125" s="19" t="n">
        <x:f>ROUND(G125*'参数'!$B$50,0)</x:f>
        <x:v>82260</x:v>
      </x:c>
      <x:c r="K125" s="19" t="n">
        <x:f>ROUND(W125*Y125,0)</x:f>
        <x:v>297769</x:v>
      </x:c>
      <x:c r="L125" s="19" t="n">
        <x:f>ROUND((AB125+SQRT(AB125^2+4*AB125*'参数'!$B$22*U125))/2,0)</x:f>
        <x:v>1457</x:v>
      </x:c>
      <x:c r="M125" s="19" t="n">
        <x:f>ROUND(I125*'参数'!$B$24,0)</x:f>
        <x:v>315</x:v>
      </x:c>
      <x:c r="N125" s="19" t="n">
        <x:f>'参数'!$B$9*'参数'!$B$10^(D125-1)</x:f>
        <x:v>2553.731661382774</x:v>
      </x:c>
      <x:c r="O125" s="19" t="n">
        <x:f>'参数'!$B$18*'参数'!$B$19^(MIN(E125,MAX(1,5*INT(D125/5)))-1)*F125*'参数'!$J$26*P125</x:f>
        <x:v>186.96360822822706</x:v>
      </x:c>
      <x:c r="P125" s="22" t="n">
        <x:f>MIN(1,(D125-1)/19)</x:f>
        <x:v>1</x:v>
      </x:c>
      <x:c r="Q125" s="19" t="n">
        <x:f>INDEX('角色成长'!$F$6:$F$105,D125)+O125*'参数'!$K$21</x:f>
        <x:v>1260.8462834504471</x:v>
      </x:c>
      <x:c r="R125" s="19" t="n">
        <x:f>INDEX('角色成长'!$I$6:$I$105,D125)+O125*'参数'!$K$21</x:f>
        <x:v>1056.8462834504471</x:v>
      </x:c>
      <x:c r="S125" s="19" t="n">
        <x:f>INDEX('角色成长'!$L$6:$L$105,D125)+O125*'参数'!$K$21</x:f>
        <x:v>940.8462834504471</x:v>
      </x:c>
      <x:c r="T125" s="19" t="n">
        <x:f>(INDEX('角色成长'!$J$6:$J$105,D125)+O125*'参数'!$L$21)*(1+'参数'!$B$40*P125)</x:f>
        <x:v>14647.151312933305</x:v>
      </x:c>
      <x:c r="U125" s="19" t="n">
        <x:f>(INDEX('角色成长'!$K$6:$K$105,D125)+O125*'参数'!$M$21)*(1+'参数'!$B$41*P125)</x:f>
        <x:v>776.8049458393372</x:v>
      </x:c>
      <x:c r="V125" s="19" t="n">
        <x:f>(('参数'!$K$5*(((Q125*(1+'参数'!$B$39*P125))^2/((Q125*(1+'参数'!$B$39*P125))+'参数'!$B$22*(I125)))*(1+'参数'!$B$42*P125)/'参数'!$J$5+((Q125*'参数'!$B$43*(1+'参数'!$B$39*P125))^2/((Q125*'参数'!$B$43*(1+'参数'!$B$39*P125))+'参数'!$B$22*(I125)))/'参数'!$B$44))+(((R125*(1+'参数'!$B$39*P125))^2/((R125*(1+'参数'!$B$39*P125))+'参数'!$B$22*(I125)))*(1+'参数'!$B$42*P125)/'参数'!$J$6+((R125*'参数'!$B$45*(1+'参数'!$B$39*P125))^2/((R125*'参数'!$B$45*(1+'参数'!$B$39*P125))+'参数'!$B$22*(I125)))/'参数'!$B$46)+((S125*(1+'参数'!$B$39*P125))^2/((S125*(1+'参数'!$B$39*P125))+'参数'!$B$22*(I125)))*(1+'参数'!$B$42*P125)/'参数'!$J$7)*(1+'参数'!$B$37*('参数'!$B$38-1))*'参数'!$B$25</x:f>
        <x:v>8425.903598778437</x:v>
      </x:c>
      <x:c r="W125" s="19" t="n">
        <x:f>(('参数'!$K$5*(((Q125*(1+'参数'!$B$39*P125))^2/((Q125*(1+'参数'!$B$39*P125))+'参数'!$B$22*(M125)))*(1+'参数'!$B$42*P125)/'参数'!$J$5+((Q125*'参数'!$B$43*(1+'参数'!$B$39*P125))^2/((Q125*'参数'!$B$43*(1+'参数'!$B$39*P125))+'参数'!$B$22*(M125)))/'参数'!$B$44))+(((R125*(1+'参数'!$B$39*P125))^2/((R125*(1+'参数'!$B$39*P125))+'参数'!$B$22*(M125)))*(1+'参数'!$B$42*P125)/'参数'!$J$6+((R125*'参数'!$B$45*(1+'参数'!$B$39*P125))^2/((R125*'参数'!$B$45*(1+'参数'!$B$39*P125))+'参数'!$B$22*(M125)))/'参数'!$B$46)+((S125*(1+'参数'!$B$39*P125))^2/((S125*(1+'参数'!$B$39*P125))+'参数'!$B$22*(M125)))*(1+'参数'!$B$42*P125)/'参数'!$J$7)*(1+'参数'!$B$37*('参数'!$B$38-1))</x:f>
        <x:v>6489.620218955269</x:v>
      </x:c>
      <x:c r="X125" s="26" t="n">
        <x:f>('参数'!$B$26+'参数'!$B$27*(D125-1)/99)*'参数'!$K$26*AD125</x:f>
        <x:v>14.969696969696969</x:v>
      </x:c>
      <x:c r="Y125" s="26" t="n">
        <x:f>('参数'!$B$28+'参数'!$B$29*(D125-1)/99)*'参数'!$K$26*AD125*IF(AE125=1,'参数'!$B$51,1)</x:f>
        <x:v>45.88383838383838</x:v>
      </x:c>
      <x:c r="Z125" s="22" t="n">
        <x:f>MIN('参数'!$B$36,U125/(U125+'参数'!$B$35))</x:f>
        <x:v>0.1626201937585802</x:v>
      </x:c>
      <x:c r="AA125" s="19" t="n">
        <x:f>T125*'参数'!$B$30/('参数'!$B$32*'参数'!$B$33)/(1-Z125)*AC125</x:f>
        <x:v>437.291155212981</x:v>
      </x:c>
      <x:c r="AB125" s="19" t="n">
        <x:f>T125*'参数'!$B$31/'参数'!$B$34/(1-Z125)*AC125</x:f>
        <x:v>874.582310425962</x:v>
      </x:c>
      <x:c r="AC125" s="20" t="n">
        <x:f>'参数'!$L$26*1</x:f>
        <x:v>1</x:v>
      </x:c>
      <x:c r="AD125" s="20" t="n">
        <x:f>1</x:f>
        <x:v>1</x:v>
      </x:c>
      <x:c r="AE125" s="19" t="n">
        <x:f>IF(MOD(B125,12)=0,1,0)</x:f>
        <x:v>1</x:v>
      </x:c>
    </x:row>
    <x:row r="126" ht="22" customHeight="1">
      <x:c r="A126" s="18" t="str">
        <x:v>困难</x:v>
      </x:c>
      <x:c r="B126" s="18" t="n">
        <x:v>1</x:v>
      </x:c>
      <x:c r="C126" s="18" t="n">
        <x:f>ROUNDUP(B126/12,0)</x:f>
        <x:v>1</x:v>
      </x:c>
      <x:c r="D126" s="18" t="n">
        <x:f>ROUND(MAX('参数'!$G$27,E126)+(IF(C126&lt;10,INDEX('参数'!$G$35:$P$35,1,MIN(10,C126+1)),'参数'!$H$27)-MAX('参数'!$G$27,E126))*MOD(B126-1,12)/11,0)</x:f>
        <x:v>50</x:v>
      </x:c>
      <x:c r="E126" s="18" t="n">
        <x:f>INDEX('参数'!$G$35:$P$35,1,C126)</x:f>
        <x:v>50</x:v>
      </x:c>
      <x:c r="F126" s="15" t="n">
        <x:f>'参数'!$I$27</x:f>
        <x:v>1.1</x:v>
      </x:c>
      <x:c r="G126" s="18" t="n">
        <x:f>ROUND(V126*X126/'参数'!$B$56,0)</x:f>
        <x:v>34345</x:v>
      </x:c>
      <x:c r="H126" s="18" t="n">
        <x:f>ROUND((AA126+SQRT(AA126^2+4*AA126*'参数'!$B$22*U126))/2,0)</x:f>
        <x:v>1055</x:v>
      </x:c>
      <x:c r="I126" s="18" t="n">
        <x:f>ROUND(Q126*'参数'!$B$23/'参数'!$B$22,0)</x:f>
        <x:v>285</x:v>
      </x:c>
      <x:c r="J126" s="18" t="n">
        <x:f>ROUND(G126*'参数'!$B$50,0)</x:f>
        <x:v>103035</x:v>
      </x:c>
      <x:c r="K126" s="18" t="n">
        <x:f>ROUND(W126*Y126,0)</x:f>
        <x:v>324403</x:v>
      </x:c>
      <x:c r="L126" s="18" t="n">
        <x:f>ROUND((AB126+SQRT(AB126^2+4*AB126*'参数'!$B$22*U126))/2,0)</x:f>
        <x:v>1701</x:v>
      </x:c>
      <x:c r="M126" s="18" t="n">
        <x:f>ROUND(I126*'参数'!$B$24,0)</x:f>
        <x:v>356</x:v>
      </x:c>
      <x:c r="N126" s="18" t="n">
        <x:f>'参数'!$B$9*'参数'!$B$10^(D126-1)</x:f>
        <x:v>2553.731661382774</x:v>
      </x:c>
      <x:c r="O126" s="18" t="n">
        <x:f>'参数'!$B$18*'参数'!$B$19^(MIN(E126,MAX(1,5*INT(D126/5)))-1)*F126*'参数'!$J$27*P126</x:f>
        <x:v>244.27981829993834</x:v>
      </x:c>
      <x:c r="P126" s="21" t="n">
        <x:f>MIN(1,(D126-1)/19)</x:f>
        <x:v>1</x:v>
      </x:c>
      <x:c r="Q126" s="18" t="n">
        <x:f>INDEX('角色成长'!$F$6:$F$105,D126)+O126*'参数'!$K$21</x:f>
        <x:v>1424.1974821548242</x:v>
      </x:c>
      <x:c r="R126" s="18" t="n">
        <x:f>INDEX('角色成长'!$I$6:$I$105,D126)+O126*'参数'!$K$21</x:f>
        <x:v>1220.1974821548242</x:v>
      </x:c>
      <x:c r="S126" s="18" t="n">
        <x:f>INDEX('角色成长'!$L$6:$L$105,D126)+O126*'参数'!$K$21</x:f>
        <x:v>1104.1974821548242</x:v>
      </x:c>
      <x:c r="T126" s="18" t="n">
        <x:f>(INDEX('角色成长'!$J$6:$J$105,D126)+O126*'参数'!$L$21)*(1+'参数'!$B$40*P126)</x:f>
        <x:v>16046.813162884495</x:v>
      </x:c>
      <x:c r="U126" s="18" t="n">
        <x:f>(INDEX('角色成长'!$K$6:$K$105,D126)+O126*'参数'!$M$21)*(1+'参数'!$B$41*P126)</x:f>
        <x:v>887.1386502273814</x:v>
      </x:c>
      <x:c r="V126" s="18" t="n">
        <x:f>(('参数'!$K$5*(((Q126*(1+'参数'!$B$39*P126))^2/((Q126*(1+'参数'!$B$39*P126))+'参数'!$B$22*(I126)))*(1+'参数'!$B$42*P126)/'参数'!$J$5+((Q126*'参数'!$B$43*(1+'参数'!$B$39*P126))^2/((Q126*'参数'!$B$43*(1+'参数'!$B$39*P126))+'参数'!$B$22*(I126)))/'参数'!$B$44))+(((R126*(1+'参数'!$B$39*P126))^2/((R126*(1+'参数'!$B$39*P126))+'参数'!$B$22*(I126)))*(1+'参数'!$B$42*P126)/'参数'!$J$6+((R126*'参数'!$B$45*(1+'参数'!$B$39*P126))^2/((R126*'参数'!$B$45*(1+'参数'!$B$39*P126))+'参数'!$B$22*(I126)))/'参数'!$B$46)+((S126*(1+'参数'!$B$39*P126))^2/((S126*(1+'参数'!$B$39*P126))+'参数'!$B$22*(I126)))*(1+'参数'!$B$42*P126)/'参数'!$J$7)*(1+'参数'!$B$37*('参数'!$B$38-1))*'参数'!$B$25</x:f>
        <x:v>9594.339353853593</x:v>
      </x:c>
      <x:c r="W126" s="18" t="n">
        <x:f>(('参数'!$K$5*(((Q126*(1+'参数'!$B$39*P126))^2/((Q126*(1+'参数'!$B$39*P126))+'参数'!$B$22*(M126)))*(1+'参数'!$B$42*P126)/'参数'!$J$5+((Q126*'参数'!$B$43*(1+'参数'!$B$39*P126))^2/((Q126*'参数'!$B$43*(1+'参数'!$B$39*P126))+'参数'!$B$22*(M126)))/'参数'!$B$44))+(((R126*(1+'参数'!$B$39*P126))^2/((R126*(1+'参数'!$B$39*P126))+'参数'!$B$22*(M126)))*(1+'参数'!$B$42*P126)/'参数'!$J$6+((R126*'参数'!$B$45*(1+'参数'!$B$39*P126))^2/((R126*'参数'!$B$45*(1+'参数'!$B$39*P126))+'参数'!$B$22*(M126)))/'参数'!$B$46)+((S126*(1+'参数'!$B$39*P126))^2/((S126*(1+'参数'!$B$39*P126))+'参数'!$B$22*(M126)))*(1+'参数'!$B$42*P126)/'参数'!$J$7)*(1+'参数'!$B$37*('参数'!$B$38-1))</x:f>
        <x:v>7391.463397738967</x:v>
      </x:c>
      <x:c r="X126" s="25" t="n">
        <x:f>('参数'!$B$26+'参数'!$B$27*(D126-1)/99)*'参数'!$K$27*AD126</x:f>
        <x:v>16.46666666666667</x:v>
      </x:c>
      <x:c r="Y126" s="25" t="n">
        <x:f>('参数'!$B$28+'参数'!$B$29*(D126-1)/99)*'参数'!$K$27*AD126*IF(AE126=1,'参数'!$B$51,1)</x:f>
        <x:v>43.888888888888886</x:v>
      </x:c>
      <x:c r="Z126" s="21" t="n">
        <x:f>MIN('参数'!$B$36,U126/(U126+'参数'!$B$35))</x:f>
        <x:v>0.1815251650750907</x:v>
      </x:c>
      <x:c r="AA126" s="18" t="n">
        <x:f>T126*'参数'!$B$30/('参数'!$B$32*'参数'!$B$33)/(1-Z126)*AC126</x:f>
        <x:v>514.6509428898489</x:v>
      </x:c>
      <x:c r="AB126" s="18" t="n">
        <x:f>T126*'参数'!$B$31/'参数'!$B$34/(1-Z126)*AC126</x:f>
        <x:v>1029.3018857796978</x:v>
      </x:c>
      <x:c r="AC126" s="15" t="n">
        <x:f>'参数'!$L$27*1</x:f>
        <x:v>1.05</x:v>
      </x:c>
      <x:c r="AD126" s="15" t="n">
        <x:f>1</x:f>
        <x:v>1</x:v>
      </x:c>
      <x:c r="AE126" s="18" t="n">
        <x:f>IF(MOD(B126,12)=0,1,0)</x:f>
        <x:v>0</x:v>
      </x:c>
    </x:row>
    <x:row r="127" ht="22" customHeight="1">
      <x:c r="A127" s="19" t="str">
        <x:v>困难</x:v>
      </x:c>
      <x:c r="B127" s="19" t="n">
        <x:v>2</x:v>
      </x:c>
      <x:c r="C127" s="19" t="n">
        <x:f>ROUNDUP(B127/12,0)</x:f>
        <x:v>1</x:v>
      </x:c>
      <x:c r="D127" s="19" t="n">
        <x:f>ROUND(MAX('参数'!$G$27,E127)+(IF(C127&lt;10,INDEX('参数'!$G$35:$P$35,1,MIN(10,C127+1)),'参数'!$H$27)-MAX('参数'!$G$27,E127))*MOD(B127-1,12)/11,0)</x:f>
        <x:v>50</x:v>
      </x:c>
      <x:c r="E127" s="19" t="n">
        <x:f>INDEX('参数'!$G$35:$P$35,1,C127)</x:f>
        <x:v>50</x:v>
      </x:c>
      <x:c r="F127" s="20" t="n">
        <x:f>'参数'!$I$27</x:f>
        <x:v>1.1</x:v>
      </x:c>
      <x:c r="G127" s="19" t="n">
        <x:f>ROUND(V127*X127/'参数'!$B$56,0)</x:f>
        <x:v>34345</x:v>
      </x:c>
      <x:c r="H127" s="19" t="n">
        <x:f>ROUND((AA127+SQRT(AA127^2+4*AA127*'参数'!$B$22*U127))/2,0)</x:f>
        <x:v>1055</x:v>
      </x:c>
      <x:c r="I127" s="19" t="n">
        <x:f>ROUND(Q127*'参数'!$B$23/'参数'!$B$22,0)</x:f>
        <x:v>285</x:v>
      </x:c>
      <x:c r="J127" s="19" t="n">
        <x:f>ROUND(G127*'参数'!$B$50,0)</x:f>
        <x:v>103035</x:v>
      </x:c>
      <x:c r="K127" s="19" t="n">
        <x:f>ROUND(W127*Y127,0)</x:f>
        <x:v>324403</x:v>
      </x:c>
      <x:c r="L127" s="19" t="n">
        <x:f>ROUND((AB127+SQRT(AB127^2+4*AB127*'参数'!$B$22*U127))/2,0)</x:f>
        <x:v>1701</x:v>
      </x:c>
      <x:c r="M127" s="19" t="n">
        <x:f>ROUND(I127*'参数'!$B$24,0)</x:f>
        <x:v>356</x:v>
      </x:c>
      <x:c r="N127" s="19" t="n">
        <x:f>'参数'!$B$9*'参数'!$B$10^(D127-1)</x:f>
        <x:v>2553.731661382774</x:v>
      </x:c>
      <x:c r="O127" s="19" t="n">
        <x:f>'参数'!$B$18*'参数'!$B$19^(MIN(E127,MAX(1,5*INT(D127/5)))-1)*F127*'参数'!$J$27*P127</x:f>
        <x:v>244.27981829993834</x:v>
      </x:c>
      <x:c r="P127" s="22" t="n">
        <x:f>MIN(1,(D127-1)/19)</x:f>
        <x:v>1</x:v>
      </x:c>
      <x:c r="Q127" s="19" t="n">
        <x:f>INDEX('角色成长'!$F$6:$F$105,D127)+O127*'参数'!$K$21</x:f>
        <x:v>1424.1974821548242</x:v>
      </x:c>
      <x:c r="R127" s="19" t="n">
        <x:f>INDEX('角色成长'!$I$6:$I$105,D127)+O127*'参数'!$K$21</x:f>
        <x:v>1220.1974821548242</x:v>
      </x:c>
      <x:c r="S127" s="19" t="n">
        <x:f>INDEX('角色成长'!$L$6:$L$105,D127)+O127*'参数'!$K$21</x:f>
        <x:v>1104.1974821548242</x:v>
      </x:c>
      <x:c r="T127" s="19" t="n">
        <x:f>(INDEX('角色成长'!$J$6:$J$105,D127)+O127*'参数'!$L$21)*(1+'参数'!$B$40*P127)</x:f>
        <x:v>16046.813162884495</x:v>
      </x:c>
      <x:c r="U127" s="19" t="n">
        <x:f>(INDEX('角色成长'!$K$6:$K$105,D127)+O127*'参数'!$M$21)*(1+'参数'!$B$41*P127)</x:f>
        <x:v>887.1386502273814</x:v>
      </x:c>
      <x:c r="V127" s="19" t="n">
        <x:f>(('参数'!$K$5*(((Q127*(1+'参数'!$B$39*P127))^2/((Q127*(1+'参数'!$B$39*P127))+'参数'!$B$22*(I127)))*(1+'参数'!$B$42*P127)/'参数'!$J$5+((Q127*'参数'!$B$43*(1+'参数'!$B$39*P127))^2/((Q127*'参数'!$B$43*(1+'参数'!$B$39*P127))+'参数'!$B$22*(I127)))/'参数'!$B$44))+(((R127*(1+'参数'!$B$39*P127))^2/((R127*(1+'参数'!$B$39*P127))+'参数'!$B$22*(I127)))*(1+'参数'!$B$42*P127)/'参数'!$J$6+((R127*'参数'!$B$45*(1+'参数'!$B$39*P127))^2/((R127*'参数'!$B$45*(1+'参数'!$B$39*P127))+'参数'!$B$22*(I127)))/'参数'!$B$46)+((S127*(1+'参数'!$B$39*P127))^2/((S127*(1+'参数'!$B$39*P127))+'参数'!$B$22*(I127)))*(1+'参数'!$B$42*P127)/'参数'!$J$7)*(1+'参数'!$B$37*('参数'!$B$38-1))*'参数'!$B$25</x:f>
        <x:v>9594.339353853593</x:v>
      </x:c>
      <x:c r="W127" s="19" t="n">
        <x:f>(('参数'!$K$5*(((Q127*(1+'参数'!$B$39*P127))^2/((Q127*(1+'参数'!$B$39*P127))+'参数'!$B$22*(M127)))*(1+'参数'!$B$42*P127)/'参数'!$J$5+((Q127*'参数'!$B$43*(1+'参数'!$B$39*P127))^2/((Q127*'参数'!$B$43*(1+'参数'!$B$39*P127))+'参数'!$B$22*(M127)))/'参数'!$B$44))+(((R127*(1+'参数'!$B$39*P127))^2/((R127*(1+'参数'!$B$39*P127))+'参数'!$B$22*(M127)))*(1+'参数'!$B$42*P127)/'参数'!$J$6+((R127*'参数'!$B$45*(1+'参数'!$B$39*P127))^2/((R127*'参数'!$B$45*(1+'参数'!$B$39*P127))+'参数'!$B$22*(M127)))/'参数'!$B$46)+((S127*(1+'参数'!$B$39*P127))^2/((S127*(1+'参数'!$B$39*P127))+'参数'!$B$22*(M127)))*(1+'参数'!$B$42*P127)/'参数'!$J$7)*(1+'参数'!$B$37*('参数'!$B$38-1))</x:f>
        <x:v>7391.463397738967</x:v>
      </x:c>
      <x:c r="X127" s="26" t="n">
        <x:f>('参数'!$B$26+'参数'!$B$27*(D127-1)/99)*'参数'!$K$27*AD127</x:f>
        <x:v>16.46666666666667</x:v>
      </x:c>
      <x:c r="Y127" s="26" t="n">
        <x:f>('参数'!$B$28+'参数'!$B$29*(D127-1)/99)*'参数'!$K$27*AD127*IF(AE127=1,'参数'!$B$51,1)</x:f>
        <x:v>43.888888888888886</x:v>
      </x:c>
      <x:c r="Z127" s="22" t="n">
        <x:f>MIN('参数'!$B$36,U127/(U127+'参数'!$B$35))</x:f>
        <x:v>0.1815251650750907</x:v>
      </x:c>
      <x:c r="AA127" s="19" t="n">
        <x:f>T127*'参数'!$B$30/('参数'!$B$32*'参数'!$B$33)/(1-Z127)*AC127</x:f>
        <x:v>514.6509428898489</x:v>
      </x:c>
      <x:c r="AB127" s="19" t="n">
        <x:f>T127*'参数'!$B$31/'参数'!$B$34/(1-Z127)*AC127</x:f>
        <x:v>1029.3018857796978</x:v>
      </x:c>
      <x:c r="AC127" s="20" t="n">
        <x:f>'参数'!$L$27*1</x:f>
        <x:v>1.05</x:v>
      </x:c>
      <x:c r="AD127" s="20" t="n">
        <x:f>1</x:f>
        <x:v>1</x:v>
      </x:c>
      <x:c r="AE127" s="19" t="n">
        <x:f>IF(MOD(B127,12)=0,1,0)</x:f>
        <x:v>0</x:v>
      </x:c>
    </x:row>
    <x:row r="128" ht="22" customHeight="1">
      <x:c r="A128" s="18" t="str">
        <x:v>困难</x:v>
      </x:c>
      <x:c r="B128" s="18" t="n">
        <x:v>3</x:v>
      </x:c>
      <x:c r="C128" s="18" t="n">
        <x:f>ROUNDUP(B128/12,0)</x:f>
        <x:v>1</x:v>
      </x:c>
      <x:c r="D128" s="18" t="n">
        <x:f>ROUND(MAX('参数'!$G$27,E128)+(IF(C128&lt;10,INDEX('参数'!$G$35:$P$35,1,MIN(10,C128+1)),'参数'!$H$27)-MAX('参数'!$G$27,E128))*MOD(B128-1,12)/11,0)</x:f>
        <x:v>51</x:v>
      </x:c>
      <x:c r="E128" s="18" t="n">
        <x:f>INDEX('参数'!$G$35:$P$35,1,C128)</x:f>
        <x:v>50</x:v>
      </x:c>
      <x:c r="F128" s="15" t="n">
        <x:f>'参数'!$I$27</x:f>
        <x:v>1.1</x:v>
      </x:c>
      <x:c r="G128" s="18" t="n">
        <x:f>ROUND(V128*X128/'参数'!$B$56,0)</x:f>
        <x:v>35079</x:v>
      </x:c>
      <x:c r="H128" s="18" t="n">
        <x:f>ROUND((AA128+SQRT(AA128^2+4*AA128*'参数'!$B$22*U128))/2,0)</x:f>
        <x:v>1079</x:v>
      </x:c>
      <x:c r="I128" s="18" t="n">
        <x:f>ROUND(Q128*'参数'!$B$23/'参数'!$B$22,0)</x:f>
        <x:v>290</x:v>
      </x:c>
      <x:c r="J128" s="18" t="n">
        <x:f>ROUND(G128*'参数'!$B$50,0)</x:f>
        <x:v>105237</x:v>
      </x:c>
      <x:c r="K128" s="18" t="n">
        <x:f>ROUND(W128*Y128,0)</x:f>
        <x:v>331540</x:v>
      </x:c>
      <x:c r="L128" s="18" t="n">
        <x:f>ROUND((AB128+SQRT(AB128^2+4*AB128*'参数'!$B$22*U128))/2,0)</x:f>
        <x:v>1739</x:v>
      </x:c>
      <x:c r="M128" s="18" t="n">
        <x:f>ROUND(I128*'参数'!$B$24,0)</x:f>
        <x:v>363</x:v>
      </x:c>
      <x:c r="N128" s="18" t="n">
        <x:f>'参数'!$B$9*'参数'!$B$10^(D128-1)</x:f>
        <x:v>2630.3436112242575</x:v>
      </x:c>
      <x:c r="O128" s="18" t="n">
        <x:f>'参数'!$B$18*'参数'!$B$19^(MIN(E128,MAX(1,5*INT(D128/5)))-1)*F128*'参数'!$J$27*P128</x:f>
        <x:v>244.27981829993834</x:v>
      </x:c>
      <x:c r="P128" s="21" t="n">
        <x:f>MIN(1,(D128-1)/19)</x:f>
        <x:v>1</x:v>
      </x:c>
      <x:c r="Q128" s="18" t="n">
        <x:f>INDEX('角色成长'!$F$6:$F$105,D128)+O128*'参数'!$K$21</x:f>
        <x:v>1450.1974821548242</x:v>
      </x:c>
      <x:c r="R128" s="18" t="n">
        <x:f>INDEX('角色成长'!$I$6:$I$105,D128)+O128*'参数'!$K$21</x:f>
        <x:v>1239.1974821548242</x:v>
      </x:c>
      <x:c r="S128" s="18" t="n">
        <x:f>INDEX('角色成长'!$L$6:$L$105,D128)+O128*'参数'!$K$21</x:f>
        <x:v>1118.1974821548242</x:v>
      </x:c>
      <x:c r="T128" s="18" t="n">
        <x:f>(INDEX('角色成长'!$J$6:$J$105,D128)+O128*'参数'!$L$21)*(1+'参数'!$B$40*P128)</x:f>
        <x:v>16409.813162884497</x:v>
      </x:c>
      <x:c r="U128" s="18" t="n">
        <x:f>(INDEX('角色成长'!$K$6:$K$105,D128)+O128*'参数'!$M$21)*(1+'参数'!$B$41*P128)</x:f>
        <x:v>901.4386502273813</x:v>
      </x:c>
      <x:c r="V128" s="18" t="n">
        <x:f>(('参数'!$K$5*(((Q128*(1+'参数'!$B$39*P128))^2/((Q128*(1+'参数'!$B$39*P128))+'参数'!$B$22*(I128)))*(1+'参数'!$B$42*P128)/'参数'!$J$5+((Q128*'参数'!$B$43*(1+'参数'!$B$39*P128))^2/((Q128*'参数'!$B$43*(1+'参数'!$B$39*P128))+'参数'!$B$22*(I128)))/'参数'!$B$44))+(((R128*(1+'参数'!$B$39*P128))^2/((R128*(1+'参数'!$B$39*P128))+'参数'!$B$22*(I128)))*(1+'参数'!$B$42*P128)/'参数'!$J$6+((R128*'参数'!$B$45*(1+'参数'!$B$39*P128))^2/((R128*'参数'!$B$45*(1+'参数'!$B$39*P128))+'参数'!$B$22*(I128)))/'参数'!$B$46)+((S128*(1+'参数'!$B$39*P128))^2/((S128*(1+'参数'!$B$39*P128))+'参数'!$B$22*(I128)))*(1+'参数'!$B$42*P128)/'参数'!$J$7)*(1+'参数'!$B$37*('参数'!$B$38-1))*'参数'!$B$25</x:f>
        <x:v>9759.784524247814</x:v>
      </x:c>
      <x:c r="W128" s="18" t="n">
        <x:f>(('参数'!$K$5*(((Q128*(1+'参数'!$B$39*P128))^2/((Q128*(1+'参数'!$B$39*P128))+'参数'!$B$22*(M128)))*(1+'参数'!$B$42*P128)/'参数'!$J$5+((Q128*'参数'!$B$43*(1+'参数'!$B$39*P128))^2/((Q128*'参数'!$B$43*(1+'参数'!$B$39*P128))+'参数'!$B$22*(M128)))/'参数'!$B$44))+(((R128*(1+'参数'!$B$39*P128))^2/((R128*(1+'参数'!$B$39*P128))+'参数'!$B$22*(M128)))*(1+'参数'!$B$42*P128)/'参数'!$J$6+((R128*'参数'!$B$45*(1+'参数'!$B$39*P128))^2/((R128*'参数'!$B$45*(1+'参数'!$B$39*P128))+'参数'!$B$22*(M128)))/'参数'!$B$46)+((S128*(1+'参数'!$B$39*P128))^2/((S128*(1+'参数'!$B$39*P128))+'参数'!$B$22*(M128)))*(1+'参数'!$B$42*P128)/'参数'!$J$7)*(1+'参数'!$B$37*('参数'!$B$38-1))</x:f>
        <x:v>7516.018258450681</x:v>
      </x:c>
      <x:c r="X128" s="25" t="n">
        <x:f>('参数'!$B$26+'参数'!$B$27*(D128-1)/99)*'参数'!$K$27*AD128</x:f>
        <x:v>16.533333333333335</x:v>
      </x:c>
      <x:c r="Y128" s="25" t="n">
        <x:f>('参数'!$B$28+'参数'!$B$29*(D128-1)/99)*'参数'!$K$27*AD128*IF(AE128=1,'参数'!$B$51,1)</x:f>
        <x:v>44.11111111111112</x:v>
      </x:c>
      <x:c r="Z128" s="21" t="n">
        <x:f>MIN('参数'!$B$36,U128/(U128+'参数'!$B$35))</x:f>
        <x:v>0.18391307421251982</x:v>
      </x:c>
      <x:c r="AA128" s="18" t="n">
        <x:f>T128*'参数'!$B$30/('参数'!$B$32*'参数'!$B$33)/(1-Z128)*AC128</x:f>
        <x:v>527.8329818971919</x:v>
      </x:c>
      <x:c r="AB128" s="18" t="n">
        <x:f>T128*'参数'!$B$31/'参数'!$B$34/(1-Z128)*AC128</x:f>
        <x:v>1055.665963794384</x:v>
      </x:c>
      <x:c r="AC128" s="15" t="n">
        <x:f>'参数'!$L$27*1</x:f>
        <x:v>1.05</x:v>
      </x:c>
      <x:c r="AD128" s="15" t="n">
        <x:f>1</x:f>
        <x:v>1</x:v>
      </x:c>
      <x:c r="AE128" s="18" t="n">
        <x:f>IF(MOD(B128,12)=0,1,0)</x:f>
        <x:v>0</x:v>
      </x:c>
    </x:row>
    <x:row r="129" ht="22" customHeight="1">
      <x:c r="A129" s="19" t="str">
        <x:v>困难</x:v>
      </x:c>
      <x:c r="B129" s="19" t="n">
        <x:v>4</x:v>
      </x:c>
      <x:c r="C129" s="19" t="n">
        <x:f>ROUNDUP(B129/12,0)</x:f>
        <x:v>1</x:v>
      </x:c>
      <x:c r="D129" s="19" t="n">
        <x:f>ROUND(MAX('参数'!$G$27,E129)+(IF(C129&lt;10,INDEX('参数'!$G$35:$P$35,1,MIN(10,C129+1)),'参数'!$H$27)-MAX('参数'!$G$27,E129))*MOD(B129-1,12)/11,0)</x:f>
        <x:v>51</x:v>
      </x:c>
      <x:c r="E129" s="19" t="n">
        <x:f>INDEX('参数'!$G$35:$P$35,1,C129)</x:f>
        <x:v>50</x:v>
      </x:c>
      <x:c r="F129" s="20" t="n">
        <x:f>'参数'!$I$27</x:f>
        <x:v>1.1</x:v>
      </x:c>
      <x:c r="G129" s="19" t="n">
        <x:f>ROUND(V129*X129/'参数'!$B$56,0)</x:f>
        <x:v>35079</x:v>
      </x:c>
      <x:c r="H129" s="19" t="n">
        <x:f>ROUND((AA129+SQRT(AA129^2+4*AA129*'参数'!$B$22*U129))/2,0)</x:f>
        <x:v>1079</x:v>
      </x:c>
      <x:c r="I129" s="19" t="n">
        <x:f>ROUND(Q129*'参数'!$B$23/'参数'!$B$22,0)</x:f>
        <x:v>290</x:v>
      </x:c>
      <x:c r="J129" s="19" t="n">
        <x:f>ROUND(G129*'参数'!$B$50,0)</x:f>
        <x:v>105237</x:v>
      </x:c>
      <x:c r="K129" s="19" t="n">
        <x:f>ROUND(W129*Y129,0)</x:f>
        <x:v>331540</x:v>
      </x:c>
      <x:c r="L129" s="19" t="n">
        <x:f>ROUND((AB129+SQRT(AB129^2+4*AB129*'参数'!$B$22*U129))/2,0)</x:f>
        <x:v>1739</x:v>
      </x:c>
      <x:c r="M129" s="19" t="n">
        <x:f>ROUND(I129*'参数'!$B$24,0)</x:f>
        <x:v>363</x:v>
      </x:c>
      <x:c r="N129" s="19" t="n">
        <x:f>'参数'!$B$9*'参数'!$B$10^(D129-1)</x:f>
        <x:v>2630.3436112242575</x:v>
      </x:c>
      <x:c r="O129" s="19" t="n">
        <x:f>'参数'!$B$18*'参数'!$B$19^(MIN(E129,MAX(1,5*INT(D129/5)))-1)*F129*'参数'!$J$27*P129</x:f>
        <x:v>244.27981829993834</x:v>
      </x:c>
      <x:c r="P129" s="22" t="n">
        <x:f>MIN(1,(D129-1)/19)</x:f>
        <x:v>1</x:v>
      </x:c>
      <x:c r="Q129" s="19" t="n">
        <x:f>INDEX('角色成长'!$F$6:$F$105,D129)+O129*'参数'!$K$21</x:f>
        <x:v>1450.1974821548242</x:v>
      </x:c>
      <x:c r="R129" s="19" t="n">
        <x:f>INDEX('角色成长'!$I$6:$I$105,D129)+O129*'参数'!$K$21</x:f>
        <x:v>1239.1974821548242</x:v>
      </x:c>
      <x:c r="S129" s="19" t="n">
        <x:f>INDEX('角色成长'!$L$6:$L$105,D129)+O129*'参数'!$K$21</x:f>
        <x:v>1118.1974821548242</x:v>
      </x:c>
      <x:c r="T129" s="19" t="n">
        <x:f>(INDEX('角色成长'!$J$6:$J$105,D129)+O129*'参数'!$L$21)*(1+'参数'!$B$40*P129)</x:f>
        <x:v>16409.813162884497</x:v>
      </x:c>
      <x:c r="U129" s="19" t="n">
        <x:f>(INDEX('角色成长'!$K$6:$K$105,D129)+O129*'参数'!$M$21)*(1+'参数'!$B$41*P129)</x:f>
        <x:v>901.4386502273813</x:v>
      </x:c>
      <x:c r="V129" s="19" t="n">
        <x:f>(('参数'!$K$5*(((Q129*(1+'参数'!$B$39*P129))^2/((Q129*(1+'参数'!$B$39*P129))+'参数'!$B$22*(I129)))*(1+'参数'!$B$42*P129)/'参数'!$J$5+((Q129*'参数'!$B$43*(1+'参数'!$B$39*P129))^2/((Q129*'参数'!$B$43*(1+'参数'!$B$39*P129))+'参数'!$B$22*(I129)))/'参数'!$B$44))+(((R129*(1+'参数'!$B$39*P129))^2/((R129*(1+'参数'!$B$39*P129))+'参数'!$B$22*(I129)))*(1+'参数'!$B$42*P129)/'参数'!$J$6+((R129*'参数'!$B$45*(1+'参数'!$B$39*P129))^2/((R129*'参数'!$B$45*(1+'参数'!$B$39*P129))+'参数'!$B$22*(I129)))/'参数'!$B$46)+((S129*(1+'参数'!$B$39*P129))^2/((S129*(1+'参数'!$B$39*P129))+'参数'!$B$22*(I129)))*(1+'参数'!$B$42*P129)/'参数'!$J$7)*(1+'参数'!$B$37*('参数'!$B$38-1))*'参数'!$B$25</x:f>
        <x:v>9759.784524247814</x:v>
      </x:c>
      <x:c r="W129" s="19" t="n">
        <x:f>(('参数'!$K$5*(((Q129*(1+'参数'!$B$39*P129))^2/((Q129*(1+'参数'!$B$39*P129))+'参数'!$B$22*(M129)))*(1+'参数'!$B$42*P129)/'参数'!$J$5+((Q129*'参数'!$B$43*(1+'参数'!$B$39*P129))^2/((Q129*'参数'!$B$43*(1+'参数'!$B$39*P129))+'参数'!$B$22*(M129)))/'参数'!$B$44))+(((R129*(1+'参数'!$B$39*P129))^2/((R129*(1+'参数'!$B$39*P129))+'参数'!$B$22*(M129)))*(1+'参数'!$B$42*P129)/'参数'!$J$6+((R129*'参数'!$B$45*(1+'参数'!$B$39*P129))^2/((R129*'参数'!$B$45*(1+'参数'!$B$39*P129))+'参数'!$B$22*(M129)))/'参数'!$B$46)+((S129*(1+'参数'!$B$39*P129))^2/((S129*(1+'参数'!$B$39*P129))+'参数'!$B$22*(M129)))*(1+'参数'!$B$42*P129)/'参数'!$J$7)*(1+'参数'!$B$37*('参数'!$B$38-1))</x:f>
        <x:v>7516.018258450681</x:v>
      </x:c>
      <x:c r="X129" s="26" t="n">
        <x:f>('参数'!$B$26+'参数'!$B$27*(D129-1)/99)*'参数'!$K$27*AD129</x:f>
        <x:v>16.533333333333335</x:v>
      </x:c>
      <x:c r="Y129" s="26" t="n">
        <x:f>('参数'!$B$28+'参数'!$B$29*(D129-1)/99)*'参数'!$K$27*AD129*IF(AE129=1,'参数'!$B$51,1)</x:f>
        <x:v>44.11111111111112</x:v>
      </x:c>
      <x:c r="Z129" s="22" t="n">
        <x:f>MIN('参数'!$B$36,U129/(U129+'参数'!$B$35))</x:f>
        <x:v>0.18391307421251982</x:v>
      </x:c>
      <x:c r="AA129" s="19" t="n">
        <x:f>T129*'参数'!$B$30/('参数'!$B$32*'参数'!$B$33)/(1-Z129)*AC129</x:f>
        <x:v>527.8329818971919</x:v>
      </x:c>
      <x:c r="AB129" s="19" t="n">
        <x:f>T129*'参数'!$B$31/'参数'!$B$34/(1-Z129)*AC129</x:f>
        <x:v>1055.665963794384</x:v>
      </x:c>
      <x:c r="AC129" s="20" t="n">
        <x:f>'参数'!$L$27*1</x:f>
        <x:v>1.05</x:v>
      </x:c>
      <x:c r="AD129" s="20" t="n">
        <x:f>1</x:f>
        <x:v>1</x:v>
      </x:c>
      <x:c r="AE129" s="19" t="n">
        <x:f>IF(MOD(B129,12)=0,1,0)</x:f>
        <x:v>0</x:v>
      </x:c>
    </x:row>
    <x:row r="130" ht="22" customHeight="1">
      <x:c r="A130" s="18" t="str">
        <x:v>困难</x:v>
      </x:c>
      <x:c r="B130" s="18" t="n">
        <x:v>5</x:v>
      </x:c>
      <x:c r="C130" s="18" t="n">
        <x:f>ROUNDUP(B130/12,0)</x:f>
        <x:v>1</x:v>
      </x:c>
      <x:c r="D130" s="18" t="n">
        <x:f>ROUND(MAX('参数'!$G$27,E130)+(IF(C130&lt;10,INDEX('参数'!$G$35:$P$35,1,MIN(10,C130+1)),'参数'!$H$27)-MAX('参数'!$G$27,E130))*MOD(B130-1,12)/11,0)</x:f>
        <x:v>52</x:v>
      </x:c>
      <x:c r="E130" s="18" t="n">
        <x:f>INDEX('参数'!$G$35:$P$35,1,C130)</x:f>
        <x:v>50</x:v>
      </x:c>
      <x:c r="F130" s="15" t="n">
        <x:f>'参数'!$I$27</x:f>
        <x:v>1.1</x:v>
      </x:c>
      <x:c r="G130" s="18" t="n">
        <x:f>ROUND(V130*X130/'参数'!$B$56,0)</x:f>
        <x:v>35821</x:v>
      </x:c>
      <x:c r="H130" s="18" t="n">
        <x:f>ROUND((AA130+SQRT(AA130^2+4*AA130*'参数'!$B$22*U130))/2,0)</x:f>
        <x:v>1104</x:v>
      </x:c>
      <x:c r="I130" s="18" t="n">
        <x:f>ROUND(Q130*'参数'!$B$23/'参数'!$B$22,0)</x:f>
        <x:v>295</x:v>
      </x:c>
      <x:c r="J130" s="18" t="n">
        <x:f>ROUND(G130*'参数'!$B$50,0)</x:f>
        <x:v>107463</x:v>
      </x:c>
      <x:c r="K130" s="18" t="n">
        <x:f>ROUND(W130*Y130,0)</x:f>
        <x:v>338937</x:v>
      </x:c>
      <x:c r="L130" s="18" t="n">
        <x:f>ROUND((AB130+SQRT(AB130^2+4*AB130*'参数'!$B$22*U130))/2,0)</x:f>
        <x:v>1781</x:v>
      </x:c>
      <x:c r="M130" s="18" t="n">
        <x:f>ROUND(I130*'参数'!$B$24,0)</x:f>
        <x:v>369</x:v>
      </x:c>
      <x:c r="N130" s="18" t="n">
        <x:f>'参数'!$B$9*'参数'!$B$10^(D130-1)</x:f>
        <x:v>2709.253919560985</x:v>
      </x:c>
      <x:c r="O130" s="18" t="n">
        <x:f>'参数'!$B$18*'参数'!$B$19^(MIN(E130,MAX(1,5*INT(D130/5)))-1)*F130*'参数'!$J$27*P130</x:f>
        <x:v>244.27981829993834</x:v>
      </x:c>
      <x:c r="P130" s="21" t="n">
        <x:f>MIN(1,(D130-1)/19)</x:f>
        <x:v>1</x:v>
      </x:c>
      <x:c r="Q130" s="18" t="n">
        <x:f>INDEX('角色成长'!$F$6:$F$105,D130)+O130*'参数'!$K$21</x:f>
        <x:v>1476.1974821548242</x:v>
      </x:c>
      <x:c r="R130" s="18" t="n">
        <x:f>INDEX('角色成长'!$I$6:$I$105,D130)+O130*'参数'!$K$21</x:f>
        <x:v>1258.1974821548242</x:v>
      </x:c>
      <x:c r="S130" s="18" t="n">
        <x:f>INDEX('角色成长'!$L$6:$L$105,D130)+O130*'参数'!$K$21</x:f>
        <x:v>1133.1974821548242</x:v>
      </x:c>
      <x:c r="T130" s="18" t="n">
        <x:f>(INDEX('角色成长'!$J$6:$J$105,D130)+O130*'参数'!$L$21)*(1+'参数'!$B$40*P130)</x:f>
        <x:v>16786.013162884497</x:v>
      </x:c>
      <x:c r="U130" s="18" t="n">
        <x:f>(INDEX('角色成长'!$K$6:$K$105,D130)+O130*'参数'!$M$21)*(1+'参数'!$B$41*P130)</x:f>
        <x:v>916.8386502273813</x:v>
      </x:c>
      <x:c r="V130" s="18" t="n">
        <x:f>(('参数'!$K$5*(((Q130*(1+'参数'!$B$39*P130))^2/((Q130*(1+'参数'!$B$39*P130))+'参数'!$B$22*(I130)))*(1+'参数'!$B$42*P130)/'参数'!$J$5+((Q130*'参数'!$B$43*(1+'参数'!$B$39*P130))^2/((Q130*'参数'!$B$43*(1+'参数'!$B$39*P130))+'参数'!$B$22*(I130)))/'参数'!$B$44))+(((R130*(1+'参数'!$B$39*P130))^2/((R130*(1+'参数'!$B$39*P130))+'参数'!$B$22*(I130)))*(1+'参数'!$B$42*P130)/'参数'!$J$6+((R130*'参数'!$B$45*(1+'参数'!$B$39*P130))^2/((R130*'参数'!$B$45*(1+'参数'!$B$39*P130))+'参数'!$B$22*(I130)))/'参数'!$B$46)+((S130*(1+'参数'!$B$39*P130))^2/((S130*(1+'参数'!$B$39*P130))+'参数'!$B$22*(I130)))*(1+'参数'!$B$42*P130)/'参数'!$J$7)*(1+'参数'!$B$37*('参数'!$B$38-1))*'参数'!$B$25</x:f>
        <x:v>9926.222617001964</x:v>
      </x:c>
      <x:c r="W130" s="18" t="n">
        <x:f>(('参数'!$K$5*(((Q130*(1+'参数'!$B$39*P130))^2/((Q130*(1+'参数'!$B$39*P130))+'参数'!$B$22*(M130)))*(1+'参数'!$B$42*P130)/'参数'!$J$5+((Q130*'参数'!$B$43*(1+'参数'!$B$39*P130))^2/((Q130*'参数'!$B$43*(1+'参数'!$B$39*P130))+'参数'!$B$22*(M130)))/'参数'!$B$44))+(((R130*(1+'参数'!$B$39*P130))^2/((R130*(1+'参数'!$B$39*P130))+'参数'!$B$22*(M130)))*(1+'参数'!$B$42*P130)/'参数'!$J$6+((R130*'参数'!$B$45*(1+'参数'!$B$39*P130))^2/((R130*'参数'!$B$45*(1+'参数'!$B$39*P130))+'参数'!$B$22*(M130)))/'参数'!$B$46)+((S130*(1+'参数'!$B$39*P130))^2/((S130*(1+'参数'!$B$39*P130))+'参数'!$B$22*(M130)))*(1+'参数'!$B$42*P130)/'参数'!$J$7)*(1+'参数'!$B$37*('参数'!$B$38-1))</x:f>
        <x:v>7645.189655505351</x:v>
      </x:c>
      <x:c r="X130" s="25" t="n">
        <x:f>('参数'!$B$26+'参数'!$B$27*(D130-1)/99)*'参数'!$K$27*AD130</x:f>
        <x:v>16.6</x:v>
      </x:c>
      <x:c r="Y130" s="25" t="n">
        <x:f>('参数'!$B$28+'参数'!$B$29*(D130-1)/99)*'参数'!$K$27*AD130*IF(AE130=1,'参数'!$B$51,1)</x:f>
        <x:v>44.333333333333336</x:v>
      </x:c>
      <x:c r="Z130" s="21" t="n">
        <x:f>MIN('参数'!$B$36,U130/(U130+'参数'!$B$35))</x:f>
        <x:v>0.18646913503760829</x:v>
      </x:c>
      <x:c r="AA130" s="18" t="n">
        <x:f>T130*'参数'!$B$30/('参数'!$B$32*'参数'!$B$33)/(1-Z130)*AC130</x:f>
        <x:v>541.6301513601304</x:v>
      </x:c>
      <x:c r="AB130" s="18" t="n">
        <x:f>T130*'参数'!$B$31/'参数'!$B$34/(1-Z130)*AC130</x:f>
        <x:v>1083.2603027202608</x:v>
      </x:c>
      <x:c r="AC130" s="15" t="n">
        <x:f>'参数'!$L$27*1</x:f>
        <x:v>1.05</x:v>
      </x:c>
      <x:c r="AD130" s="15" t="n">
        <x:f>1</x:f>
        <x:v>1</x:v>
      </x:c>
      <x:c r="AE130" s="18" t="n">
        <x:f>IF(MOD(B130,12)=0,1,0)</x:f>
        <x:v>0</x:v>
      </x:c>
    </x:row>
    <x:row r="131" ht="22" customHeight="1">
      <x:c r="A131" s="19" t="str">
        <x:v>困难</x:v>
      </x:c>
      <x:c r="B131" s="19" t="n">
        <x:v>6</x:v>
      </x:c>
      <x:c r="C131" s="19" t="n">
        <x:f>ROUNDUP(B131/12,0)</x:f>
        <x:v>1</x:v>
      </x:c>
      <x:c r="D131" s="19" t="n">
        <x:f>ROUND(MAX('参数'!$G$27,E131)+(IF(C131&lt;10,INDEX('参数'!$G$35:$P$35,1,MIN(10,C131+1)),'参数'!$H$27)-MAX('参数'!$G$27,E131))*MOD(B131-1,12)/11,0)</x:f>
        <x:v>52</x:v>
      </x:c>
      <x:c r="E131" s="19" t="n">
        <x:f>INDEX('参数'!$G$35:$P$35,1,C131)</x:f>
        <x:v>50</x:v>
      </x:c>
      <x:c r="F131" s="20" t="n">
        <x:f>'参数'!$I$27</x:f>
        <x:v>1.1</x:v>
      </x:c>
      <x:c r="G131" s="19" t="n">
        <x:f>ROUND(V131*X131/'参数'!$B$56,0)</x:f>
        <x:v>35821</x:v>
      </x:c>
      <x:c r="H131" s="19" t="n">
        <x:f>ROUND((AA131+SQRT(AA131^2+4*AA131*'参数'!$B$22*U131))/2,0)</x:f>
        <x:v>1104</x:v>
      </x:c>
      <x:c r="I131" s="19" t="n">
        <x:f>ROUND(Q131*'参数'!$B$23/'参数'!$B$22,0)</x:f>
        <x:v>295</x:v>
      </x:c>
      <x:c r="J131" s="19" t="n">
        <x:f>ROUND(G131*'参数'!$B$50,0)</x:f>
        <x:v>107463</x:v>
      </x:c>
      <x:c r="K131" s="19" t="n">
        <x:f>ROUND(W131*Y131,0)</x:f>
        <x:v>338937</x:v>
      </x:c>
      <x:c r="L131" s="19" t="n">
        <x:f>ROUND((AB131+SQRT(AB131^2+4*AB131*'参数'!$B$22*U131))/2,0)</x:f>
        <x:v>1781</x:v>
      </x:c>
      <x:c r="M131" s="19" t="n">
        <x:f>ROUND(I131*'参数'!$B$24,0)</x:f>
        <x:v>369</x:v>
      </x:c>
      <x:c r="N131" s="19" t="n">
        <x:f>'参数'!$B$9*'参数'!$B$10^(D131-1)</x:f>
        <x:v>2709.253919560985</x:v>
      </x:c>
      <x:c r="O131" s="19" t="n">
        <x:f>'参数'!$B$18*'参数'!$B$19^(MIN(E131,MAX(1,5*INT(D131/5)))-1)*F131*'参数'!$J$27*P131</x:f>
        <x:v>244.27981829993834</x:v>
      </x:c>
      <x:c r="P131" s="22" t="n">
        <x:f>MIN(1,(D131-1)/19)</x:f>
        <x:v>1</x:v>
      </x:c>
      <x:c r="Q131" s="19" t="n">
        <x:f>INDEX('角色成长'!$F$6:$F$105,D131)+O131*'参数'!$K$21</x:f>
        <x:v>1476.1974821548242</x:v>
      </x:c>
      <x:c r="R131" s="19" t="n">
        <x:f>INDEX('角色成长'!$I$6:$I$105,D131)+O131*'参数'!$K$21</x:f>
        <x:v>1258.1974821548242</x:v>
      </x:c>
      <x:c r="S131" s="19" t="n">
        <x:f>INDEX('角色成长'!$L$6:$L$105,D131)+O131*'参数'!$K$21</x:f>
        <x:v>1133.1974821548242</x:v>
      </x:c>
      <x:c r="T131" s="19" t="n">
        <x:f>(INDEX('角色成长'!$J$6:$J$105,D131)+O131*'参数'!$L$21)*(1+'参数'!$B$40*P131)</x:f>
        <x:v>16786.013162884497</x:v>
      </x:c>
      <x:c r="U131" s="19" t="n">
        <x:f>(INDEX('角色成长'!$K$6:$K$105,D131)+O131*'参数'!$M$21)*(1+'参数'!$B$41*P131)</x:f>
        <x:v>916.8386502273813</x:v>
      </x:c>
      <x:c r="V131" s="19" t="n">
        <x:f>(('参数'!$K$5*(((Q131*(1+'参数'!$B$39*P131))^2/((Q131*(1+'参数'!$B$39*P131))+'参数'!$B$22*(I131)))*(1+'参数'!$B$42*P131)/'参数'!$J$5+((Q131*'参数'!$B$43*(1+'参数'!$B$39*P131))^2/((Q131*'参数'!$B$43*(1+'参数'!$B$39*P131))+'参数'!$B$22*(I131)))/'参数'!$B$44))+(((R131*(1+'参数'!$B$39*P131))^2/((R131*(1+'参数'!$B$39*P131))+'参数'!$B$22*(I131)))*(1+'参数'!$B$42*P131)/'参数'!$J$6+((R131*'参数'!$B$45*(1+'参数'!$B$39*P131))^2/((R131*'参数'!$B$45*(1+'参数'!$B$39*P131))+'参数'!$B$22*(I131)))/'参数'!$B$46)+((S131*(1+'参数'!$B$39*P131))^2/((S131*(1+'参数'!$B$39*P131))+'参数'!$B$22*(I131)))*(1+'参数'!$B$42*P131)/'参数'!$J$7)*(1+'参数'!$B$37*('参数'!$B$38-1))*'参数'!$B$25</x:f>
        <x:v>9926.222617001964</x:v>
      </x:c>
      <x:c r="W131" s="19" t="n">
        <x:f>(('参数'!$K$5*(((Q131*(1+'参数'!$B$39*P131))^2/((Q131*(1+'参数'!$B$39*P131))+'参数'!$B$22*(M131)))*(1+'参数'!$B$42*P131)/'参数'!$J$5+((Q131*'参数'!$B$43*(1+'参数'!$B$39*P131))^2/((Q131*'参数'!$B$43*(1+'参数'!$B$39*P131))+'参数'!$B$22*(M131)))/'参数'!$B$44))+(((R131*(1+'参数'!$B$39*P131))^2/((R131*(1+'参数'!$B$39*P131))+'参数'!$B$22*(M131)))*(1+'参数'!$B$42*P131)/'参数'!$J$6+((R131*'参数'!$B$45*(1+'参数'!$B$39*P131))^2/((R131*'参数'!$B$45*(1+'参数'!$B$39*P131))+'参数'!$B$22*(M131)))/'参数'!$B$46)+((S131*(1+'参数'!$B$39*P131))^2/((S131*(1+'参数'!$B$39*P131))+'参数'!$B$22*(M131)))*(1+'参数'!$B$42*P131)/'参数'!$J$7)*(1+'参数'!$B$37*('参数'!$B$38-1))</x:f>
        <x:v>7645.189655505351</x:v>
      </x:c>
      <x:c r="X131" s="26" t="n">
        <x:f>('参数'!$B$26+'参数'!$B$27*(D131-1)/99)*'参数'!$K$27*AD131</x:f>
        <x:v>16.6</x:v>
      </x:c>
      <x:c r="Y131" s="26" t="n">
        <x:f>('参数'!$B$28+'参数'!$B$29*(D131-1)/99)*'参数'!$K$27*AD131*IF(AE131=1,'参数'!$B$51,1)</x:f>
        <x:v>44.333333333333336</x:v>
      </x:c>
      <x:c r="Z131" s="22" t="n">
        <x:f>MIN('参数'!$B$36,U131/(U131+'参数'!$B$35))</x:f>
        <x:v>0.18646913503760829</x:v>
      </x:c>
      <x:c r="AA131" s="19" t="n">
        <x:f>T131*'参数'!$B$30/('参数'!$B$32*'参数'!$B$33)/(1-Z131)*AC131</x:f>
        <x:v>541.6301513601304</x:v>
      </x:c>
      <x:c r="AB131" s="19" t="n">
        <x:f>T131*'参数'!$B$31/'参数'!$B$34/(1-Z131)*AC131</x:f>
        <x:v>1083.2603027202608</x:v>
      </x:c>
      <x:c r="AC131" s="20" t="n">
        <x:f>'参数'!$L$27*1</x:f>
        <x:v>1.05</x:v>
      </x:c>
      <x:c r="AD131" s="20" t="n">
        <x:f>1</x:f>
        <x:v>1</x:v>
      </x:c>
      <x:c r="AE131" s="19" t="n">
        <x:f>IF(MOD(B131,12)=0,1,0)</x:f>
        <x:v>0</x:v>
      </x:c>
    </x:row>
    <x:row r="132" ht="22" customHeight="1">
      <x:c r="A132" s="18" t="str">
        <x:v>困难</x:v>
      </x:c>
      <x:c r="B132" s="18" t="n">
        <x:v>7</x:v>
      </x:c>
      <x:c r="C132" s="18" t="n">
        <x:f>ROUNDUP(B132/12,0)</x:f>
        <x:v>1</x:v>
      </x:c>
      <x:c r="D132" s="18" t="n">
        <x:f>ROUND(MAX('参数'!$G$27,E132)+(IF(C132&lt;10,INDEX('参数'!$G$35:$P$35,1,MIN(10,C132+1)),'参数'!$H$27)-MAX('参数'!$G$27,E132))*MOD(B132-1,12)/11,0)</x:f>
        <x:v>53</x:v>
      </x:c>
      <x:c r="E132" s="18" t="n">
        <x:f>INDEX('参数'!$G$35:$P$35,1,C132)</x:f>
        <x:v>50</x:v>
      </x:c>
      <x:c r="F132" s="15" t="n">
        <x:f>'参数'!$I$27</x:f>
        <x:v>1.1</x:v>
      </x:c>
      <x:c r="G132" s="18" t="n">
        <x:f>ROUND(V132*X132/'参数'!$B$56,0)</x:f>
        <x:v>36596</x:v>
      </x:c>
      <x:c r="H132" s="18" t="n">
        <x:f>ROUND((AA132+SQRT(AA132^2+4*AA132*'参数'!$B$22*U132))/2,0)</x:f>
        <x:v>1129</x:v>
      </x:c>
      <x:c r="I132" s="18" t="n">
        <x:f>ROUND(Q132*'参数'!$B$23/'参数'!$B$22,0)</x:f>
        <x:v>301</x:v>
      </x:c>
      <x:c r="J132" s="18" t="n">
        <x:f>ROUND(G132*'参数'!$B$50,0)</x:f>
        <x:v>109788</x:v>
      </x:c>
      <x:c r="K132" s="18" t="n">
        <x:f>ROUND(W132*Y132,0)</x:f>
        <x:v>346679</x:v>
      </x:c>
      <x:c r="L132" s="18" t="n">
        <x:f>ROUND((AB132+SQRT(AB132^2+4*AB132*'参数'!$B$22*U132))/2,0)</x:f>
        <x:v>1823</x:v>
      </x:c>
      <x:c r="M132" s="18" t="n">
        <x:f>ROUND(I132*'参数'!$B$24,0)</x:f>
        <x:v>376</x:v>
      </x:c>
      <x:c r="N132" s="18" t="n">
        <x:f>'参数'!$B$9*'参数'!$B$10^(D132-1)</x:f>
        <x:v>2790.5315371478146</x:v>
      </x:c>
      <x:c r="O132" s="18" t="n">
        <x:f>'参数'!$B$18*'参数'!$B$19^(MIN(E132,MAX(1,5*INT(D132/5)))-1)*F132*'参数'!$J$27*P132</x:f>
        <x:v>244.27981829993834</x:v>
      </x:c>
      <x:c r="P132" s="21" t="n">
        <x:f>MIN(1,(D132-1)/19)</x:f>
        <x:v>1</x:v>
      </x:c>
      <x:c r="Q132" s="18" t="n">
        <x:f>INDEX('角色成长'!$F$6:$F$105,D132)+O132*'参数'!$K$21</x:f>
        <x:v>1504.1974821548242</x:v>
      </x:c>
      <x:c r="R132" s="18" t="n">
        <x:f>INDEX('角色成长'!$I$6:$I$105,D132)+O132*'参数'!$K$21</x:f>
        <x:v>1278.1974821548242</x:v>
      </x:c>
      <x:c r="S132" s="18" t="n">
        <x:f>INDEX('角色成长'!$L$6:$L$105,D132)+O132*'参数'!$K$21</x:f>
        <x:v>1148.1974821548242</x:v>
      </x:c>
      <x:c r="T132" s="18" t="n">
        <x:f>(INDEX('角色成长'!$J$6:$J$105,D132)+O132*'参数'!$L$21)*(1+'参数'!$B$40*P132)</x:f>
        <x:v>17175.413162884495</x:v>
      </x:c>
      <x:c r="U132" s="18" t="n">
        <x:f>(INDEX('角色成长'!$K$6:$K$105,D132)+O132*'参数'!$M$21)*(1+'参数'!$B$41*P132)</x:f>
        <x:v>932.2386502273814</x:v>
      </x:c>
      <x:c r="V132" s="18" t="n">
        <x:f>(('参数'!$K$5*(((Q132*(1+'参数'!$B$39*P132))^2/((Q132*(1+'参数'!$B$39*P132))+'参数'!$B$22*(I132)))*(1+'参数'!$B$42*P132)/'参数'!$J$5+((Q132*'参数'!$B$43*(1+'参数'!$B$39*P132))^2/((Q132*'参数'!$B$43*(1+'参数'!$B$39*P132))+'参数'!$B$22*(I132)))/'参数'!$B$44))+(((R132*(1+'参数'!$B$39*P132))^2/((R132*(1+'参数'!$B$39*P132))+'参数'!$B$22*(I132)))*(1+'参数'!$B$42*P132)/'参数'!$J$6+((R132*'参数'!$B$45*(1+'参数'!$B$39*P132))^2/((R132*'参数'!$B$45*(1+'参数'!$B$39*P132))+'参数'!$B$22*(I132)))/'参数'!$B$46)+((S132*(1+'参数'!$B$39*P132))^2/((S132*(1+'参数'!$B$39*P132))+'参数'!$B$22*(I132)))*(1+'参数'!$B$42*P132)/'参数'!$J$7)*(1+'参数'!$B$37*('参数'!$B$38-1))*'参数'!$B$25</x:f>
        <x:v>10100.463572950486</x:v>
      </x:c>
      <x:c r="W132" s="18" t="n">
        <x:f>(('参数'!$K$5*(((Q132*(1+'参数'!$B$39*P132))^2/((Q132*(1+'参数'!$B$39*P132))+'参数'!$B$22*(M132)))*(1+'参数'!$B$42*P132)/'参数'!$J$5+((Q132*'参数'!$B$43*(1+'参数'!$B$39*P132))^2/((Q132*'参数'!$B$43*(1+'参数'!$B$39*P132))+'参数'!$B$22*(M132)))/'参数'!$B$44))+(((R132*(1+'参数'!$B$39*P132))^2/((R132*(1+'参数'!$B$39*P132))+'参数'!$B$22*(M132)))*(1+'参数'!$B$42*P132)/'参数'!$J$6+((R132*'参数'!$B$45*(1+'参数'!$B$39*P132))^2/((R132*'参数'!$B$45*(1+'参数'!$B$39*P132))+'参数'!$B$22*(M132)))/'参数'!$B$46)+((S132*(1+'参数'!$B$39*P132))^2/((S132*(1+'参数'!$B$39*P132))+'参数'!$B$22*(M132)))*(1+'参数'!$B$42*P132)/'参数'!$J$7)*(1+'参数'!$B$37*('参数'!$B$38-1))</x:f>
        <x:v>7780.821103041789</x:v>
      </x:c>
      <x:c r="X132" s="25" t="n">
        <x:f>('参数'!$B$26+'参数'!$B$27*(D132-1)/99)*'参数'!$K$27*AD132</x:f>
        <x:v>16.666666666666668</x:v>
      </x:c>
      <x:c r="Y132" s="25" t="n">
        <x:f>('参数'!$B$28+'参数'!$B$29*(D132-1)/99)*'参数'!$K$27*AD132*IF(AE132=1,'参数'!$B$51,1)</x:f>
        <x:v>44.55555555555556</x:v>
      </x:c>
      <x:c r="Z132" s="21" t="n">
        <x:f>MIN('参数'!$B$36,U132/(U132+'参数'!$B$35))</x:f>
        <x:v>0.18900923421140708</x:v>
      </x:c>
      <x:c r="AA132" s="18" t="n">
        <x:f>T132*'参数'!$B$30/('参数'!$B$32*'参数'!$B$33)/(1-Z132)*AC132</x:f>
        <x:v>555.930615421145</x:v>
      </x:c>
      <x:c r="AB132" s="18" t="n">
        <x:f>T132*'参数'!$B$31/'参数'!$B$34/(1-Z132)*AC132</x:f>
        <x:v>1111.8612308422898</x:v>
      </x:c>
      <x:c r="AC132" s="15" t="n">
        <x:f>'参数'!$L$27*1</x:f>
        <x:v>1.05</x:v>
      </x:c>
      <x:c r="AD132" s="15" t="n">
        <x:f>1</x:f>
        <x:v>1</x:v>
      </x:c>
      <x:c r="AE132" s="18" t="n">
        <x:f>IF(MOD(B132,12)=0,1,0)</x:f>
        <x:v>0</x:v>
      </x:c>
    </x:row>
    <x:row r="133" ht="22" customHeight="1">
      <x:c r="A133" s="19" t="str">
        <x:v>困难</x:v>
      </x:c>
      <x:c r="B133" s="19" t="n">
        <x:v>8</x:v>
      </x:c>
      <x:c r="C133" s="19" t="n">
        <x:f>ROUNDUP(B133/12,0)</x:f>
        <x:v>1</x:v>
      </x:c>
      <x:c r="D133" s="19" t="n">
        <x:f>ROUND(MAX('参数'!$G$27,E133)+(IF(C133&lt;10,INDEX('参数'!$G$35:$P$35,1,MIN(10,C133+1)),'参数'!$H$27)-MAX('参数'!$G$27,E133))*MOD(B133-1,12)/11,0)</x:f>
        <x:v>53</x:v>
      </x:c>
      <x:c r="E133" s="19" t="n">
        <x:f>INDEX('参数'!$G$35:$P$35,1,C133)</x:f>
        <x:v>50</x:v>
      </x:c>
      <x:c r="F133" s="20" t="n">
        <x:f>'参数'!$I$27</x:f>
        <x:v>1.1</x:v>
      </x:c>
      <x:c r="G133" s="19" t="n">
        <x:f>ROUND(V133*X133/'参数'!$B$56,0)</x:f>
        <x:v>36596</x:v>
      </x:c>
      <x:c r="H133" s="19" t="n">
        <x:f>ROUND((AA133+SQRT(AA133^2+4*AA133*'参数'!$B$22*U133))/2,0)</x:f>
        <x:v>1129</x:v>
      </x:c>
      <x:c r="I133" s="19" t="n">
        <x:f>ROUND(Q133*'参数'!$B$23/'参数'!$B$22,0)</x:f>
        <x:v>301</x:v>
      </x:c>
      <x:c r="J133" s="19" t="n">
        <x:f>ROUND(G133*'参数'!$B$50,0)</x:f>
        <x:v>109788</x:v>
      </x:c>
      <x:c r="K133" s="19" t="n">
        <x:f>ROUND(W133*Y133,0)</x:f>
        <x:v>346679</x:v>
      </x:c>
      <x:c r="L133" s="19" t="n">
        <x:f>ROUND((AB133+SQRT(AB133^2+4*AB133*'参数'!$B$22*U133))/2,0)</x:f>
        <x:v>1823</x:v>
      </x:c>
      <x:c r="M133" s="19" t="n">
        <x:f>ROUND(I133*'参数'!$B$24,0)</x:f>
        <x:v>376</x:v>
      </x:c>
      <x:c r="N133" s="19" t="n">
        <x:f>'参数'!$B$9*'参数'!$B$10^(D133-1)</x:f>
        <x:v>2790.5315371478146</x:v>
      </x:c>
      <x:c r="O133" s="19" t="n">
        <x:f>'参数'!$B$18*'参数'!$B$19^(MIN(E133,MAX(1,5*INT(D133/5)))-1)*F133*'参数'!$J$27*P133</x:f>
        <x:v>244.27981829993834</x:v>
      </x:c>
      <x:c r="P133" s="22" t="n">
        <x:f>MIN(1,(D133-1)/19)</x:f>
        <x:v>1</x:v>
      </x:c>
      <x:c r="Q133" s="19" t="n">
        <x:f>INDEX('角色成长'!$F$6:$F$105,D133)+O133*'参数'!$K$21</x:f>
        <x:v>1504.1974821548242</x:v>
      </x:c>
      <x:c r="R133" s="19" t="n">
        <x:f>INDEX('角色成长'!$I$6:$I$105,D133)+O133*'参数'!$K$21</x:f>
        <x:v>1278.1974821548242</x:v>
      </x:c>
      <x:c r="S133" s="19" t="n">
        <x:f>INDEX('角色成长'!$L$6:$L$105,D133)+O133*'参数'!$K$21</x:f>
        <x:v>1148.1974821548242</x:v>
      </x:c>
      <x:c r="T133" s="19" t="n">
        <x:f>(INDEX('角色成长'!$J$6:$J$105,D133)+O133*'参数'!$L$21)*(1+'参数'!$B$40*P133)</x:f>
        <x:v>17175.413162884495</x:v>
      </x:c>
      <x:c r="U133" s="19" t="n">
        <x:f>(INDEX('角色成长'!$K$6:$K$105,D133)+O133*'参数'!$M$21)*(1+'参数'!$B$41*P133)</x:f>
        <x:v>932.2386502273814</x:v>
      </x:c>
      <x:c r="V133" s="19" t="n">
        <x:f>(('参数'!$K$5*(((Q133*(1+'参数'!$B$39*P133))^2/((Q133*(1+'参数'!$B$39*P133))+'参数'!$B$22*(I133)))*(1+'参数'!$B$42*P133)/'参数'!$J$5+((Q133*'参数'!$B$43*(1+'参数'!$B$39*P133))^2/((Q133*'参数'!$B$43*(1+'参数'!$B$39*P133))+'参数'!$B$22*(I133)))/'参数'!$B$44))+(((R133*(1+'参数'!$B$39*P133))^2/((R133*(1+'参数'!$B$39*P133))+'参数'!$B$22*(I133)))*(1+'参数'!$B$42*P133)/'参数'!$J$6+((R133*'参数'!$B$45*(1+'参数'!$B$39*P133))^2/((R133*'参数'!$B$45*(1+'参数'!$B$39*P133))+'参数'!$B$22*(I133)))/'参数'!$B$46)+((S133*(1+'参数'!$B$39*P133))^2/((S133*(1+'参数'!$B$39*P133))+'参数'!$B$22*(I133)))*(1+'参数'!$B$42*P133)/'参数'!$J$7)*(1+'参数'!$B$37*('参数'!$B$38-1))*'参数'!$B$25</x:f>
        <x:v>10100.463572950486</x:v>
      </x:c>
      <x:c r="W133" s="19" t="n">
        <x:f>(('参数'!$K$5*(((Q133*(1+'参数'!$B$39*P133))^2/((Q133*(1+'参数'!$B$39*P133))+'参数'!$B$22*(M133)))*(1+'参数'!$B$42*P133)/'参数'!$J$5+((Q133*'参数'!$B$43*(1+'参数'!$B$39*P133))^2/((Q133*'参数'!$B$43*(1+'参数'!$B$39*P133))+'参数'!$B$22*(M133)))/'参数'!$B$44))+(((R133*(1+'参数'!$B$39*P133))^2/((R133*(1+'参数'!$B$39*P133))+'参数'!$B$22*(M133)))*(1+'参数'!$B$42*P133)/'参数'!$J$6+((R133*'参数'!$B$45*(1+'参数'!$B$39*P133))^2/((R133*'参数'!$B$45*(1+'参数'!$B$39*P133))+'参数'!$B$22*(M133)))/'参数'!$B$46)+((S133*(1+'参数'!$B$39*P133))^2/((S133*(1+'参数'!$B$39*P133))+'参数'!$B$22*(M133)))*(1+'参数'!$B$42*P133)/'参数'!$J$7)*(1+'参数'!$B$37*('参数'!$B$38-1))</x:f>
        <x:v>7780.821103041789</x:v>
      </x:c>
      <x:c r="X133" s="26" t="n">
        <x:f>('参数'!$B$26+'参数'!$B$27*(D133-1)/99)*'参数'!$K$27*AD133</x:f>
        <x:v>16.666666666666668</x:v>
      </x:c>
      <x:c r="Y133" s="26" t="n">
        <x:f>('参数'!$B$28+'参数'!$B$29*(D133-1)/99)*'参数'!$K$27*AD133*IF(AE133=1,'参数'!$B$51,1)</x:f>
        <x:v>44.55555555555556</x:v>
      </x:c>
      <x:c r="Z133" s="22" t="n">
        <x:f>MIN('参数'!$B$36,U133/(U133+'参数'!$B$35))</x:f>
        <x:v>0.18900923421140708</x:v>
      </x:c>
      <x:c r="AA133" s="19" t="n">
        <x:f>T133*'参数'!$B$30/('参数'!$B$32*'参数'!$B$33)/(1-Z133)*AC133</x:f>
        <x:v>555.930615421145</x:v>
      </x:c>
      <x:c r="AB133" s="19" t="n">
        <x:f>T133*'参数'!$B$31/'参数'!$B$34/(1-Z133)*AC133</x:f>
        <x:v>1111.8612308422898</x:v>
      </x:c>
      <x:c r="AC133" s="20" t="n">
        <x:f>'参数'!$L$27*1</x:f>
        <x:v>1.05</x:v>
      </x:c>
      <x:c r="AD133" s="20" t="n">
        <x:f>1</x:f>
        <x:v>1</x:v>
      </x:c>
      <x:c r="AE133" s="19" t="n">
        <x:f>IF(MOD(B133,12)=0,1,0)</x:f>
        <x:v>0</x:v>
      </x:c>
    </x:row>
    <x:row r="134" ht="22" customHeight="1">
      <x:c r="A134" s="18" t="str">
        <x:v>困难</x:v>
      </x:c>
      <x:c r="B134" s="18" t="n">
        <x:v>9</x:v>
      </x:c>
      <x:c r="C134" s="18" t="n">
        <x:f>ROUNDUP(B134/12,0)</x:f>
        <x:v>1</x:v>
      </x:c>
      <x:c r="D134" s="18" t="n">
        <x:f>ROUND(MAX('参数'!$G$27,E134)+(IF(C134&lt;10,INDEX('参数'!$G$35:$P$35,1,MIN(10,C134+1)),'参数'!$H$27)-MAX('参数'!$G$27,E134))*MOD(B134-1,12)/11,0)</x:f>
        <x:v>54</x:v>
      </x:c>
      <x:c r="E134" s="18" t="n">
        <x:f>INDEX('参数'!$G$35:$P$35,1,C134)</x:f>
        <x:v>50</x:v>
      </x:c>
      <x:c r="F134" s="15" t="n">
        <x:f>'参数'!$I$27</x:f>
        <x:v>1.1</x:v>
      </x:c>
      <x:c r="G134" s="18" t="n">
        <x:f>ROUND(V134*X134/'参数'!$B$56,0)</x:f>
        <x:v>37399</x:v>
      </x:c>
      <x:c r="H134" s="18" t="n">
        <x:f>ROUND((AA134+SQRT(AA134^2+4*AA134*'参数'!$B$22*U134))/2,0)</x:f>
        <x:v>1156</x:v>
      </x:c>
      <x:c r="I134" s="18" t="n">
        <x:f>ROUND(Q134*'参数'!$B$23/'参数'!$B$22,0)</x:f>
        <x:v>306</x:v>
      </x:c>
      <x:c r="J134" s="18" t="n">
        <x:f>ROUND(G134*'参数'!$B$50,0)</x:f>
        <x:v>112197</x:v>
      </x:c>
      <x:c r="K134" s="18" t="n">
        <x:f>ROUND(W134*Y134,0)</x:f>
        <x:v>354516</x:v>
      </x:c>
      <x:c r="L134" s="18" t="n">
        <x:f>ROUND((AB134+SQRT(AB134^2+4*AB134*'参数'!$B$22*U134))/2,0)</x:f>
        <x:v>1867</x:v>
      </x:c>
      <x:c r="M134" s="18" t="n">
        <x:f>ROUND(I134*'参数'!$B$24,0)</x:f>
        <x:v>383</x:v>
      </x:c>
      <x:c r="N134" s="18" t="n">
        <x:f>'参数'!$B$9*'参数'!$B$10^(D134-1)</x:f>
        <x:v>2874.2474832622493</x:v>
      </x:c>
      <x:c r="O134" s="18" t="n">
        <x:f>'参数'!$B$18*'参数'!$B$19^(MIN(E134,MAX(1,5*INT(D134/5)))-1)*F134*'参数'!$J$27*P134</x:f>
        <x:v>244.27981829993834</x:v>
      </x:c>
      <x:c r="P134" s="21" t="n">
        <x:f>MIN(1,(D134-1)/19)</x:f>
        <x:v>1</x:v>
      </x:c>
      <x:c r="Q134" s="18" t="n">
        <x:f>INDEX('角色成长'!$F$6:$F$105,D134)+O134*'参数'!$K$21</x:f>
        <x:v>1532.1974821548242</x:v>
      </x:c>
      <x:c r="R134" s="18" t="n">
        <x:f>INDEX('角色成长'!$I$6:$I$105,D134)+O134*'参数'!$K$21</x:f>
        <x:v>1298.1974821548242</x:v>
      </x:c>
      <x:c r="S134" s="18" t="n">
        <x:f>INDEX('角色成长'!$L$6:$L$105,D134)+O134*'参数'!$K$21</x:f>
        <x:v>1164.1974821548242</x:v>
      </x:c>
      <x:c r="T134" s="18" t="n">
        <x:f>(INDEX('角色成长'!$J$6:$J$105,D134)+O134*'参数'!$L$21)*(1+'参数'!$B$40*P134)</x:f>
        <x:v>17579.113162884496</x:v>
      </x:c>
      <x:c r="U134" s="18" t="n">
        <x:f>(INDEX('角色成长'!$K$6:$K$105,D134)+O134*'参数'!$M$21)*(1+'参数'!$B$41*P134)</x:f>
        <x:v>948.7386502273814</x:v>
      </x:c>
      <x:c r="V134" s="18" t="n">
        <x:f>(('参数'!$K$5*(((Q134*(1+'参数'!$B$39*P134))^2/((Q134*(1+'参数'!$B$39*P134))+'参数'!$B$22*(I134)))*(1+'参数'!$B$42*P134)/'参数'!$J$5+((Q134*'参数'!$B$43*(1+'参数'!$B$39*P134))^2/((Q134*'参数'!$B$43*(1+'参数'!$B$39*P134))+'参数'!$B$22*(I134)))/'参数'!$B$44))+(((R134*(1+'参数'!$B$39*P134))^2/((R134*(1+'参数'!$B$39*P134))+'参数'!$B$22*(I134)))*(1+'参数'!$B$42*P134)/'参数'!$J$6+((R134*'参数'!$B$45*(1+'参数'!$B$39*P134))^2/((R134*'参数'!$B$45*(1+'参数'!$B$39*P134))+'参数'!$B$22*(I134)))/'参数'!$B$46)+((S134*(1+'参数'!$B$39*P134))^2/((S134*(1+'参数'!$B$39*P134))+'参数'!$B$22*(I134)))*(1+'参数'!$B$42*P134)/'参数'!$J$7)*(1+'参数'!$B$37*('参数'!$B$38-1))*'参数'!$B$25</x:f>
        <x:v>10280.901454112753</x:v>
      </x:c>
      <x:c r="W134" s="18" t="n">
        <x:f>(('参数'!$K$5*(((Q134*(1+'参数'!$B$39*P134))^2/((Q134*(1+'参数'!$B$39*P134))+'参数'!$B$22*(M134)))*(1+'参数'!$B$42*P134)/'参数'!$J$5+((Q134*'参数'!$B$43*(1+'参数'!$B$39*P134))^2/((Q134*'参数'!$B$43*(1+'参数'!$B$39*P134))+'参数'!$B$22*(M134)))/'参数'!$B$44))+(((R134*(1+'参数'!$B$39*P134))^2/((R134*(1+'参数'!$B$39*P134))+'参数'!$B$22*(M134)))*(1+'参数'!$B$42*P134)/'参数'!$J$6+((R134*'参数'!$B$45*(1+'参数'!$B$39*P134))^2/((R134*'参数'!$B$45*(1+'参数'!$B$39*P134))+'参数'!$B$22*(M134)))/'参数'!$B$46)+((S134*(1+'参数'!$B$39*P134))^2/((S134*(1+'参数'!$B$39*P134))+'参数'!$B$22*(M134)))*(1+'参数'!$B$42*P134)/'参数'!$J$7)*(1+'参数'!$B$37*('参数'!$B$38-1))</x:f>
        <x:v>7917.232545367269</x:v>
      </x:c>
      <x:c r="X134" s="25" t="n">
        <x:f>('参数'!$B$26+'参数'!$B$27*(D134-1)/99)*'参数'!$K$27*AD134</x:f>
        <x:v>16.733333333333334</x:v>
      </x:c>
      <x:c r="Y134" s="25" t="n">
        <x:f>('参数'!$B$28+'参数'!$B$29*(D134-1)/99)*'参数'!$K$27*AD134*IF(AE134=1,'参数'!$B$51,1)</x:f>
        <x:v>44.77777777777778</x:v>
      </x:c>
      <x:c r="Z134" s="21" t="n">
        <x:f>MIN('参数'!$B$36,U134/(U134+'参数'!$B$35))</x:f>
        <x:v>0.19171322579012925</x:v>
      </x:c>
      <x:c r="AA134" s="18" t="n">
        <x:f>T134*'参数'!$B$30/('参数'!$B$32*'参数'!$B$33)/(1-Z134)*AC134</x:f>
        <x:v>570.9009911448862</x:v>
      </x:c>
      <x:c r="AB134" s="18" t="n">
        <x:f>T134*'参数'!$B$31/'参数'!$B$34/(1-Z134)*AC134</x:f>
        <x:v>1141.8019822897725</x:v>
      </x:c>
      <x:c r="AC134" s="15" t="n">
        <x:f>'参数'!$L$27*1</x:f>
        <x:v>1.05</x:v>
      </x:c>
      <x:c r="AD134" s="15" t="n">
        <x:f>1</x:f>
        <x:v>1</x:v>
      </x:c>
      <x:c r="AE134" s="18" t="n">
        <x:f>IF(MOD(B134,12)=0,1,0)</x:f>
        <x:v>0</x:v>
      </x:c>
    </x:row>
    <x:row r="135" ht="22" customHeight="1">
      <x:c r="A135" s="19" t="str">
        <x:v>困难</x:v>
      </x:c>
      <x:c r="B135" s="19" t="n">
        <x:v>10</x:v>
      </x:c>
      <x:c r="C135" s="19" t="n">
        <x:f>ROUNDUP(B135/12,0)</x:f>
        <x:v>1</x:v>
      </x:c>
      <x:c r="D135" s="19" t="n">
        <x:f>ROUND(MAX('参数'!$G$27,E135)+(IF(C135&lt;10,INDEX('参数'!$G$35:$P$35,1,MIN(10,C135+1)),'参数'!$H$27)-MAX('参数'!$G$27,E135))*MOD(B135-1,12)/11,0)</x:f>
        <x:v>54</x:v>
      </x:c>
      <x:c r="E135" s="19" t="n">
        <x:f>INDEX('参数'!$G$35:$P$35,1,C135)</x:f>
        <x:v>50</x:v>
      </x:c>
      <x:c r="F135" s="20" t="n">
        <x:f>'参数'!$I$27</x:f>
        <x:v>1.1</x:v>
      </x:c>
      <x:c r="G135" s="19" t="n">
        <x:f>ROUND(V135*X135/'参数'!$B$56,0)</x:f>
        <x:v>37399</x:v>
      </x:c>
      <x:c r="H135" s="19" t="n">
        <x:f>ROUND((AA135+SQRT(AA135^2+4*AA135*'参数'!$B$22*U135))/2,0)</x:f>
        <x:v>1156</x:v>
      </x:c>
      <x:c r="I135" s="19" t="n">
        <x:f>ROUND(Q135*'参数'!$B$23/'参数'!$B$22,0)</x:f>
        <x:v>306</x:v>
      </x:c>
      <x:c r="J135" s="19" t="n">
        <x:f>ROUND(G135*'参数'!$B$50,0)</x:f>
        <x:v>112197</x:v>
      </x:c>
      <x:c r="K135" s="19" t="n">
        <x:f>ROUND(W135*Y135,0)</x:f>
        <x:v>354516</x:v>
      </x:c>
      <x:c r="L135" s="19" t="n">
        <x:f>ROUND((AB135+SQRT(AB135^2+4*AB135*'参数'!$B$22*U135))/2,0)</x:f>
        <x:v>1867</x:v>
      </x:c>
      <x:c r="M135" s="19" t="n">
        <x:f>ROUND(I135*'参数'!$B$24,0)</x:f>
        <x:v>383</x:v>
      </x:c>
      <x:c r="N135" s="19" t="n">
        <x:f>'参数'!$B$9*'参数'!$B$10^(D135-1)</x:f>
        <x:v>2874.2474832622493</x:v>
      </x:c>
      <x:c r="O135" s="19" t="n">
        <x:f>'参数'!$B$18*'参数'!$B$19^(MIN(E135,MAX(1,5*INT(D135/5)))-1)*F135*'参数'!$J$27*P135</x:f>
        <x:v>244.27981829993834</x:v>
      </x:c>
      <x:c r="P135" s="22" t="n">
        <x:f>MIN(1,(D135-1)/19)</x:f>
        <x:v>1</x:v>
      </x:c>
      <x:c r="Q135" s="19" t="n">
        <x:f>INDEX('角色成长'!$F$6:$F$105,D135)+O135*'参数'!$K$21</x:f>
        <x:v>1532.1974821548242</x:v>
      </x:c>
      <x:c r="R135" s="19" t="n">
        <x:f>INDEX('角色成长'!$I$6:$I$105,D135)+O135*'参数'!$K$21</x:f>
        <x:v>1298.1974821548242</x:v>
      </x:c>
      <x:c r="S135" s="19" t="n">
        <x:f>INDEX('角色成长'!$L$6:$L$105,D135)+O135*'参数'!$K$21</x:f>
        <x:v>1164.1974821548242</x:v>
      </x:c>
      <x:c r="T135" s="19" t="n">
        <x:f>(INDEX('角色成长'!$J$6:$J$105,D135)+O135*'参数'!$L$21)*(1+'参数'!$B$40*P135)</x:f>
        <x:v>17579.113162884496</x:v>
      </x:c>
      <x:c r="U135" s="19" t="n">
        <x:f>(INDEX('角色成长'!$K$6:$K$105,D135)+O135*'参数'!$M$21)*(1+'参数'!$B$41*P135)</x:f>
        <x:v>948.7386502273814</x:v>
      </x:c>
      <x:c r="V135" s="19" t="n">
        <x:f>(('参数'!$K$5*(((Q135*(1+'参数'!$B$39*P135))^2/((Q135*(1+'参数'!$B$39*P135))+'参数'!$B$22*(I135)))*(1+'参数'!$B$42*P135)/'参数'!$J$5+((Q135*'参数'!$B$43*(1+'参数'!$B$39*P135))^2/((Q135*'参数'!$B$43*(1+'参数'!$B$39*P135))+'参数'!$B$22*(I135)))/'参数'!$B$44))+(((R135*(1+'参数'!$B$39*P135))^2/((R135*(1+'参数'!$B$39*P135))+'参数'!$B$22*(I135)))*(1+'参数'!$B$42*P135)/'参数'!$J$6+((R135*'参数'!$B$45*(1+'参数'!$B$39*P135))^2/((R135*'参数'!$B$45*(1+'参数'!$B$39*P135))+'参数'!$B$22*(I135)))/'参数'!$B$46)+((S135*(1+'参数'!$B$39*P135))^2/((S135*(1+'参数'!$B$39*P135))+'参数'!$B$22*(I135)))*(1+'参数'!$B$42*P135)/'参数'!$J$7)*(1+'参数'!$B$37*('参数'!$B$38-1))*'参数'!$B$25</x:f>
        <x:v>10280.901454112753</x:v>
      </x:c>
      <x:c r="W135" s="19" t="n">
        <x:f>(('参数'!$K$5*(((Q135*(1+'参数'!$B$39*P135))^2/((Q135*(1+'参数'!$B$39*P135))+'参数'!$B$22*(M135)))*(1+'参数'!$B$42*P135)/'参数'!$J$5+((Q135*'参数'!$B$43*(1+'参数'!$B$39*P135))^2/((Q135*'参数'!$B$43*(1+'参数'!$B$39*P135))+'参数'!$B$22*(M135)))/'参数'!$B$44))+(((R135*(1+'参数'!$B$39*P135))^2/((R135*(1+'参数'!$B$39*P135))+'参数'!$B$22*(M135)))*(1+'参数'!$B$42*P135)/'参数'!$J$6+((R135*'参数'!$B$45*(1+'参数'!$B$39*P135))^2/((R135*'参数'!$B$45*(1+'参数'!$B$39*P135))+'参数'!$B$22*(M135)))/'参数'!$B$46)+((S135*(1+'参数'!$B$39*P135))^2/((S135*(1+'参数'!$B$39*P135))+'参数'!$B$22*(M135)))*(1+'参数'!$B$42*P135)/'参数'!$J$7)*(1+'参数'!$B$37*('参数'!$B$38-1))</x:f>
        <x:v>7917.232545367269</x:v>
      </x:c>
      <x:c r="X135" s="26" t="n">
        <x:f>('参数'!$B$26+'参数'!$B$27*(D135-1)/99)*'参数'!$K$27*AD135</x:f>
        <x:v>16.733333333333334</x:v>
      </x:c>
      <x:c r="Y135" s="26" t="n">
        <x:f>('参数'!$B$28+'参数'!$B$29*(D135-1)/99)*'参数'!$K$27*AD135*IF(AE135=1,'参数'!$B$51,1)</x:f>
        <x:v>44.77777777777778</x:v>
      </x:c>
      <x:c r="Z135" s="22" t="n">
        <x:f>MIN('参数'!$B$36,U135/(U135+'参数'!$B$35))</x:f>
        <x:v>0.19171322579012925</x:v>
      </x:c>
      <x:c r="AA135" s="19" t="n">
        <x:f>T135*'参数'!$B$30/('参数'!$B$32*'参数'!$B$33)/(1-Z135)*AC135</x:f>
        <x:v>570.9009911448862</x:v>
      </x:c>
      <x:c r="AB135" s="19" t="n">
        <x:f>T135*'参数'!$B$31/'参数'!$B$34/(1-Z135)*AC135</x:f>
        <x:v>1141.8019822897725</x:v>
      </x:c>
      <x:c r="AC135" s="20" t="n">
        <x:f>'参数'!$L$27*1</x:f>
        <x:v>1.05</x:v>
      </x:c>
      <x:c r="AD135" s="20" t="n">
        <x:f>1</x:f>
        <x:v>1</x:v>
      </x:c>
      <x:c r="AE135" s="19" t="n">
        <x:f>IF(MOD(B135,12)=0,1,0)</x:f>
        <x:v>0</x:v>
      </x:c>
    </x:row>
    <x:row r="136" ht="22" customHeight="1">
      <x:c r="A136" s="18" t="str">
        <x:v>困难</x:v>
      </x:c>
      <x:c r="B136" s="18" t="n">
        <x:v>11</x:v>
      </x:c>
      <x:c r="C136" s="18" t="n">
        <x:f>ROUNDUP(B136/12,0)</x:f>
        <x:v>1</x:v>
      </x:c>
      <x:c r="D136" s="18" t="n">
        <x:f>ROUND(MAX('参数'!$G$27,E136)+(IF(C136&lt;10,INDEX('参数'!$G$35:$P$35,1,MIN(10,C136+1)),'参数'!$H$27)-MAX('参数'!$G$27,E136))*MOD(B136-1,12)/11,0)</x:f>
        <x:v>55</x:v>
      </x:c>
      <x:c r="E136" s="18" t="n">
        <x:f>INDEX('参数'!$G$35:$P$35,1,C136)</x:f>
        <x:v>50</x:v>
      </x:c>
      <x:c r="F136" s="15" t="n">
        <x:f>'参数'!$I$27</x:f>
        <x:v>1.1</x:v>
      </x:c>
      <x:c r="G136" s="18" t="n">
        <x:f>ROUND(V136*X136/'参数'!$B$56,0)</x:f>
        <x:v>38218</x:v>
      </x:c>
      <x:c r="H136" s="18" t="n">
        <x:f>ROUND((AA136+SQRT(AA136^2+4*AA136*'参数'!$B$22*U136))/2,0)</x:f>
        <x:v>1184</x:v>
      </x:c>
      <x:c r="I136" s="18" t="n">
        <x:f>ROUND(Q136*'参数'!$B$23/'参数'!$B$22,0)</x:f>
        <x:v>312</x:v>
      </x:c>
      <x:c r="J136" s="18" t="n">
        <x:f>ROUND(G136*'参数'!$B$50,0)</x:f>
        <x:v>114654</x:v>
      </x:c>
      <x:c r="K136" s="18" t="n">
        <x:f>ROUND(W136*Y136,0)</x:f>
        <x:v>362706</x:v>
      </x:c>
      <x:c r="L136" s="18" t="n">
        <x:f>ROUND((AB136+SQRT(AB136^2+4*AB136*'参数'!$B$22*U136))/2,0)</x:f>
        <x:v>1913</x:v>
      </x:c>
      <x:c r="M136" s="18" t="n">
        <x:f>ROUND(I136*'参数'!$B$24,0)</x:f>
        <x:v>390</x:v>
      </x:c>
      <x:c r="N136" s="18" t="n">
        <x:f>'参数'!$B$9*'参数'!$B$10^(D136-1)</x:f>
        <x:v>2960.474907760117</x:v>
      </x:c>
      <x:c r="O136" s="18" t="n">
        <x:f>'参数'!$B$18*'参数'!$B$19^(MIN(E136,MAX(1,5*INT(D136/5)))-1)*F136*'参数'!$J$27*P136</x:f>
        <x:v>244.27981829993834</x:v>
      </x:c>
      <x:c r="P136" s="21" t="n">
        <x:f>MIN(1,(D136-1)/19)</x:f>
        <x:v>1</x:v>
      </x:c>
      <x:c r="Q136" s="18" t="n">
        <x:f>INDEX('角色成长'!$F$6:$F$105,D136)+O136*'参数'!$K$21</x:f>
        <x:v>1561.1974821548242</x:v>
      </x:c>
      <x:c r="R136" s="18" t="n">
        <x:f>INDEX('角色成长'!$I$6:$I$105,D136)+O136*'参数'!$K$21</x:f>
        <x:v>1319.1974821548242</x:v>
      </x:c>
      <x:c r="S136" s="18" t="n">
        <x:f>INDEX('角色成长'!$L$6:$L$105,D136)+O136*'参数'!$K$21</x:f>
        <x:v>1181.1974821548242</x:v>
      </x:c>
      <x:c r="T136" s="18" t="n">
        <x:f>(INDEX('角色成长'!$J$6:$J$105,D136)+O136*'参数'!$L$21)*(1+'参数'!$B$40*P136)</x:f>
        <x:v>17997.113162884496</x:v>
      </x:c>
      <x:c r="U136" s="18" t="n">
        <x:f>(INDEX('角色成长'!$K$6:$K$105,D136)+O136*'参数'!$M$21)*(1+'参数'!$B$41*P136)</x:f>
        <x:v>965.2386502273814</x:v>
      </x:c>
      <x:c r="V136" s="18" t="n">
        <x:f>(('参数'!$K$5*(((Q136*(1+'参数'!$B$39*P136))^2/((Q136*(1+'参数'!$B$39*P136))+'参数'!$B$22*(I136)))*(1+'参数'!$B$42*P136)/'参数'!$J$5+((Q136*'参数'!$B$43*(1+'参数'!$B$39*P136))^2/((Q136*'参数'!$B$43*(1+'参数'!$B$39*P136))+'参数'!$B$22*(I136)))/'参数'!$B$44))+(((R136*(1+'参数'!$B$39*P136))^2/((R136*(1+'参数'!$B$39*P136))+'参数'!$B$22*(I136)))*(1+'参数'!$B$42*P136)/'参数'!$J$6+((R136*'参数'!$B$45*(1+'参数'!$B$39*P136))^2/((R136*'参数'!$B$45*(1+'参数'!$B$39*P136))+'参数'!$B$22*(I136)))/'参数'!$B$46)+((S136*(1+'参数'!$B$39*P136))^2/((S136*(1+'参数'!$B$39*P136))+'参数'!$B$22*(I136)))*(1+'参数'!$B$42*P136)/'参数'!$J$7)*(1+'参数'!$B$37*('参数'!$B$38-1))*'参数'!$B$25</x:f>
        <x:v>10464.342660831302</x:v>
      </x:c>
      <x:c r="W136" s="18" t="n">
        <x:f>(('参数'!$K$5*(((Q136*(1+'参数'!$B$39*P136))^2/((Q136*(1+'参数'!$B$39*P136))+'参数'!$B$22*(M136)))*(1+'参数'!$B$42*P136)/'参数'!$J$5+((Q136*'参数'!$B$43*(1+'参数'!$B$39*P136))^2/((Q136*'参数'!$B$43*(1+'参数'!$B$39*P136))+'参数'!$B$22*(M136)))/'参数'!$B$44))+(((R136*(1+'参数'!$B$39*P136))^2/((R136*(1+'参数'!$B$39*P136))+'参数'!$B$22*(M136)))*(1+'参数'!$B$42*P136)/'参数'!$J$6+((R136*'参数'!$B$45*(1+'参数'!$B$39*P136))^2/((R136*'参数'!$B$45*(1+'参数'!$B$39*P136))+'参数'!$B$22*(M136)))/'参数'!$B$46)+((S136*(1+'参数'!$B$39*P136))^2/((S136*(1+'参数'!$B$39*P136))+'参数'!$B$22*(M136)))*(1+'参数'!$B$42*P136)/'参数'!$J$7)*(1+'参数'!$B$37*('参数'!$B$38-1))</x:f>
        <x:v>8060.128832438807</x:v>
      </x:c>
      <x:c r="X136" s="25" t="n">
        <x:f>('参数'!$B$26+'参数'!$B$27*(D136-1)/99)*'参数'!$K$27*AD136</x:f>
        <x:v>16.8</x:v>
      </x:c>
      <x:c r="Y136" s="25" t="n">
        <x:f>('参数'!$B$28+'参数'!$B$29*(D136-1)/99)*'参数'!$K$27*AD136*IF(AE136=1,'参数'!$B$51,1)</x:f>
        <x:v>45</x:v>
      </x:c>
      <x:c r="Z136" s="21" t="n">
        <x:f>MIN('参数'!$B$36,U136/(U136+'参数'!$B$35))</x:f>
        <x:v>0.1943992460832026</x:v>
      </x:c>
      <x:c r="AA136" s="18" t="n">
        <x:f>T136*'参数'!$B$30/('参数'!$B$32*'参数'!$B$33)/(1-Z136)*AC136</x:f>
        <x:v>586.4247497644598</x:v>
      </x:c>
      <x:c r="AB136" s="18" t="n">
        <x:f>T136*'参数'!$B$31/'参数'!$B$34/(1-Z136)*AC136</x:f>
        <x:v>1172.8494995289195</x:v>
      </x:c>
      <x:c r="AC136" s="15" t="n">
        <x:f>'参数'!$L$27*1</x:f>
        <x:v>1.05</x:v>
      </x:c>
      <x:c r="AD136" s="15" t="n">
        <x:f>1</x:f>
        <x:v>1</x:v>
      </x:c>
      <x:c r="AE136" s="18" t="n">
        <x:f>IF(MOD(B136,12)=0,1,0)</x:f>
        <x:v>0</x:v>
      </x:c>
    </x:row>
    <x:row r="137" ht="22" customHeight="1">
      <x:c r="A137" s="19" t="str">
        <x:v>困难</x:v>
      </x:c>
      <x:c r="B137" s="19" t="n">
        <x:v>12</x:v>
      </x:c>
      <x:c r="C137" s="19" t="n">
        <x:f>ROUNDUP(B137/12,0)</x:f>
        <x:v>1</x:v>
      </x:c>
      <x:c r="D137" s="19" t="n">
        <x:f>ROUND(MAX('参数'!$G$27,E137)+(IF(C137&lt;10,INDEX('参数'!$G$35:$P$35,1,MIN(10,C137+1)),'参数'!$H$27)-MAX('参数'!$G$27,E137))*MOD(B137-1,12)/11,0)</x:f>
        <x:v>55</x:v>
      </x:c>
      <x:c r="E137" s="19" t="n">
        <x:f>INDEX('参数'!$G$35:$P$35,1,C137)</x:f>
        <x:v>50</x:v>
      </x:c>
      <x:c r="F137" s="20" t="n">
        <x:f>'参数'!$I$27</x:f>
        <x:v>1.1</x:v>
      </x:c>
      <x:c r="G137" s="19" t="n">
        <x:f>ROUND(V137*X137/'参数'!$B$56,0)</x:f>
        <x:v>38218</x:v>
      </x:c>
      <x:c r="H137" s="19" t="n">
        <x:f>ROUND((AA137+SQRT(AA137^2+4*AA137*'参数'!$B$22*U137))/2,0)</x:f>
        <x:v>1184</x:v>
      </x:c>
      <x:c r="I137" s="19" t="n">
        <x:f>ROUND(Q137*'参数'!$B$23/'参数'!$B$22,0)</x:f>
        <x:v>312</x:v>
      </x:c>
      <x:c r="J137" s="19" t="n">
        <x:f>ROUND(G137*'参数'!$B$50,0)</x:f>
        <x:v>114654</x:v>
      </x:c>
      <x:c r="K137" s="19" t="n">
        <x:f>ROUND(W137*Y137,0)</x:f>
        <x:v>417112</x:v>
      </x:c>
      <x:c r="L137" s="19" t="n">
        <x:f>ROUND((AB137+SQRT(AB137^2+4*AB137*'参数'!$B$22*U137))/2,0)</x:f>
        <x:v>1913</x:v>
      </x:c>
      <x:c r="M137" s="19" t="n">
        <x:f>ROUND(I137*'参数'!$B$24,0)</x:f>
        <x:v>390</x:v>
      </x:c>
      <x:c r="N137" s="19" t="n">
        <x:f>'参数'!$B$9*'参数'!$B$10^(D137-1)</x:f>
        <x:v>2960.474907760117</x:v>
      </x:c>
      <x:c r="O137" s="19" t="n">
        <x:f>'参数'!$B$18*'参数'!$B$19^(MIN(E137,MAX(1,5*INT(D137/5)))-1)*F137*'参数'!$J$27*P137</x:f>
        <x:v>244.27981829993834</x:v>
      </x:c>
      <x:c r="P137" s="22" t="n">
        <x:f>MIN(1,(D137-1)/19)</x:f>
        <x:v>1</x:v>
      </x:c>
      <x:c r="Q137" s="19" t="n">
        <x:f>INDEX('角色成长'!$F$6:$F$105,D137)+O137*'参数'!$K$21</x:f>
        <x:v>1561.1974821548242</x:v>
      </x:c>
      <x:c r="R137" s="19" t="n">
        <x:f>INDEX('角色成长'!$I$6:$I$105,D137)+O137*'参数'!$K$21</x:f>
        <x:v>1319.1974821548242</x:v>
      </x:c>
      <x:c r="S137" s="19" t="n">
        <x:f>INDEX('角色成长'!$L$6:$L$105,D137)+O137*'参数'!$K$21</x:f>
        <x:v>1181.1974821548242</x:v>
      </x:c>
      <x:c r="T137" s="19" t="n">
        <x:f>(INDEX('角色成长'!$J$6:$J$105,D137)+O137*'参数'!$L$21)*(1+'参数'!$B$40*P137)</x:f>
        <x:v>17997.113162884496</x:v>
      </x:c>
      <x:c r="U137" s="19" t="n">
        <x:f>(INDEX('角色成长'!$K$6:$K$105,D137)+O137*'参数'!$M$21)*(1+'参数'!$B$41*P137)</x:f>
        <x:v>965.2386502273814</x:v>
      </x:c>
      <x:c r="V137" s="19" t="n">
        <x:f>(('参数'!$K$5*(((Q137*(1+'参数'!$B$39*P137))^2/((Q137*(1+'参数'!$B$39*P137))+'参数'!$B$22*(I137)))*(1+'参数'!$B$42*P137)/'参数'!$J$5+((Q137*'参数'!$B$43*(1+'参数'!$B$39*P137))^2/((Q137*'参数'!$B$43*(1+'参数'!$B$39*P137))+'参数'!$B$22*(I137)))/'参数'!$B$44))+(((R137*(1+'参数'!$B$39*P137))^2/((R137*(1+'参数'!$B$39*P137))+'参数'!$B$22*(I137)))*(1+'参数'!$B$42*P137)/'参数'!$J$6+((R137*'参数'!$B$45*(1+'参数'!$B$39*P137))^2/((R137*'参数'!$B$45*(1+'参数'!$B$39*P137))+'参数'!$B$22*(I137)))/'参数'!$B$46)+((S137*(1+'参数'!$B$39*P137))^2/((S137*(1+'参数'!$B$39*P137))+'参数'!$B$22*(I137)))*(1+'参数'!$B$42*P137)/'参数'!$J$7)*(1+'参数'!$B$37*('参数'!$B$38-1))*'参数'!$B$25</x:f>
        <x:v>10464.342660831302</x:v>
      </x:c>
      <x:c r="W137" s="19" t="n">
        <x:f>(('参数'!$K$5*(((Q137*(1+'参数'!$B$39*P137))^2/((Q137*(1+'参数'!$B$39*P137))+'参数'!$B$22*(M137)))*(1+'参数'!$B$42*P137)/'参数'!$J$5+((Q137*'参数'!$B$43*(1+'参数'!$B$39*P137))^2/((Q137*'参数'!$B$43*(1+'参数'!$B$39*P137))+'参数'!$B$22*(M137)))/'参数'!$B$44))+(((R137*(1+'参数'!$B$39*P137))^2/((R137*(1+'参数'!$B$39*P137))+'参数'!$B$22*(M137)))*(1+'参数'!$B$42*P137)/'参数'!$J$6+((R137*'参数'!$B$45*(1+'参数'!$B$39*P137))^2/((R137*'参数'!$B$45*(1+'参数'!$B$39*P137))+'参数'!$B$22*(M137)))/'参数'!$B$46)+((S137*(1+'参数'!$B$39*P137))^2/((S137*(1+'参数'!$B$39*P137))+'参数'!$B$22*(M137)))*(1+'参数'!$B$42*P137)/'参数'!$J$7)*(1+'参数'!$B$37*('参数'!$B$38-1))</x:f>
        <x:v>8060.128832438807</x:v>
      </x:c>
      <x:c r="X137" s="26" t="n">
        <x:f>('参数'!$B$26+'参数'!$B$27*(D137-1)/99)*'参数'!$K$27*AD137</x:f>
        <x:v>16.8</x:v>
      </x:c>
      <x:c r="Y137" s="26" t="n">
        <x:f>('参数'!$B$28+'参数'!$B$29*(D137-1)/99)*'参数'!$K$27*AD137*IF(AE137=1,'参数'!$B$51,1)</x:f>
        <x:v>51.74999999999999</x:v>
      </x:c>
      <x:c r="Z137" s="22" t="n">
        <x:f>MIN('参数'!$B$36,U137/(U137+'参数'!$B$35))</x:f>
        <x:v>0.1943992460832026</x:v>
      </x:c>
      <x:c r="AA137" s="19" t="n">
        <x:f>T137*'参数'!$B$30/('参数'!$B$32*'参数'!$B$33)/(1-Z137)*AC137</x:f>
        <x:v>586.4247497644598</x:v>
      </x:c>
      <x:c r="AB137" s="19" t="n">
        <x:f>T137*'参数'!$B$31/'参数'!$B$34/(1-Z137)*AC137</x:f>
        <x:v>1172.8494995289195</x:v>
      </x:c>
      <x:c r="AC137" s="20" t="n">
        <x:f>'参数'!$L$27*1</x:f>
        <x:v>1.05</x:v>
      </x:c>
      <x:c r="AD137" s="20" t="n">
        <x:f>1</x:f>
        <x:v>1</x:v>
      </x:c>
      <x:c r="AE137" s="19" t="n">
        <x:f>IF(MOD(B137,12)=0,1,0)</x:f>
        <x:v>1</x:v>
      </x:c>
    </x:row>
    <x:row r="138" ht="22" customHeight="1">
      <x:c r="A138" s="18" t="str">
        <x:v>困难</x:v>
      </x:c>
      <x:c r="B138" s="18" t="n">
        <x:v>13</x:v>
      </x:c>
      <x:c r="C138" s="18" t="n">
        <x:f>ROUNDUP(B138/12,0)</x:f>
        <x:v>2</x:v>
      </x:c>
      <x:c r="D138" s="18" t="n">
        <x:f>ROUND(MAX('参数'!$G$27,E138)+(IF(C138&lt;10,INDEX('参数'!$G$35:$P$35,1,MIN(10,C138+1)),'参数'!$H$27)-MAX('参数'!$G$27,E138))*MOD(B138-1,12)/11,0)</x:f>
        <x:v>55</x:v>
      </x:c>
      <x:c r="E138" s="18" t="n">
        <x:f>INDEX('参数'!$G$35:$P$35,1,C138)</x:f>
        <x:v>55</x:v>
      </x:c>
      <x:c r="F138" s="15" t="n">
        <x:f>'参数'!$I$27</x:f>
        <x:v>1.1</x:v>
      </x:c>
      <x:c r="G138" s="18" t="n">
        <x:f>ROUND(V138*X138/'参数'!$B$56,0)</x:f>
        <x:v>41841</x:v>
      </x:c>
      <x:c r="H138" s="18" t="n">
        <x:f>ROUND((AA138+SQRT(AA138^2+4*AA138*'参数'!$B$22*U138))/2,0)</x:f>
        <x:v>1290</x:v>
      </x:c>
      <x:c r="I138" s="18" t="n">
        <x:f>ROUND(Q138*'参数'!$B$23/'参数'!$B$22,0)</x:f>
        <x:v>340</x:v>
      </x:c>
      <x:c r="J138" s="18" t="n">
        <x:f>ROUND(G138*'参数'!$B$50,0)</x:f>
        <x:v>125523</x:v>
      </x:c>
      <x:c r="K138" s="18" t="n">
        <x:f>ROUND(W138*Y138,0)</x:f>
        <x:v>397129</x:v>
      </x:c>
      <x:c r="L138" s="18" t="n">
        <x:f>ROUND((AB138+SQRT(AB138^2+4*AB138*'参数'!$B$22*U138))/2,0)</x:f>
        <x:v>2083</x:v>
      </x:c>
      <x:c r="M138" s="18" t="n">
        <x:f>ROUND(I138*'参数'!$B$24,0)</x:f>
        <x:v>425</x:v>
      </x:c>
      <x:c r="N138" s="18" t="n">
        <x:f>'参数'!$B$9*'参数'!$B$10^(D138-1)</x:f>
        <x:v>2960.474907760117</x:v>
      </x:c>
      <x:c r="O138" s="18" t="n">
        <x:f>'参数'!$B$18*'参数'!$B$19^(MIN(E138,MAX(1,5*INT(D138/5)))-1)*F138*'参数'!$J$27*P138</x:f>
        <x:v>292.9418164921884</x:v>
      </x:c>
      <x:c r="P138" s="21" t="n">
        <x:f>MIN(1,(D138-1)/19)</x:f>
        <x:v>1</x:v>
      </x:c>
      <x:c r="Q138" s="18" t="n">
        <x:f>INDEX('角色成长'!$F$6:$F$105,D138)+O138*'参数'!$K$21</x:f>
        <x:v>1699.884177002737</x:v>
      </x:c>
      <x:c r="R138" s="18" t="n">
        <x:f>INDEX('角色成长'!$I$6:$I$105,D138)+O138*'参数'!$K$21</x:f>
        <x:v>1457.884177002737</x:v>
      </x:c>
      <x:c r="S138" s="18" t="n">
        <x:f>INDEX('角色成长'!$L$6:$L$105,D138)+O138*'参数'!$K$21</x:f>
        <x:v>1319.884177002737</x:v>
      </x:c>
      <x:c r="T138" s="18" t="n">
        <x:f>(INDEX('角色成长'!$J$6:$J$105,D138)+O138*'参数'!$L$21)*(1+'参数'!$B$40*P138)</x:f>
        <x:v>19185.439158739242</x:v>
      </x:c>
      <x:c r="U138" s="18" t="n">
        <x:f>(INDEX('角色成长'!$K$6:$K$105,D138)+O138*'参数'!$M$21)*(1+'参数'!$B$41*P138)</x:f>
        <x:v>1058.9129967474628</x:v>
      </x:c>
      <x:c r="V138" s="18" t="n">
        <x:f>(('参数'!$K$5*(((Q138*(1+'参数'!$B$39*P138))^2/((Q138*(1+'参数'!$B$39*P138))+'参数'!$B$22*(I138)))*(1+'参数'!$B$42*P138)/'参数'!$J$5+((Q138*'参数'!$B$43*(1+'参数'!$B$39*P138))^2/((Q138*'参数'!$B$43*(1+'参数'!$B$39*P138))+'参数'!$B$22*(I138)))/'参数'!$B$44))+(((R138*(1+'参数'!$B$39*P138))^2/((R138*(1+'参数'!$B$39*P138))+'参数'!$B$22*(I138)))*(1+'参数'!$B$42*P138)/'参数'!$J$6+((R138*'参数'!$B$45*(1+'参数'!$B$39*P138))^2/((R138*'参数'!$B$45*(1+'参数'!$B$39*P138))+'参数'!$B$22*(I138)))/'参数'!$B$46)+((S138*(1+'参数'!$B$39*P138))^2/((S138*(1+'参数'!$B$39*P138))+'参数'!$B$22*(I138)))*(1+'参数'!$B$42*P138)/'参数'!$J$7)*(1+'参数'!$B$37*('参数'!$B$38-1))*'参数'!$B$25</x:f>
        <x:v>11456.471301296015</x:v>
      </x:c>
      <x:c r="W138" s="18" t="n">
        <x:f>(('参数'!$K$5*(((Q138*(1+'参数'!$B$39*P138))^2/((Q138*(1+'参数'!$B$39*P138))+'参数'!$B$22*(M138)))*(1+'参数'!$B$42*P138)/'参数'!$J$5+((Q138*'参数'!$B$43*(1+'参数'!$B$39*P138))^2/((Q138*'参数'!$B$43*(1+'参数'!$B$39*P138))+'参数'!$B$22*(M138)))/'参数'!$B$44))+(((R138*(1+'参数'!$B$39*P138))^2/((R138*(1+'参数'!$B$39*P138))+'参数'!$B$22*(M138)))*(1+'参数'!$B$42*P138)/'参数'!$J$6+((R138*'参数'!$B$45*(1+'参数'!$B$39*P138))^2/((R138*'参数'!$B$45*(1+'参数'!$B$39*P138))+'参数'!$B$22*(M138)))/'参数'!$B$46)+((S138*(1+'参数'!$B$39*P138))^2/((S138*(1+'参数'!$B$39*P138))+'参数'!$B$22*(M138)))*(1+'参数'!$B$42*P138)/'参数'!$J$7)*(1+'参数'!$B$37*('参数'!$B$38-1))</x:f>
        <x:v>8825.097824902852</x:v>
      </x:c>
      <x:c r="X138" s="25" t="n">
        <x:f>('参数'!$B$26+'参数'!$B$27*(D138-1)/99)*'参数'!$K$27*AD138</x:f>
        <x:v>16.8</x:v>
      </x:c>
      <x:c r="Y138" s="25" t="n">
        <x:f>('参数'!$B$28+'参数'!$B$29*(D138-1)/99)*'参数'!$K$27*AD138*IF(AE138=1,'参数'!$B$51,1)</x:f>
        <x:v>45</x:v>
      </x:c>
      <x:c r="Z138" s="21" t="n">
        <x:f>MIN('参数'!$B$36,U138/(U138+'参数'!$B$35))</x:f>
        <x:v>0.209316309141563</x:v>
      </x:c>
      <x:c r="AA138" s="18" t="n">
        <x:f>T138*'参数'!$B$30/('参数'!$B$32*'参数'!$B$33)/(1-Z138)*AC138</x:f>
        <x:v>636.939630524227</x:v>
      </x:c>
      <x:c r="AB138" s="18" t="n">
        <x:f>T138*'参数'!$B$31/'参数'!$B$34/(1-Z138)*AC138</x:f>
        <x:v>1273.879261048454</x:v>
      </x:c>
      <x:c r="AC138" s="15" t="n">
        <x:f>'参数'!$L$27*1</x:f>
        <x:v>1.05</x:v>
      </x:c>
      <x:c r="AD138" s="15" t="n">
        <x:f>1</x:f>
        <x:v>1</x:v>
      </x:c>
      <x:c r="AE138" s="18" t="n">
        <x:f>IF(MOD(B138,12)=0,1,0)</x:f>
        <x:v>0</x:v>
      </x:c>
    </x:row>
    <x:row r="139" ht="22" customHeight="1">
      <x:c r="A139" s="19" t="str">
        <x:v>困难</x:v>
      </x:c>
      <x:c r="B139" s="19" t="n">
        <x:v>14</x:v>
      </x:c>
      <x:c r="C139" s="19" t="n">
        <x:f>ROUNDUP(B139/12,0)</x:f>
        <x:v>2</x:v>
      </x:c>
      <x:c r="D139" s="19" t="n">
        <x:f>ROUND(MAX('参数'!$G$27,E139)+(IF(C139&lt;10,INDEX('参数'!$G$35:$P$35,1,MIN(10,C139+1)),'参数'!$H$27)-MAX('参数'!$G$27,E139))*MOD(B139-1,12)/11,0)</x:f>
        <x:v>55</x:v>
      </x:c>
      <x:c r="E139" s="19" t="n">
        <x:f>INDEX('参数'!$G$35:$P$35,1,C139)</x:f>
        <x:v>55</x:v>
      </x:c>
      <x:c r="F139" s="20" t="n">
        <x:f>'参数'!$I$27</x:f>
        <x:v>1.1</x:v>
      </x:c>
      <x:c r="G139" s="19" t="n">
        <x:f>ROUND(V139*X139/'参数'!$B$56,0)</x:f>
        <x:v>41841</x:v>
      </x:c>
      <x:c r="H139" s="19" t="n">
        <x:f>ROUND((AA139+SQRT(AA139^2+4*AA139*'参数'!$B$22*U139))/2,0)</x:f>
        <x:v>1290</x:v>
      </x:c>
      <x:c r="I139" s="19" t="n">
        <x:f>ROUND(Q139*'参数'!$B$23/'参数'!$B$22,0)</x:f>
        <x:v>340</x:v>
      </x:c>
      <x:c r="J139" s="19" t="n">
        <x:f>ROUND(G139*'参数'!$B$50,0)</x:f>
        <x:v>125523</x:v>
      </x:c>
      <x:c r="K139" s="19" t="n">
        <x:f>ROUND(W139*Y139,0)</x:f>
        <x:v>397129</x:v>
      </x:c>
      <x:c r="L139" s="19" t="n">
        <x:f>ROUND((AB139+SQRT(AB139^2+4*AB139*'参数'!$B$22*U139))/2,0)</x:f>
        <x:v>2083</x:v>
      </x:c>
      <x:c r="M139" s="19" t="n">
        <x:f>ROUND(I139*'参数'!$B$24,0)</x:f>
        <x:v>425</x:v>
      </x:c>
      <x:c r="N139" s="19" t="n">
        <x:f>'参数'!$B$9*'参数'!$B$10^(D139-1)</x:f>
        <x:v>2960.474907760117</x:v>
      </x:c>
      <x:c r="O139" s="19" t="n">
        <x:f>'参数'!$B$18*'参数'!$B$19^(MIN(E139,MAX(1,5*INT(D139/5)))-1)*F139*'参数'!$J$27*P139</x:f>
        <x:v>292.9418164921884</x:v>
      </x:c>
      <x:c r="P139" s="22" t="n">
        <x:f>MIN(1,(D139-1)/19)</x:f>
        <x:v>1</x:v>
      </x:c>
      <x:c r="Q139" s="19" t="n">
        <x:f>INDEX('角色成长'!$F$6:$F$105,D139)+O139*'参数'!$K$21</x:f>
        <x:v>1699.884177002737</x:v>
      </x:c>
      <x:c r="R139" s="19" t="n">
        <x:f>INDEX('角色成长'!$I$6:$I$105,D139)+O139*'参数'!$K$21</x:f>
        <x:v>1457.884177002737</x:v>
      </x:c>
      <x:c r="S139" s="19" t="n">
        <x:f>INDEX('角色成长'!$L$6:$L$105,D139)+O139*'参数'!$K$21</x:f>
        <x:v>1319.884177002737</x:v>
      </x:c>
      <x:c r="T139" s="19" t="n">
        <x:f>(INDEX('角色成长'!$J$6:$J$105,D139)+O139*'参数'!$L$21)*(1+'参数'!$B$40*P139)</x:f>
        <x:v>19185.439158739242</x:v>
      </x:c>
      <x:c r="U139" s="19" t="n">
        <x:f>(INDEX('角色成长'!$K$6:$K$105,D139)+O139*'参数'!$M$21)*(1+'参数'!$B$41*P139)</x:f>
        <x:v>1058.9129967474628</x:v>
      </x:c>
      <x:c r="V139" s="19" t="n">
        <x:f>(('参数'!$K$5*(((Q139*(1+'参数'!$B$39*P139))^2/((Q139*(1+'参数'!$B$39*P139))+'参数'!$B$22*(I139)))*(1+'参数'!$B$42*P139)/'参数'!$J$5+((Q139*'参数'!$B$43*(1+'参数'!$B$39*P139))^2/((Q139*'参数'!$B$43*(1+'参数'!$B$39*P139))+'参数'!$B$22*(I139)))/'参数'!$B$44))+(((R139*(1+'参数'!$B$39*P139))^2/((R139*(1+'参数'!$B$39*P139))+'参数'!$B$22*(I139)))*(1+'参数'!$B$42*P139)/'参数'!$J$6+((R139*'参数'!$B$45*(1+'参数'!$B$39*P139))^2/((R139*'参数'!$B$45*(1+'参数'!$B$39*P139))+'参数'!$B$22*(I139)))/'参数'!$B$46)+((S139*(1+'参数'!$B$39*P139))^2/((S139*(1+'参数'!$B$39*P139))+'参数'!$B$22*(I139)))*(1+'参数'!$B$42*P139)/'参数'!$J$7)*(1+'参数'!$B$37*('参数'!$B$38-1))*'参数'!$B$25</x:f>
        <x:v>11456.471301296015</x:v>
      </x:c>
      <x:c r="W139" s="19" t="n">
        <x:f>(('参数'!$K$5*(((Q139*(1+'参数'!$B$39*P139))^2/((Q139*(1+'参数'!$B$39*P139))+'参数'!$B$22*(M139)))*(1+'参数'!$B$42*P139)/'参数'!$J$5+((Q139*'参数'!$B$43*(1+'参数'!$B$39*P139))^2/((Q139*'参数'!$B$43*(1+'参数'!$B$39*P139))+'参数'!$B$22*(M139)))/'参数'!$B$44))+(((R139*(1+'参数'!$B$39*P139))^2/((R139*(1+'参数'!$B$39*P139))+'参数'!$B$22*(M139)))*(1+'参数'!$B$42*P139)/'参数'!$J$6+((R139*'参数'!$B$45*(1+'参数'!$B$39*P139))^2/((R139*'参数'!$B$45*(1+'参数'!$B$39*P139))+'参数'!$B$22*(M139)))/'参数'!$B$46)+((S139*(1+'参数'!$B$39*P139))^2/((S139*(1+'参数'!$B$39*P139))+'参数'!$B$22*(M139)))*(1+'参数'!$B$42*P139)/'参数'!$J$7)*(1+'参数'!$B$37*('参数'!$B$38-1))</x:f>
        <x:v>8825.097824902852</x:v>
      </x:c>
      <x:c r="X139" s="26" t="n">
        <x:f>('参数'!$B$26+'参数'!$B$27*(D139-1)/99)*'参数'!$K$27*AD139</x:f>
        <x:v>16.8</x:v>
      </x:c>
      <x:c r="Y139" s="26" t="n">
        <x:f>('参数'!$B$28+'参数'!$B$29*(D139-1)/99)*'参数'!$K$27*AD139*IF(AE139=1,'参数'!$B$51,1)</x:f>
        <x:v>45</x:v>
      </x:c>
      <x:c r="Z139" s="22" t="n">
        <x:f>MIN('参数'!$B$36,U139/(U139+'参数'!$B$35))</x:f>
        <x:v>0.209316309141563</x:v>
      </x:c>
      <x:c r="AA139" s="19" t="n">
        <x:f>T139*'参数'!$B$30/('参数'!$B$32*'参数'!$B$33)/(1-Z139)*AC139</x:f>
        <x:v>636.939630524227</x:v>
      </x:c>
      <x:c r="AB139" s="19" t="n">
        <x:f>T139*'参数'!$B$31/'参数'!$B$34/(1-Z139)*AC139</x:f>
        <x:v>1273.879261048454</x:v>
      </x:c>
      <x:c r="AC139" s="20" t="n">
        <x:f>'参数'!$L$27*1</x:f>
        <x:v>1.05</x:v>
      </x:c>
      <x:c r="AD139" s="20" t="n">
        <x:f>1</x:f>
        <x:v>1</x:v>
      </x:c>
      <x:c r="AE139" s="19" t="n">
        <x:f>IF(MOD(B139,12)=0,1,0)</x:f>
        <x:v>0</x:v>
      </x:c>
    </x:row>
    <x:row r="140" ht="22" customHeight="1">
      <x:c r="A140" s="18" t="str">
        <x:v>困难</x:v>
      </x:c>
      <x:c r="B140" s="18" t="n">
        <x:v>15</x:v>
      </x:c>
      <x:c r="C140" s="18" t="n">
        <x:f>ROUNDUP(B140/12,0)</x:f>
        <x:v>2</x:v>
      </x:c>
      <x:c r="D140" s="18" t="n">
        <x:f>ROUND(MAX('参数'!$G$27,E140)+(IF(C140&lt;10,INDEX('参数'!$G$35:$P$35,1,MIN(10,C140+1)),'参数'!$H$27)-MAX('参数'!$G$27,E140))*MOD(B140-1,12)/11,0)</x:f>
        <x:v>56</x:v>
      </x:c>
      <x:c r="E140" s="18" t="n">
        <x:f>INDEX('参数'!$G$35:$P$35,1,C140)</x:f>
        <x:v>55</x:v>
      </x:c>
      <x:c r="F140" s="15" t="n">
        <x:f>'参数'!$I$27</x:f>
        <x:v>1.1</x:v>
      </x:c>
      <x:c r="G140" s="18" t="n">
        <x:f>ROUND(V140*X140/'参数'!$B$56,0)</x:f>
        <x:v>42702</x:v>
      </x:c>
      <x:c r="H140" s="18" t="n">
        <x:f>ROUND((AA140+SQRT(AA140^2+4*AA140*'参数'!$B$22*U140))/2,0)</x:f>
        <x:v>1320</x:v>
      </x:c>
      <x:c r="I140" s="18" t="n">
        <x:f>ROUND(Q140*'参数'!$B$23/'参数'!$B$22,0)</x:f>
        <x:v>346</x:v>
      </x:c>
      <x:c r="J140" s="18" t="n">
        <x:f>ROUND(G140*'参数'!$B$50,0)</x:f>
        <x:v>128106</x:v>
      </x:c>
      <x:c r="K140" s="18" t="n">
        <x:f>ROUND(W140*Y140,0)</x:f>
        <x:v>405602</x:v>
      </x:c>
      <x:c r="L140" s="18" t="n">
        <x:f>ROUND((AB140+SQRT(AB140^2+4*AB140*'参数'!$B$22*U140))/2,0)</x:f>
        <x:v>2132</x:v>
      </x:c>
      <x:c r="M140" s="18" t="n">
        <x:f>ROUND(I140*'参数'!$B$24,0)</x:f>
        <x:v>433</x:v>
      </x:c>
      <x:c r="N140" s="18" t="n">
        <x:f>'参数'!$B$9*'参数'!$B$10^(D140-1)</x:f>
        <x:v>3049.2891549929204</x:v>
      </x:c>
      <x:c r="O140" s="18" t="n">
        <x:f>'参数'!$B$18*'参数'!$B$19^(MIN(E140,MAX(1,5*INT(D140/5)))-1)*F140*'参数'!$J$27*P140</x:f>
        <x:v>292.9418164921884</x:v>
      </x:c>
      <x:c r="P140" s="21" t="n">
        <x:f>MIN(1,(D140-1)/19)</x:f>
        <x:v>1</x:v>
      </x:c>
      <x:c r="Q140" s="18" t="n">
        <x:f>INDEX('角色成长'!$F$6:$F$105,D140)+O140*'参数'!$K$21</x:f>
        <x:v>1729.884177002737</x:v>
      </x:c>
      <x:c r="R140" s="18" t="n">
        <x:f>INDEX('角色成长'!$I$6:$I$105,D140)+O140*'参数'!$K$21</x:f>
        <x:v>1479.884177002737</x:v>
      </x:c>
      <x:c r="S140" s="18" t="n">
        <x:f>INDEX('角色成长'!$L$6:$L$105,D140)+O140*'参数'!$K$21</x:f>
        <x:v>1335.884177002737</x:v>
      </x:c>
      <x:c r="T140" s="18" t="n">
        <x:f>(INDEX('角色成长'!$J$6:$J$105,D140)+O140*'参数'!$L$21)*(1+'参数'!$B$40*P140)</x:f>
        <x:v>19618.839158739243</x:v>
      </x:c>
      <x:c r="U140" s="18" t="n">
        <x:f>(INDEX('角色成长'!$K$6:$K$105,D140)+O140*'参数'!$M$21)*(1+'参数'!$B$41*P140)</x:f>
        <x:v>1076.5129967474627</x:v>
      </x:c>
      <x:c r="V140" s="18" t="n">
        <x:f>(('参数'!$K$5*(((Q140*(1+'参数'!$B$39*P140))^2/((Q140*(1+'参数'!$B$39*P140))+'参数'!$B$22*(I140)))*(1+'参数'!$B$42*P140)/'参数'!$J$5+((Q140*'参数'!$B$43*(1+'参数'!$B$39*P140))^2/((Q140*'参数'!$B$43*(1+'参数'!$B$39*P140))+'参数'!$B$22*(I140)))/'参数'!$B$44))+(((R140*(1+'参数'!$B$39*P140))^2/((R140*(1+'参数'!$B$39*P140))+'参数'!$B$22*(I140)))*(1+'参数'!$B$42*P140)/'参数'!$J$6+((R140*'参数'!$B$45*(1+'参数'!$B$39*P140))^2/((R140*'参数'!$B$45*(1+'参数'!$B$39*P140))+'参数'!$B$22*(I140)))/'参数'!$B$46)+((S140*(1+'参数'!$B$39*P140))^2/((S140*(1+'参数'!$B$39*P140))+'参数'!$B$22*(I140)))*(1+'参数'!$B$42*P140)/'参数'!$J$7)*(1+'参数'!$B$37*('参数'!$B$38-1))*'参数'!$B$25</x:f>
        <x:v>11646.123229193718</x:v>
      </x:c>
      <x:c r="W140" s="18" t="n">
        <x:f>(('参数'!$K$5*(((Q140*(1+'参数'!$B$39*P140))^2/((Q140*(1+'参数'!$B$39*P140))+'参数'!$B$22*(M140)))*(1+'参数'!$B$42*P140)/'参数'!$J$5+((Q140*'参数'!$B$43*(1+'参数'!$B$39*P140))^2/((Q140*'参数'!$B$43*(1+'参数'!$B$39*P140))+'参数'!$B$22*(M140)))/'参数'!$B$44))+(((R140*(1+'参数'!$B$39*P140))^2/((R140*(1+'参数'!$B$39*P140))+'参数'!$B$22*(M140)))*(1+'参数'!$B$42*P140)/'参数'!$J$6+((R140*'参数'!$B$45*(1+'参数'!$B$39*P140))^2/((R140*'参数'!$B$45*(1+'参数'!$B$39*P140))+'参数'!$B$22*(M140)))/'参数'!$B$46)+((S140*(1+'参数'!$B$39*P140))^2/((S140*(1+'参数'!$B$39*P140))+'参数'!$B$22*(M140)))*(1+'参数'!$B$42*P140)/'参数'!$J$7)*(1+'参数'!$B$37*('参数'!$B$38-1))</x:f>
        <x:v>8969.07537702862</x:v>
      </x:c>
      <x:c r="X140" s="25" t="n">
        <x:f>('参数'!$B$26+'参数'!$B$27*(D140-1)/99)*'参数'!$K$27*AD140</x:f>
        <x:v>16.866666666666667</x:v>
      </x:c>
      <x:c r="Y140" s="25" t="n">
        <x:f>('参数'!$B$28+'参数'!$B$29*(D140-1)/99)*'参数'!$K$27*AD140*IF(AE140=1,'参数'!$B$51,1)</x:f>
        <x:v>45.22222222222223</x:v>
      </x:c>
      <x:c r="Z140" s="21" t="n">
        <x:f>MIN('参数'!$B$36,U140/(U140+'参数'!$B$35))</x:f>
        <x:v>0.21205756735719733</x:v>
      </x:c>
      <x:c r="AA140" s="18" t="n">
        <x:f>T140*'参数'!$B$30/('参数'!$B$32*'参数'!$B$33)/(1-Z140)*AC140</x:f>
        <x:v>653.5941035559983</x:v>
      </x:c>
      <x:c r="AB140" s="18" t="n">
        <x:f>T140*'参数'!$B$31/'参数'!$B$34/(1-Z140)*AC140</x:f>
        <x:v>1307.1882071119965</x:v>
      </x:c>
      <x:c r="AC140" s="15" t="n">
        <x:f>'参数'!$L$27*1</x:f>
        <x:v>1.05</x:v>
      </x:c>
      <x:c r="AD140" s="15" t="n">
        <x:f>1</x:f>
        <x:v>1</x:v>
      </x:c>
      <x:c r="AE140" s="18" t="n">
        <x:f>IF(MOD(B140,12)=0,1,0)</x:f>
        <x:v>0</x:v>
      </x:c>
    </x:row>
    <x:row r="141" ht="22" customHeight="1">
      <x:c r="A141" s="19" t="str">
        <x:v>困难</x:v>
      </x:c>
      <x:c r="B141" s="19" t="n">
        <x:v>16</x:v>
      </x:c>
      <x:c r="C141" s="19" t="n">
        <x:f>ROUNDUP(B141/12,0)</x:f>
        <x:v>2</x:v>
      </x:c>
      <x:c r="D141" s="19" t="n">
        <x:f>ROUND(MAX('参数'!$G$27,E141)+(IF(C141&lt;10,INDEX('参数'!$G$35:$P$35,1,MIN(10,C141+1)),'参数'!$H$27)-MAX('参数'!$G$27,E141))*MOD(B141-1,12)/11,0)</x:f>
        <x:v>56</x:v>
      </x:c>
      <x:c r="E141" s="19" t="n">
        <x:f>INDEX('参数'!$G$35:$P$35,1,C141)</x:f>
        <x:v>55</x:v>
      </x:c>
      <x:c r="F141" s="20" t="n">
        <x:f>'参数'!$I$27</x:f>
        <x:v>1.1</x:v>
      </x:c>
      <x:c r="G141" s="19" t="n">
        <x:f>ROUND(V141*X141/'参数'!$B$56,0)</x:f>
        <x:v>42702</x:v>
      </x:c>
      <x:c r="H141" s="19" t="n">
        <x:f>ROUND((AA141+SQRT(AA141^2+4*AA141*'参数'!$B$22*U141))/2,0)</x:f>
        <x:v>1320</x:v>
      </x:c>
      <x:c r="I141" s="19" t="n">
        <x:f>ROUND(Q141*'参数'!$B$23/'参数'!$B$22,0)</x:f>
        <x:v>346</x:v>
      </x:c>
      <x:c r="J141" s="19" t="n">
        <x:f>ROUND(G141*'参数'!$B$50,0)</x:f>
        <x:v>128106</x:v>
      </x:c>
      <x:c r="K141" s="19" t="n">
        <x:f>ROUND(W141*Y141,0)</x:f>
        <x:v>405602</x:v>
      </x:c>
      <x:c r="L141" s="19" t="n">
        <x:f>ROUND((AB141+SQRT(AB141^2+4*AB141*'参数'!$B$22*U141))/2,0)</x:f>
        <x:v>2132</x:v>
      </x:c>
      <x:c r="M141" s="19" t="n">
        <x:f>ROUND(I141*'参数'!$B$24,0)</x:f>
        <x:v>433</x:v>
      </x:c>
      <x:c r="N141" s="19" t="n">
        <x:f>'参数'!$B$9*'参数'!$B$10^(D141-1)</x:f>
        <x:v>3049.2891549929204</x:v>
      </x:c>
      <x:c r="O141" s="19" t="n">
        <x:f>'参数'!$B$18*'参数'!$B$19^(MIN(E141,MAX(1,5*INT(D141/5)))-1)*F141*'参数'!$J$27*P141</x:f>
        <x:v>292.9418164921884</x:v>
      </x:c>
      <x:c r="P141" s="22" t="n">
        <x:f>MIN(1,(D141-1)/19)</x:f>
        <x:v>1</x:v>
      </x:c>
      <x:c r="Q141" s="19" t="n">
        <x:f>INDEX('角色成长'!$F$6:$F$105,D141)+O141*'参数'!$K$21</x:f>
        <x:v>1729.884177002737</x:v>
      </x:c>
      <x:c r="R141" s="19" t="n">
        <x:f>INDEX('角色成长'!$I$6:$I$105,D141)+O141*'参数'!$K$21</x:f>
        <x:v>1479.884177002737</x:v>
      </x:c>
      <x:c r="S141" s="19" t="n">
        <x:f>INDEX('角色成长'!$L$6:$L$105,D141)+O141*'参数'!$K$21</x:f>
        <x:v>1335.884177002737</x:v>
      </x:c>
      <x:c r="T141" s="19" t="n">
        <x:f>(INDEX('角色成长'!$J$6:$J$105,D141)+O141*'参数'!$L$21)*(1+'参数'!$B$40*P141)</x:f>
        <x:v>19618.839158739243</x:v>
      </x:c>
      <x:c r="U141" s="19" t="n">
        <x:f>(INDEX('角色成长'!$K$6:$K$105,D141)+O141*'参数'!$M$21)*(1+'参数'!$B$41*P141)</x:f>
        <x:v>1076.5129967474627</x:v>
      </x:c>
      <x:c r="V141" s="19" t="n">
        <x:f>(('参数'!$K$5*(((Q141*(1+'参数'!$B$39*P141))^2/((Q141*(1+'参数'!$B$39*P141))+'参数'!$B$22*(I141)))*(1+'参数'!$B$42*P141)/'参数'!$J$5+((Q141*'参数'!$B$43*(1+'参数'!$B$39*P141))^2/((Q141*'参数'!$B$43*(1+'参数'!$B$39*P141))+'参数'!$B$22*(I141)))/'参数'!$B$44))+(((R141*(1+'参数'!$B$39*P141))^2/((R141*(1+'参数'!$B$39*P141))+'参数'!$B$22*(I141)))*(1+'参数'!$B$42*P141)/'参数'!$J$6+((R141*'参数'!$B$45*(1+'参数'!$B$39*P141))^2/((R141*'参数'!$B$45*(1+'参数'!$B$39*P141))+'参数'!$B$22*(I141)))/'参数'!$B$46)+((S141*(1+'参数'!$B$39*P141))^2/((S141*(1+'参数'!$B$39*P141))+'参数'!$B$22*(I141)))*(1+'参数'!$B$42*P141)/'参数'!$J$7)*(1+'参数'!$B$37*('参数'!$B$38-1))*'参数'!$B$25</x:f>
        <x:v>11646.123229193718</x:v>
      </x:c>
      <x:c r="W141" s="19" t="n">
        <x:f>(('参数'!$K$5*(((Q141*(1+'参数'!$B$39*P141))^2/((Q141*(1+'参数'!$B$39*P141))+'参数'!$B$22*(M141)))*(1+'参数'!$B$42*P141)/'参数'!$J$5+((Q141*'参数'!$B$43*(1+'参数'!$B$39*P141))^2/((Q141*'参数'!$B$43*(1+'参数'!$B$39*P141))+'参数'!$B$22*(M141)))/'参数'!$B$44))+(((R141*(1+'参数'!$B$39*P141))^2/((R141*(1+'参数'!$B$39*P141))+'参数'!$B$22*(M141)))*(1+'参数'!$B$42*P141)/'参数'!$J$6+((R141*'参数'!$B$45*(1+'参数'!$B$39*P141))^2/((R141*'参数'!$B$45*(1+'参数'!$B$39*P141))+'参数'!$B$22*(M141)))/'参数'!$B$46)+((S141*(1+'参数'!$B$39*P141))^2/((S141*(1+'参数'!$B$39*P141))+'参数'!$B$22*(M141)))*(1+'参数'!$B$42*P141)/'参数'!$J$7)*(1+'参数'!$B$37*('参数'!$B$38-1))</x:f>
        <x:v>8969.07537702862</x:v>
      </x:c>
      <x:c r="X141" s="26" t="n">
        <x:f>('参数'!$B$26+'参数'!$B$27*(D141-1)/99)*'参数'!$K$27*AD141</x:f>
        <x:v>16.866666666666667</x:v>
      </x:c>
      <x:c r="Y141" s="26" t="n">
        <x:f>('参数'!$B$28+'参数'!$B$29*(D141-1)/99)*'参数'!$K$27*AD141*IF(AE141=1,'参数'!$B$51,1)</x:f>
        <x:v>45.22222222222223</x:v>
      </x:c>
      <x:c r="Z141" s="22" t="n">
        <x:f>MIN('参数'!$B$36,U141/(U141+'参数'!$B$35))</x:f>
        <x:v>0.21205756735719733</x:v>
      </x:c>
      <x:c r="AA141" s="19" t="n">
        <x:f>T141*'参数'!$B$30/('参数'!$B$32*'参数'!$B$33)/(1-Z141)*AC141</x:f>
        <x:v>653.5941035559983</x:v>
      </x:c>
      <x:c r="AB141" s="19" t="n">
        <x:f>T141*'参数'!$B$31/'参数'!$B$34/(1-Z141)*AC141</x:f>
        <x:v>1307.1882071119965</x:v>
      </x:c>
      <x:c r="AC141" s="20" t="n">
        <x:f>'参数'!$L$27*1</x:f>
        <x:v>1.05</x:v>
      </x:c>
      <x:c r="AD141" s="20" t="n">
        <x:f>1</x:f>
        <x:v>1</x:v>
      </x:c>
      <x:c r="AE141" s="19" t="n">
        <x:f>IF(MOD(B141,12)=0,1,0)</x:f>
        <x:v>0</x:v>
      </x:c>
    </x:row>
    <x:row r="142" ht="22" customHeight="1">
      <x:c r="A142" s="18" t="str">
        <x:v>困难</x:v>
      </x:c>
      <x:c r="B142" s="18" t="n">
        <x:v>17</x:v>
      </x:c>
      <x:c r="C142" s="18" t="n">
        <x:f>ROUNDUP(B142/12,0)</x:f>
        <x:v>2</x:v>
      </x:c>
      <x:c r="D142" s="18" t="n">
        <x:f>ROUND(MAX('参数'!$G$27,E142)+(IF(C142&lt;10,INDEX('参数'!$G$35:$P$35,1,MIN(10,C142+1)),'参数'!$H$27)-MAX('参数'!$G$27,E142))*MOD(B142-1,12)/11,0)</x:f>
        <x:v>57</x:v>
      </x:c>
      <x:c r="E142" s="18" t="n">
        <x:f>INDEX('参数'!$G$35:$P$35,1,C142)</x:f>
        <x:v>55</x:v>
      </x:c>
      <x:c r="F142" s="15" t="n">
        <x:f>'参数'!$I$27</x:f>
        <x:v>1.1</x:v>
      </x:c>
      <x:c r="G142" s="18" t="n">
        <x:f>ROUND(V142*X142/'参数'!$B$56,0)</x:f>
        <x:v>43619</x:v>
      </x:c>
      <x:c r="H142" s="18" t="n">
        <x:f>ROUND((AA142+SQRT(AA142^2+4*AA142*'参数'!$B$22*U142))/2,0)</x:f>
        <x:v>1350</x:v>
      </x:c>
      <x:c r="I142" s="18" t="n">
        <x:f>ROUND(Q142*'参数'!$B$23/'参数'!$B$22,0)</x:f>
        <x:v>352</x:v>
      </x:c>
      <x:c r="J142" s="18" t="n">
        <x:f>ROUND(G142*'参数'!$B$50,0)</x:f>
        <x:v>130857</x:v>
      </x:c>
      <x:c r="K142" s="18" t="n">
        <x:f>ROUND(W142*Y142,0)</x:f>
        <x:v>414800</x:v>
      </x:c>
      <x:c r="L142" s="18" t="n">
        <x:f>ROUND((AB142+SQRT(AB142^2+4*AB142*'参数'!$B$22*U142))/2,0)</x:f>
        <x:v>2183</x:v>
      </x:c>
      <x:c r="M142" s="18" t="n">
        <x:f>ROUND(I142*'参数'!$B$24,0)</x:f>
        <x:v>440</x:v>
      </x:c>
      <x:c r="N142" s="18" t="n">
        <x:f>'参数'!$B$9*'参数'!$B$10^(D142-1)</x:f>
        <x:v>3140.7678296427084</x:v>
      </x:c>
      <x:c r="O142" s="18" t="n">
        <x:f>'参数'!$B$18*'参数'!$B$19^(MIN(E142,MAX(1,5*INT(D142/5)))-1)*F142*'参数'!$J$27*P142</x:f>
        <x:v>292.9418164921884</x:v>
      </x:c>
      <x:c r="P142" s="21" t="n">
        <x:f>MIN(1,(D142-1)/19)</x:f>
        <x:v>1</x:v>
      </x:c>
      <x:c r="Q142" s="18" t="n">
        <x:f>INDEX('角色成长'!$F$6:$F$105,D142)+O142*'参数'!$K$21</x:f>
        <x:v>1761.884177002737</x:v>
      </x:c>
      <x:c r="R142" s="18" t="n">
        <x:f>INDEX('角色成长'!$I$6:$I$105,D142)+O142*'参数'!$K$21</x:f>
        <x:v>1501.884177002737</x:v>
      </x:c>
      <x:c r="S142" s="18" t="n">
        <x:f>INDEX('角色成长'!$L$6:$L$105,D142)+O142*'参数'!$K$21</x:f>
        <x:v>1353.884177002737</x:v>
      </x:c>
      <x:c r="T142" s="18" t="n">
        <x:f>(INDEX('角色成长'!$J$6:$J$105,D142)+O142*'参数'!$L$21)*(1+'参数'!$B$40*P142)</x:f>
        <x:v>20067.639158739243</x:v>
      </x:c>
      <x:c r="U142" s="18" t="n">
        <x:f>(INDEX('角色成长'!$K$6:$K$105,D142)+O142*'参数'!$M$21)*(1+'参数'!$B$41*P142)</x:f>
        <x:v>1094.1129967474628</x:v>
      </x:c>
      <x:c r="V142" s="18" t="n">
        <x:f>(('参数'!$K$5*(((Q142*(1+'参数'!$B$39*P142))^2/((Q142*(1+'参数'!$B$39*P142))+'参数'!$B$22*(I142)))*(1+'参数'!$B$42*P142)/'参数'!$J$5+((Q142*'参数'!$B$43*(1+'参数'!$B$39*P142))^2/((Q142*'参数'!$B$43*(1+'参数'!$B$39*P142))+'参数'!$B$22*(I142)))/'参数'!$B$44))+(((R142*(1+'参数'!$B$39*P142))^2/((R142*(1+'参数'!$B$39*P142))+'参数'!$B$22*(I142)))*(1+'参数'!$B$42*P142)/'参数'!$J$6+((R142*'参数'!$B$45*(1+'参数'!$B$39*P142))^2/((R142*'参数'!$B$45*(1+'参数'!$B$39*P142))+'参数'!$B$22*(I142)))/'参数'!$B$46)+((S142*(1+'参数'!$B$39*P142))^2/((S142*(1+'参数'!$B$39*P142))+'参数'!$B$22*(I142)))*(1+'参数'!$B$42*P142)/'参数'!$J$7)*(1+'参数'!$B$37*('参数'!$B$38-1))*'参数'!$B$25</x:f>
        <x:v>11849.342996518058</x:v>
      </x:c>
      <x:c r="W142" s="18" t="n">
        <x:f>(('参数'!$K$5*(((Q142*(1+'参数'!$B$39*P142))^2/((Q142*(1+'参数'!$B$39*P142))+'参数'!$B$22*(M142)))*(1+'参数'!$B$42*P142)/'参数'!$J$5+((Q142*'参数'!$B$43*(1+'参数'!$B$39*P142))^2/((Q142*'参数'!$B$43*(1+'参数'!$B$39*P142))+'参数'!$B$22*(M142)))/'参数'!$B$44))+(((R142*(1+'参数'!$B$39*P142))^2/((R142*(1+'参数'!$B$39*P142))+'参数'!$B$22*(M142)))*(1+'参数'!$B$42*P142)/'参数'!$J$6+((R142*'参数'!$B$45*(1+'参数'!$B$39*P142))^2/((R142*'参数'!$B$45*(1+'参数'!$B$39*P142))+'参数'!$B$22*(M142)))/'参数'!$B$46)+((S142*(1+'参数'!$B$39*P142))^2/((S142*(1+'参数'!$B$39*P142))+'参数'!$B$22*(M142)))*(1+'参数'!$B$42*P142)/'参数'!$J$7)*(1+'参数'!$B$37*('参数'!$B$38-1))</x:f>
        <x:v>9127.619684690695</x:v>
      </x:c>
      <x:c r="X142" s="25" t="n">
        <x:f>('参数'!$B$26+'参数'!$B$27*(D142-1)/99)*'参数'!$K$27*AD142</x:f>
        <x:v>16.933333333333334</x:v>
      </x:c>
      <x:c r="Y142" s="25" t="n">
        <x:f>('参数'!$B$28+'参数'!$B$29*(D142-1)/99)*'参数'!$K$27*AD142*IF(AE142=1,'参数'!$B$51,1)</x:f>
        <x:v>45.44444444444445</x:v>
      </x:c>
      <x:c r="Z142" s="21" t="n">
        <x:f>MIN('参数'!$B$36,U142/(U142+'参数'!$B$35))</x:f>
        <x:v>0.2147798836511955</x:v>
      </x:c>
      <x:c r="AA142" s="18" t="n">
        <x:f>T142*'参数'!$B$30/('参数'!$B$32*'参数'!$B$33)/(1-Z142)*AC142</x:f>
        <x:v>670.8635157825031</x:v>
      </x:c>
      <x:c r="AB142" s="18" t="n">
        <x:f>T142*'参数'!$B$31/'参数'!$B$34/(1-Z142)*AC142</x:f>
        <x:v>1341.7270315650062</x:v>
      </x:c>
      <x:c r="AC142" s="15" t="n">
        <x:f>'参数'!$L$27*1</x:f>
        <x:v>1.05</x:v>
      </x:c>
      <x:c r="AD142" s="15" t="n">
        <x:f>1</x:f>
        <x:v>1</x:v>
      </x:c>
      <x:c r="AE142" s="18" t="n">
        <x:f>IF(MOD(B142,12)=0,1,0)</x:f>
        <x:v>0</x:v>
      </x:c>
    </x:row>
    <x:row r="143" ht="22" customHeight="1">
      <x:c r="A143" s="19" t="str">
        <x:v>困难</x:v>
      </x:c>
      <x:c r="B143" s="19" t="n">
        <x:v>18</x:v>
      </x:c>
      <x:c r="C143" s="19" t="n">
        <x:f>ROUNDUP(B143/12,0)</x:f>
        <x:v>2</x:v>
      </x:c>
      <x:c r="D143" s="19" t="n">
        <x:f>ROUND(MAX('参数'!$G$27,E143)+(IF(C143&lt;10,INDEX('参数'!$G$35:$P$35,1,MIN(10,C143+1)),'参数'!$H$27)-MAX('参数'!$G$27,E143))*MOD(B143-1,12)/11,0)</x:f>
        <x:v>57</x:v>
      </x:c>
      <x:c r="E143" s="19" t="n">
        <x:f>INDEX('参数'!$G$35:$P$35,1,C143)</x:f>
        <x:v>55</x:v>
      </x:c>
      <x:c r="F143" s="20" t="n">
        <x:f>'参数'!$I$27</x:f>
        <x:v>1.1</x:v>
      </x:c>
      <x:c r="G143" s="19" t="n">
        <x:f>ROUND(V143*X143/'参数'!$B$56,0)</x:f>
        <x:v>43619</x:v>
      </x:c>
      <x:c r="H143" s="19" t="n">
        <x:f>ROUND((AA143+SQRT(AA143^2+4*AA143*'参数'!$B$22*U143))/2,0)</x:f>
        <x:v>1350</x:v>
      </x:c>
      <x:c r="I143" s="19" t="n">
        <x:f>ROUND(Q143*'参数'!$B$23/'参数'!$B$22,0)</x:f>
        <x:v>352</x:v>
      </x:c>
      <x:c r="J143" s="19" t="n">
        <x:f>ROUND(G143*'参数'!$B$50,0)</x:f>
        <x:v>130857</x:v>
      </x:c>
      <x:c r="K143" s="19" t="n">
        <x:f>ROUND(W143*Y143,0)</x:f>
        <x:v>414800</x:v>
      </x:c>
      <x:c r="L143" s="19" t="n">
        <x:f>ROUND((AB143+SQRT(AB143^2+4*AB143*'参数'!$B$22*U143))/2,0)</x:f>
        <x:v>2183</x:v>
      </x:c>
      <x:c r="M143" s="19" t="n">
        <x:f>ROUND(I143*'参数'!$B$24,0)</x:f>
        <x:v>440</x:v>
      </x:c>
      <x:c r="N143" s="19" t="n">
        <x:f>'参数'!$B$9*'参数'!$B$10^(D143-1)</x:f>
        <x:v>3140.7678296427084</x:v>
      </x:c>
      <x:c r="O143" s="19" t="n">
        <x:f>'参数'!$B$18*'参数'!$B$19^(MIN(E143,MAX(1,5*INT(D143/5)))-1)*F143*'参数'!$J$27*P143</x:f>
        <x:v>292.9418164921884</x:v>
      </x:c>
      <x:c r="P143" s="22" t="n">
        <x:f>MIN(1,(D143-1)/19)</x:f>
        <x:v>1</x:v>
      </x:c>
      <x:c r="Q143" s="19" t="n">
        <x:f>INDEX('角色成长'!$F$6:$F$105,D143)+O143*'参数'!$K$21</x:f>
        <x:v>1761.884177002737</x:v>
      </x:c>
      <x:c r="R143" s="19" t="n">
        <x:f>INDEX('角色成长'!$I$6:$I$105,D143)+O143*'参数'!$K$21</x:f>
        <x:v>1501.884177002737</x:v>
      </x:c>
      <x:c r="S143" s="19" t="n">
        <x:f>INDEX('角色成长'!$L$6:$L$105,D143)+O143*'参数'!$K$21</x:f>
        <x:v>1353.884177002737</x:v>
      </x:c>
      <x:c r="T143" s="19" t="n">
        <x:f>(INDEX('角色成长'!$J$6:$J$105,D143)+O143*'参数'!$L$21)*(1+'参数'!$B$40*P143)</x:f>
        <x:v>20067.639158739243</x:v>
      </x:c>
      <x:c r="U143" s="19" t="n">
        <x:f>(INDEX('角色成长'!$K$6:$K$105,D143)+O143*'参数'!$M$21)*(1+'参数'!$B$41*P143)</x:f>
        <x:v>1094.1129967474628</x:v>
      </x:c>
      <x:c r="V143" s="19" t="n">
        <x:f>(('参数'!$K$5*(((Q143*(1+'参数'!$B$39*P143))^2/((Q143*(1+'参数'!$B$39*P143))+'参数'!$B$22*(I143)))*(1+'参数'!$B$42*P143)/'参数'!$J$5+((Q143*'参数'!$B$43*(1+'参数'!$B$39*P143))^2/((Q143*'参数'!$B$43*(1+'参数'!$B$39*P143))+'参数'!$B$22*(I143)))/'参数'!$B$44))+(((R143*(1+'参数'!$B$39*P143))^2/((R143*(1+'参数'!$B$39*P143))+'参数'!$B$22*(I143)))*(1+'参数'!$B$42*P143)/'参数'!$J$6+((R143*'参数'!$B$45*(1+'参数'!$B$39*P143))^2/((R143*'参数'!$B$45*(1+'参数'!$B$39*P143))+'参数'!$B$22*(I143)))/'参数'!$B$46)+((S143*(1+'参数'!$B$39*P143))^2/((S143*(1+'参数'!$B$39*P143))+'参数'!$B$22*(I143)))*(1+'参数'!$B$42*P143)/'参数'!$J$7)*(1+'参数'!$B$37*('参数'!$B$38-1))*'参数'!$B$25</x:f>
        <x:v>11849.342996518058</x:v>
      </x:c>
      <x:c r="W143" s="19" t="n">
        <x:f>(('参数'!$K$5*(((Q143*(1+'参数'!$B$39*P143))^2/((Q143*(1+'参数'!$B$39*P143))+'参数'!$B$22*(M143)))*(1+'参数'!$B$42*P143)/'参数'!$J$5+((Q143*'参数'!$B$43*(1+'参数'!$B$39*P143))^2/((Q143*'参数'!$B$43*(1+'参数'!$B$39*P143))+'参数'!$B$22*(M143)))/'参数'!$B$44))+(((R143*(1+'参数'!$B$39*P143))^2/((R143*(1+'参数'!$B$39*P143))+'参数'!$B$22*(M143)))*(1+'参数'!$B$42*P143)/'参数'!$J$6+((R143*'参数'!$B$45*(1+'参数'!$B$39*P143))^2/((R143*'参数'!$B$45*(1+'参数'!$B$39*P143))+'参数'!$B$22*(M143)))/'参数'!$B$46)+((S143*(1+'参数'!$B$39*P143))^2/((S143*(1+'参数'!$B$39*P143))+'参数'!$B$22*(M143)))*(1+'参数'!$B$42*P143)/'参数'!$J$7)*(1+'参数'!$B$37*('参数'!$B$38-1))</x:f>
        <x:v>9127.619684690695</x:v>
      </x:c>
      <x:c r="X143" s="26" t="n">
        <x:f>('参数'!$B$26+'参数'!$B$27*(D143-1)/99)*'参数'!$K$27*AD143</x:f>
        <x:v>16.933333333333334</x:v>
      </x:c>
      <x:c r="Y143" s="26" t="n">
        <x:f>('参数'!$B$28+'参数'!$B$29*(D143-1)/99)*'参数'!$K$27*AD143*IF(AE143=1,'参数'!$B$51,1)</x:f>
        <x:v>45.44444444444445</x:v>
      </x:c>
      <x:c r="Z143" s="22" t="n">
        <x:f>MIN('参数'!$B$36,U143/(U143+'参数'!$B$35))</x:f>
        <x:v>0.2147798836511955</x:v>
      </x:c>
      <x:c r="AA143" s="19" t="n">
        <x:f>T143*'参数'!$B$30/('参数'!$B$32*'参数'!$B$33)/(1-Z143)*AC143</x:f>
        <x:v>670.8635157825031</x:v>
      </x:c>
      <x:c r="AB143" s="19" t="n">
        <x:f>T143*'参数'!$B$31/'参数'!$B$34/(1-Z143)*AC143</x:f>
        <x:v>1341.7270315650062</x:v>
      </x:c>
      <x:c r="AC143" s="20" t="n">
        <x:f>'参数'!$L$27*1</x:f>
        <x:v>1.05</x:v>
      </x:c>
      <x:c r="AD143" s="20" t="n">
        <x:f>1</x:f>
        <x:v>1</x:v>
      </x:c>
      <x:c r="AE143" s="19" t="n">
        <x:f>IF(MOD(B143,12)=0,1,0)</x:f>
        <x:v>0</x:v>
      </x:c>
    </x:row>
    <x:row r="144" ht="22" customHeight="1">
      <x:c r="A144" s="18" t="str">
        <x:v>困难</x:v>
      </x:c>
      <x:c r="B144" s="18" t="n">
        <x:v>19</x:v>
      </x:c>
      <x:c r="C144" s="18" t="n">
        <x:f>ROUNDUP(B144/12,0)</x:f>
        <x:v>2</x:v>
      </x:c>
      <x:c r="D144" s="18" t="n">
        <x:f>ROUND(MAX('参数'!$G$27,E144)+(IF(C144&lt;10,INDEX('参数'!$G$35:$P$35,1,MIN(10,C144+1)),'参数'!$H$27)-MAX('参数'!$G$27,E144))*MOD(B144-1,12)/11,0)</x:f>
        <x:v>58</x:v>
      </x:c>
      <x:c r="E144" s="18" t="n">
        <x:f>INDEX('参数'!$G$35:$P$35,1,C144)</x:f>
        <x:v>55</x:v>
      </x:c>
      <x:c r="F144" s="15" t="n">
        <x:f>'参数'!$I$27</x:f>
        <x:v>1.1</x:v>
      </x:c>
      <x:c r="G144" s="18" t="n">
        <x:f>ROUND(V144*X144/'参数'!$B$56,0)</x:f>
        <x:v>44533</x:v>
      </x:c>
      <x:c r="H144" s="18" t="n">
        <x:f>ROUND((AA144+SQRT(AA144^2+4*AA144*'参数'!$B$22*U144))/2,0)</x:f>
        <x:v>1382</x:v>
      </x:c>
      <x:c r="I144" s="18" t="n">
        <x:f>ROUND(Q144*'参数'!$B$23/'参数'!$B$22,0)</x:f>
        <x:v>359</x:v>
      </x:c>
      <x:c r="J144" s="18" t="n">
        <x:f>ROUND(G144*'参数'!$B$50,0)</x:f>
        <x:v>133599</x:v>
      </x:c>
      <x:c r="K144" s="18" t="n">
        <x:f>ROUND(W144*Y144,0)</x:f>
        <x:v>423820</x:v>
      </x:c>
      <x:c r="L144" s="18" t="n">
        <x:f>ROUND((AB144+SQRT(AB144^2+4*AB144*'参数'!$B$22*U144))/2,0)</x:f>
        <x:v>2235</x:v>
      </x:c>
      <x:c r="M144" s="18" t="n">
        <x:f>ROUND(I144*'参数'!$B$24,0)</x:f>
        <x:v>449</x:v>
      </x:c>
      <x:c r="N144" s="18" t="n">
        <x:f>'参数'!$B$9*'参数'!$B$10^(D144-1)</x:f>
        <x:v>3234.9908645319897</x:v>
      </x:c>
      <x:c r="O144" s="18" t="n">
        <x:f>'参数'!$B$18*'参数'!$B$19^(MIN(E144,MAX(1,5*INT(D144/5)))-1)*F144*'参数'!$J$27*P144</x:f>
        <x:v>292.9418164921884</x:v>
      </x:c>
      <x:c r="P144" s="21" t="n">
        <x:f>MIN(1,(D144-1)/19)</x:f>
        <x:v>1</x:v>
      </x:c>
      <x:c r="Q144" s="18" t="n">
        <x:f>INDEX('角色成长'!$F$6:$F$105,D144)+O144*'参数'!$K$21</x:f>
        <x:v>1793.884177002737</x:v>
      </x:c>
      <x:c r="R144" s="18" t="n">
        <x:f>INDEX('角色成长'!$I$6:$I$105,D144)+O144*'参数'!$K$21</x:f>
        <x:v>1525.884177002737</x:v>
      </x:c>
      <x:c r="S144" s="18" t="n">
        <x:f>INDEX('角色成长'!$L$6:$L$105,D144)+O144*'参数'!$K$21</x:f>
        <x:v>1371.884177002737</x:v>
      </x:c>
      <x:c r="T144" s="18" t="n">
        <x:f>(INDEX('角色成长'!$J$6:$J$105,D144)+O144*'参数'!$L$21)*(1+'参数'!$B$40*P144)</x:f>
        <x:v>20531.839158739243</x:v>
      </x:c>
      <x:c r="U144" s="18" t="n">
        <x:f>(INDEX('角色成长'!$K$6:$K$105,D144)+O144*'参数'!$M$21)*(1+'参数'!$B$41*P144)</x:f>
        <x:v>1112.8129967474629</x:v>
      </x:c>
      <x:c r="V144" s="18" t="n">
        <x:f>(('参数'!$K$5*(((Q144*(1+'参数'!$B$39*P144))^2/((Q144*(1+'参数'!$B$39*P144))+'参数'!$B$22*(I144)))*(1+'参数'!$B$42*P144)/'参数'!$J$5+((Q144*'参数'!$B$43*(1+'参数'!$B$39*P144))^2/((Q144*'参数'!$B$43*(1+'参数'!$B$39*P144))+'参数'!$B$22*(I144)))/'参数'!$B$44))+(((R144*(1+'参数'!$B$39*P144))^2/((R144*(1+'参数'!$B$39*P144))+'参数'!$B$22*(I144)))*(1+'参数'!$B$42*P144)/'参数'!$J$6+((R144*'参数'!$B$45*(1+'参数'!$B$39*P144))^2/((R144*'参数'!$B$45*(1+'参数'!$B$39*P144))+'参数'!$B$22*(I144)))/'参数'!$B$46)+((S144*(1+'参数'!$B$39*P144))^2/((S144*(1+'参数'!$B$39*P144))+'参数'!$B$22*(I144)))*(1+'参数'!$B$42*P144)/'参数'!$J$7)*(1+'参数'!$B$37*('参数'!$B$38-1))*'参数'!$B$25</x:f>
        <x:v>12050.20549560866</x:v>
      </x:c>
      <x:c r="W144" s="18" t="n">
        <x:f>(('参数'!$K$5*(((Q144*(1+'参数'!$B$39*P144))^2/((Q144*(1+'参数'!$B$39*P144))+'参数'!$B$22*(M144)))*(1+'参数'!$B$42*P144)/'参数'!$J$5+((Q144*'参数'!$B$43*(1+'参数'!$B$39*P144))^2/((Q144*'参数'!$B$43*(1+'参数'!$B$39*P144))+'参数'!$B$22*(M144)))/'参数'!$B$44))+(((R144*(1+'参数'!$B$39*P144))^2/((R144*(1+'参数'!$B$39*P144))+'参数'!$B$22*(M144)))*(1+'参数'!$B$42*P144)/'参数'!$J$6+((R144*'参数'!$B$45*(1+'参数'!$B$39*P144))^2/((R144*'参数'!$B$45*(1+'参数'!$B$39*P144))+'参数'!$B$22*(M144)))/'参数'!$B$46)+((S144*(1+'参数'!$B$39*P144))^2/((S144*(1+'参数'!$B$39*P144))+'参数'!$B$22*(M144)))*(1+'参数'!$B$42*P144)/'参数'!$J$7)*(1+'参数'!$B$37*('参数'!$B$38-1))</x:f>
        <x:v>9280.738489882422</x:v>
      </x:c>
      <x:c r="X144" s="25" t="n">
        <x:f>('参数'!$B$26+'参数'!$B$27*(D144-1)/99)*'参数'!$K$27*AD144</x:f>
        <x:v>17.000000000000004</x:v>
      </x:c>
      <x:c r="Y144" s="25" t="n">
        <x:f>('参数'!$B$28+'参数'!$B$29*(D144-1)/99)*'参数'!$K$27*AD144*IF(AE144=1,'参数'!$B$51,1)</x:f>
        <x:v>45.66666666666667</x:v>
      </x:c>
      <x:c r="Z144" s="21" t="n">
        <x:f>MIN('参数'!$B$36,U144/(U144+'参数'!$B$35))</x:f>
        <x:v>0.21765180879006985</x:v>
      </x:c>
      <x:c r="AA144" s="18" t="n">
        <x:f>T144*'参数'!$B$30/('参数'!$B$32*'参数'!$B$33)/(1-Z144)*AC144</x:f>
        <x:v>688.901417517669</x:v>
      </x:c>
      <x:c r="AB144" s="18" t="n">
        <x:f>T144*'参数'!$B$31/'参数'!$B$34/(1-Z144)*AC144</x:f>
        <x:v>1377.802835035338</x:v>
      </x:c>
      <x:c r="AC144" s="15" t="n">
        <x:f>'参数'!$L$27*1</x:f>
        <x:v>1.05</x:v>
      </x:c>
      <x:c r="AD144" s="15" t="n">
        <x:f>1</x:f>
        <x:v>1</x:v>
      </x:c>
      <x:c r="AE144" s="18" t="n">
        <x:f>IF(MOD(B144,12)=0,1,0)</x:f>
        <x:v>0</x:v>
      </x:c>
    </x:row>
    <x:row r="145" ht="22" customHeight="1">
      <x:c r="A145" s="19" t="str">
        <x:v>困难</x:v>
      </x:c>
      <x:c r="B145" s="19" t="n">
        <x:v>20</x:v>
      </x:c>
      <x:c r="C145" s="19" t="n">
        <x:f>ROUNDUP(B145/12,0)</x:f>
        <x:v>2</x:v>
      </x:c>
      <x:c r="D145" s="19" t="n">
        <x:f>ROUND(MAX('参数'!$G$27,E145)+(IF(C145&lt;10,INDEX('参数'!$G$35:$P$35,1,MIN(10,C145+1)),'参数'!$H$27)-MAX('参数'!$G$27,E145))*MOD(B145-1,12)/11,0)</x:f>
        <x:v>58</x:v>
      </x:c>
      <x:c r="E145" s="19" t="n">
        <x:f>INDEX('参数'!$G$35:$P$35,1,C145)</x:f>
        <x:v>55</x:v>
      </x:c>
      <x:c r="F145" s="20" t="n">
        <x:f>'参数'!$I$27</x:f>
        <x:v>1.1</x:v>
      </x:c>
      <x:c r="G145" s="19" t="n">
        <x:f>ROUND(V145*X145/'参数'!$B$56,0)</x:f>
        <x:v>44533</x:v>
      </x:c>
      <x:c r="H145" s="19" t="n">
        <x:f>ROUND((AA145+SQRT(AA145^2+4*AA145*'参数'!$B$22*U145))/2,0)</x:f>
        <x:v>1382</x:v>
      </x:c>
      <x:c r="I145" s="19" t="n">
        <x:f>ROUND(Q145*'参数'!$B$23/'参数'!$B$22,0)</x:f>
        <x:v>359</x:v>
      </x:c>
      <x:c r="J145" s="19" t="n">
        <x:f>ROUND(G145*'参数'!$B$50,0)</x:f>
        <x:v>133599</x:v>
      </x:c>
      <x:c r="K145" s="19" t="n">
        <x:f>ROUND(W145*Y145,0)</x:f>
        <x:v>423820</x:v>
      </x:c>
      <x:c r="L145" s="19" t="n">
        <x:f>ROUND((AB145+SQRT(AB145^2+4*AB145*'参数'!$B$22*U145))/2,0)</x:f>
        <x:v>2235</x:v>
      </x:c>
      <x:c r="M145" s="19" t="n">
        <x:f>ROUND(I145*'参数'!$B$24,0)</x:f>
        <x:v>449</x:v>
      </x:c>
      <x:c r="N145" s="19" t="n">
        <x:f>'参数'!$B$9*'参数'!$B$10^(D145-1)</x:f>
        <x:v>3234.9908645319897</x:v>
      </x:c>
      <x:c r="O145" s="19" t="n">
        <x:f>'参数'!$B$18*'参数'!$B$19^(MIN(E145,MAX(1,5*INT(D145/5)))-1)*F145*'参数'!$J$27*P145</x:f>
        <x:v>292.9418164921884</x:v>
      </x:c>
      <x:c r="P145" s="22" t="n">
        <x:f>MIN(1,(D145-1)/19)</x:f>
        <x:v>1</x:v>
      </x:c>
      <x:c r="Q145" s="19" t="n">
        <x:f>INDEX('角色成长'!$F$6:$F$105,D145)+O145*'参数'!$K$21</x:f>
        <x:v>1793.884177002737</x:v>
      </x:c>
      <x:c r="R145" s="19" t="n">
        <x:f>INDEX('角色成长'!$I$6:$I$105,D145)+O145*'参数'!$K$21</x:f>
        <x:v>1525.884177002737</x:v>
      </x:c>
      <x:c r="S145" s="19" t="n">
        <x:f>INDEX('角色成长'!$L$6:$L$105,D145)+O145*'参数'!$K$21</x:f>
        <x:v>1371.884177002737</x:v>
      </x:c>
      <x:c r="T145" s="19" t="n">
        <x:f>(INDEX('角色成长'!$J$6:$J$105,D145)+O145*'参数'!$L$21)*(1+'参数'!$B$40*P145)</x:f>
        <x:v>20531.839158739243</x:v>
      </x:c>
      <x:c r="U145" s="19" t="n">
        <x:f>(INDEX('角色成长'!$K$6:$K$105,D145)+O145*'参数'!$M$21)*(1+'参数'!$B$41*P145)</x:f>
        <x:v>1112.8129967474629</x:v>
      </x:c>
      <x:c r="V145" s="19" t="n">
        <x:f>(('参数'!$K$5*(((Q145*(1+'参数'!$B$39*P145))^2/((Q145*(1+'参数'!$B$39*P145))+'参数'!$B$22*(I145)))*(1+'参数'!$B$42*P145)/'参数'!$J$5+((Q145*'参数'!$B$43*(1+'参数'!$B$39*P145))^2/((Q145*'参数'!$B$43*(1+'参数'!$B$39*P145))+'参数'!$B$22*(I145)))/'参数'!$B$44))+(((R145*(1+'参数'!$B$39*P145))^2/((R145*(1+'参数'!$B$39*P145))+'参数'!$B$22*(I145)))*(1+'参数'!$B$42*P145)/'参数'!$J$6+((R145*'参数'!$B$45*(1+'参数'!$B$39*P145))^2/((R145*'参数'!$B$45*(1+'参数'!$B$39*P145))+'参数'!$B$22*(I145)))/'参数'!$B$46)+((S145*(1+'参数'!$B$39*P145))^2/((S145*(1+'参数'!$B$39*P145))+'参数'!$B$22*(I145)))*(1+'参数'!$B$42*P145)/'参数'!$J$7)*(1+'参数'!$B$37*('参数'!$B$38-1))*'参数'!$B$25</x:f>
        <x:v>12050.20549560866</x:v>
      </x:c>
      <x:c r="W145" s="19" t="n">
        <x:f>(('参数'!$K$5*(((Q145*(1+'参数'!$B$39*P145))^2/((Q145*(1+'参数'!$B$39*P145))+'参数'!$B$22*(M145)))*(1+'参数'!$B$42*P145)/'参数'!$J$5+((Q145*'参数'!$B$43*(1+'参数'!$B$39*P145))^2/((Q145*'参数'!$B$43*(1+'参数'!$B$39*P145))+'参数'!$B$22*(M145)))/'参数'!$B$44))+(((R145*(1+'参数'!$B$39*P145))^2/((R145*(1+'参数'!$B$39*P145))+'参数'!$B$22*(M145)))*(1+'参数'!$B$42*P145)/'参数'!$J$6+((R145*'参数'!$B$45*(1+'参数'!$B$39*P145))^2/((R145*'参数'!$B$45*(1+'参数'!$B$39*P145))+'参数'!$B$22*(M145)))/'参数'!$B$46)+((S145*(1+'参数'!$B$39*P145))^2/((S145*(1+'参数'!$B$39*P145))+'参数'!$B$22*(M145)))*(1+'参数'!$B$42*P145)/'参数'!$J$7)*(1+'参数'!$B$37*('参数'!$B$38-1))</x:f>
        <x:v>9280.738489882422</x:v>
      </x:c>
      <x:c r="X145" s="26" t="n">
        <x:f>('参数'!$B$26+'参数'!$B$27*(D145-1)/99)*'参数'!$K$27*AD145</x:f>
        <x:v>17.000000000000004</x:v>
      </x:c>
      <x:c r="Y145" s="26" t="n">
        <x:f>('参数'!$B$28+'参数'!$B$29*(D145-1)/99)*'参数'!$K$27*AD145*IF(AE145=1,'参数'!$B$51,1)</x:f>
        <x:v>45.66666666666667</x:v>
      </x:c>
      <x:c r="Z145" s="22" t="n">
        <x:f>MIN('参数'!$B$36,U145/(U145+'参数'!$B$35))</x:f>
        <x:v>0.21765180879006985</x:v>
      </x:c>
      <x:c r="AA145" s="19" t="n">
        <x:f>T145*'参数'!$B$30/('参数'!$B$32*'参数'!$B$33)/(1-Z145)*AC145</x:f>
        <x:v>688.901417517669</x:v>
      </x:c>
      <x:c r="AB145" s="19" t="n">
        <x:f>T145*'参数'!$B$31/'参数'!$B$34/(1-Z145)*AC145</x:f>
        <x:v>1377.802835035338</x:v>
      </x:c>
      <x:c r="AC145" s="20" t="n">
        <x:f>'参数'!$L$27*1</x:f>
        <x:v>1.05</x:v>
      </x:c>
      <x:c r="AD145" s="20" t="n">
        <x:f>1</x:f>
        <x:v>1</x:v>
      </x:c>
      <x:c r="AE145" s="19" t="n">
        <x:f>IF(MOD(B145,12)=0,1,0)</x:f>
        <x:v>0</x:v>
      </x:c>
    </x:row>
    <x:row r="146" ht="22" customHeight="1">
      <x:c r="A146" s="18" t="str">
        <x:v>困难</x:v>
      </x:c>
      <x:c r="B146" s="18" t="n">
        <x:v>21</x:v>
      </x:c>
      <x:c r="C146" s="18" t="n">
        <x:f>ROUNDUP(B146/12,0)</x:f>
        <x:v>2</x:v>
      </x:c>
      <x:c r="D146" s="18" t="n">
        <x:f>ROUND(MAX('参数'!$G$27,E146)+(IF(C146&lt;10,INDEX('参数'!$G$35:$P$35,1,MIN(10,C146+1)),'参数'!$H$27)-MAX('参数'!$G$27,E146))*MOD(B146-1,12)/11,0)</x:f>
        <x:v>59</x:v>
      </x:c>
      <x:c r="E146" s="18" t="n">
        <x:f>INDEX('参数'!$G$35:$P$35,1,C146)</x:f>
        <x:v>55</x:v>
      </x:c>
      <x:c r="F146" s="15" t="n">
        <x:f>'参数'!$I$27</x:f>
        <x:v>1.1</x:v>
      </x:c>
      <x:c r="G146" s="18" t="n">
        <x:f>ROUND(V146*X146/'参数'!$B$56,0)</x:f>
        <x:v>45500</x:v>
      </x:c>
      <x:c r="H146" s="18" t="n">
        <x:f>ROUND((AA146+SQRT(AA146^2+4*AA146*'参数'!$B$22*U146))/2,0)</x:f>
        <x:v>1415</x:v>
      </x:c>
      <x:c r="I146" s="18" t="n">
        <x:f>ROUND(Q146*'参数'!$B$23/'参数'!$B$22,0)</x:f>
        <x:v>366</x:v>
      </x:c>
      <x:c r="J146" s="18" t="n">
        <x:f>ROUND(G146*'参数'!$B$50,0)</x:f>
        <x:v>136500</x:v>
      </x:c>
      <x:c r="K146" s="18" t="n">
        <x:f>ROUND(W146*Y146,0)</x:f>
        <x:v>433366</x:v>
      </x:c>
      <x:c r="L146" s="18" t="n">
        <x:f>ROUND((AB146+SQRT(AB146^2+4*AB146*'参数'!$B$22*U146))/2,0)</x:f>
        <x:v>2290</x:v>
      </x:c>
      <x:c r="M146" s="18" t="n">
        <x:f>ROUND(I146*'参数'!$B$24,0)</x:f>
        <x:v>458</x:v>
      </x:c>
      <x:c r="N146" s="18" t="n">
        <x:f>'参数'!$B$9*'参数'!$B$10^(D146-1)</x:f>
        <x:v>3332.040590467949</x:v>
      </x:c>
      <x:c r="O146" s="18" t="n">
        <x:f>'参数'!$B$18*'参数'!$B$19^(MIN(E146,MAX(1,5*INT(D146/5)))-1)*F146*'参数'!$J$27*P146</x:f>
        <x:v>292.9418164921884</x:v>
      </x:c>
      <x:c r="P146" s="21" t="n">
        <x:f>MIN(1,(D146-1)/19)</x:f>
        <x:v>1</x:v>
      </x:c>
      <x:c r="Q146" s="18" t="n">
        <x:f>INDEX('角色成长'!$F$6:$F$105,D146)+O146*'参数'!$K$21</x:f>
        <x:v>1827.884177002737</x:v>
      </x:c>
      <x:c r="R146" s="18" t="n">
        <x:f>INDEX('角色成长'!$I$6:$I$105,D146)+O146*'参数'!$K$21</x:f>
        <x:v>1549.884177002737</x:v>
      </x:c>
      <x:c r="S146" s="18" t="n">
        <x:f>INDEX('角色成长'!$L$6:$L$105,D146)+O146*'参数'!$K$21</x:f>
        <x:v>1390.884177002737</x:v>
      </x:c>
      <x:c r="T146" s="18" t="n">
        <x:f>(INDEX('角色成长'!$J$6:$J$105,D146)+O146*'参数'!$L$21)*(1+'参数'!$B$40*P146)</x:f>
        <x:v>21013.639158739243</x:v>
      </x:c>
      <x:c r="U146" s="18" t="n">
        <x:f>(INDEX('角色成长'!$K$6:$K$105,D146)+O146*'参数'!$M$21)*(1+'参数'!$B$41*P146)</x:f>
        <x:v>1131.5129967474627</x:v>
      </x:c>
      <x:c r="V146" s="18" t="n">
        <x:f>(('参数'!$K$5*(((Q146*(1+'参数'!$B$39*P146))^2/((Q146*(1+'参数'!$B$39*P146))+'参数'!$B$22*(I146)))*(1+'参数'!$B$42*P146)/'参数'!$J$5+((Q146*'参数'!$B$43*(1+'参数'!$B$39*P146))^2/((Q146*'参数'!$B$43*(1+'参数'!$B$39*P146))+'参数'!$B$22*(I146)))/'参数'!$B$44))+(((R146*(1+'参数'!$B$39*P146))^2/((R146*(1+'参数'!$B$39*P146))+'参数'!$B$22*(I146)))*(1+'参数'!$B$42*P146)/'参数'!$J$6+((R146*'参数'!$B$45*(1+'参数'!$B$39*P146))^2/((R146*'参数'!$B$45*(1+'参数'!$B$39*P146))+'参数'!$B$22*(I146)))/'参数'!$B$46)+((S146*(1+'参数'!$B$39*P146))^2/((S146*(1+'参数'!$B$39*P146))+'参数'!$B$22*(I146)))*(1+'参数'!$B$42*P146)/'参数'!$J$7)*(1+'参数'!$B$37*('参数'!$B$38-1))*'参数'!$B$25</x:f>
        <x:v>12263.646858818767</x:v>
      </x:c>
      <x:c r="W146" s="18" t="n">
        <x:f>(('参数'!$K$5*(((Q146*(1+'参数'!$B$39*P146))^2/((Q146*(1+'参数'!$B$39*P146))+'参数'!$B$22*(M146)))*(1+'参数'!$B$42*P146)/'参数'!$J$5+((Q146*'参数'!$B$43*(1+'参数'!$B$39*P146))^2/((Q146*'参数'!$B$43*(1+'参数'!$B$39*P146))+'参数'!$B$22*(M146)))/'参数'!$B$44))+(((R146*(1+'参数'!$B$39*P146))^2/((R146*(1+'参数'!$B$39*P146))+'参数'!$B$22*(M146)))*(1+'参数'!$B$42*P146)/'参数'!$J$6+((R146*'参数'!$B$45*(1+'参数'!$B$39*P146))^2/((R146*'参数'!$B$45*(1+'参数'!$B$39*P146))+'参数'!$B$22*(M146)))/'参数'!$B$46)+((S146*(1+'参数'!$B$39*P146))^2/((S146*(1+'参数'!$B$39*P146))+'参数'!$B$22*(M146)))*(1+'参数'!$B$42*P146)/'参数'!$J$7)*(1+'参数'!$B$37*('参数'!$B$38-1))</x:f>
        <x:v>9443.813653364787</x:v>
      </x:c>
      <x:c r="X146" s="25" t="n">
        <x:f>('参数'!$B$26+'参数'!$B$27*(D146-1)/99)*'参数'!$K$27*AD146</x:f>
        <x:v>17.06666666666667</x:v>
      </x:c>
      <x:c r="Y146" s="25" t="n">
        <x:f>('参数'!$B$28+'参数'!$B$29*(D146-1)/99)*'参数'!$K$27*AD146*IF(AE146=1,'参数'!$B$51,1)</x:f>
        <x:v>45.88888888888889</x:v>
      </x:c>
      <x:c r="Z146" s="21" t="n">
        <x:f>MIN('参数'!$B$36,U146/(U146+'参数'!$B$35))</x:f>
        <x:v>0.22050280248041004</x:v>
      </x:c>
      <x:c r="AA146" s="18" t="n">
        <x:f>T146*'参数'!$B$30/('参数'!$B$32*'参数'!$B$33)/(1-Z146)*AC146</x:f>
        <x:v>707.6459410914591</x:v>
      </x:c>
      <x:c r="AB146" s="18" t="n">
        <x:f>T146*'参数'!$B$31/'参数'!$B$34/(1-Z146)*AC146</x:f>
        <x:v>1415.2918821829182</x:v>
      </x:c>
      <x:c r="AC146" s="15" t="n">
        <x:f>'参数'!$L$27*1</x:f>
        <x:v>1.05</x:v>
      </x:c>
      <x:c r="AD146" s="15" t="n">
        <x:f>1</x:f>
        <x:v>1</x:v>
      </x:c>
      <x:c r="AE146" s="18" t="n">
        <x:f>IF(MOD(B146,12)=0,1,0)</x:f>
        <x:v>0</x:v>
      </x:c>
    </x:row>
    <x:row r="147" ht="22" customHeight="1">
      <x:c r="A147" s="19" t="str">
        <x:v>困难</x:v>
      </x:c>
      <x:c r="B147" s="19" t="n">
        <x:v>22</x:v>
      </x:c>
      <x:c r="C147" s="19" t="n">
        <x:f>ROUNDUP(B147/12,0)</x:f>
        <x:v>2</x:v>
      </x:c>
      <x:c r="D147" s="19" t="n">
        <x:f>ROUND(MAX('参数'!$G$27,E147)+(IF(C147&lt;10,INDEX('参数'!$G$35:$P$35,1,MIN(10,C147+1)),'参数'!$H$27)-MAX('参数'!$G$27,E147))*MOD(B147-1,12)/11,0)</x:f>
        <x:v>59</x:v>
      </x:c>
      <x:c r="E147" s="19" t="n">
        <x:f>INDEX('参数'!$G$35:$P$35,1,C147)</x:f>
        <x:v>55</x:v>
      </x:c>
      <x:c r="F147" s="20" t="n">
        <x:f>'参数'!$I$27</x:f>
        <x:v>1.1</x:v>
      </x:c>
      <x:c r="G147" s="19" t="n">
        <x:f>ROUND(V147*X147/'参数'!$B$56,0)</x:f>
        <x:v>45500</x:v>
      </x:c>
      <x:c r="H147" s="19" t="n">
        <x:f>ROUND((AA147+SQRT(AA147^2+4*AA147*'参数'!$B$22*U147))/2,0)</x:f>
        <x:v>1415</x:v>
      </x:c>
      <x:c r="I147" s="19" t="n">
        <x:f>ROUND(Q147*'参数'!$B$23/'参数'!$B$22,0)</x:f>
        <x:v>366</x:v>
      </x:c>
      <x:c r="J147" s="19" t="n">
        <x:f>ROUND(G147*'参数'!$B$50,0)</x:f>
        <x:v>136500</x:v>
      </x:c>
      <x:c r="K147" s="19" t="n">
        <x:f>ROUND(W147*Y147,0)</x:f>
        <x:v>433366</x:v>
      </x:c>
      <x:c r="L147" s="19" t="n">
        <x:f>ROUND((AB147+SQRT(AB147^2+4*AB147*'参数'!$B$22*U147))/2,0)</x:f>
        <x:v>2290</x:v>
      </x:c>
      <x:c r="M147" s="19" t="n">
        <x:f>ROUND(I147*'参数'!$B$24,0)</x:f>
        <x:v>458</x:v>
      </x:c>
      <x:c r="N147" s="19" t="n">
        <x:f>'参数'!$B$9*'参数'!$B$10^(D147-1)</x:f>
        <x:v>3332.040590467949</x:v>
      </x:c>
      <x:c r="O147" s="19" t="n">
        <x:f>'参数'!$B$18*'参数'!$B$19^(MIN(E147,MAX(1,5*INT(D147/5)))-1)*F147*'参数'!$J$27*P147</x:f>
        <x:v>292.9418164921884</x:v>
      </x:c>
      <x:c r="P147" s="22" t="n">
        <x:f>MIN(1,(D147-1)/19)</x:f>
        <x:v>1</x:v>
      </x:c>
      <x:c r="Q147" s="19" t="n">
        <x:f>INDEX('角色成长'!$F$6:$F$105,D147)+O147*'参数'!$K$21</x:f>
        <x:v>1827.884177002737</x:v>
      </x:c>
      <x:c r="R147" s="19" t="n">
        <x:f>INDEX('角色成长'!$I$6:$I$105,D147)+O147*'参数'!$K$21</x:f>
        <x:v>1549.884177002737</x:v>
      </x:c>
      <x:c r="S147" s="19" t="n">
        <x:f>INDEX('角色成长'!$L$6:$L$105,D147)+O147*'参数'!$K$21</x:f>
        <x:v>1390.884177002737</x:v>
      </x:c>
      <x:c r="T147" s="19" t="n">
        <x:f>(INDEX('角色成长'!$J$6:$J$105,D147)+O147*'参数'!$L$21)*(1+'参数'!$B$40*P147)</x:f>
        <x:v>21013.639158739243</x:v>
      </x:c>
      <x:c r="U147" s="19" t="n">
        <x:f>(INDEX('角色成长'!$K$6:$K$105,D147)+O147*'参数'!$M$21)*(1+'参数'!$B$41*P147)</x:f>
        <x:v>1131.5129967474627</x:v>
      </x:c>
      <x:c r="V147" s="19" t="n">
        <x:f>(('参数'!$K$5*(((Q147*(1+'参数'!$B$39*P147))^2/((Q147*(1+'参数'!$B$39*P147))+'参数'!$B$22*(I147)))*(1+'参数'!$B$42*P147)/'参数'!$J$5+((Q147*'参数'!$B$43*(1+'参数'!$B$39*P147))^2/((Q147*'参数'!$B$43*(1+'参数'!$B$39*P147))+'参数'!$B$22*(I147)))/'参数'!$B$44))+(((R147*(1+'参数'!$B$39*P147))^2/((R147*(1+'参数'!$B$39*P147))+'参数'!$B$22*(I147)))*(1+'参数'!$B$42*P147)/'参数'!$J$6+((R147*'参数'!$B$45*(1+'参数'!$B$39*P147))^2/((R147*'参数'!$B$45*(1+'参数'!$B$39*P147))+'参数'!$B$22*(I147)))/'参数'!$B$46)+((S147*(1+'参数'!$B$39*P147))^2/((S147*(1+'参数'!$B$39*P147))+'参数'!$B$22*(I147)))*(1+'参数'!$B$42*P147)/'参数'!$J$7)*(1+'参数'!$B$37*('参数'!$B$38-1))*'参数'!$B$25</x:f>
        <x:v>12263.646858818767</x:v>
      </x:c>
      <x:c r="W147" s="19" t="n">
        <x:f>(('参数'!$K$5*(((Q147*(1+'参数'!$B$39*P147))^2/((Q147*(1+'参数'!$B$39*P147))+'参数'!$B$22*(M147)))*(1+'参数'!$B$42*P147)/'参数'!$J$5+((Q147*'参数'!$B$43*(1+'参数'!$B$39*P147))^2/((Q147*'参数'!$B$43*(1+'参数'!$B$39*P147))+'参数'!$B$22*(M147)))/'参数'!$B$44))+(((R147*(1+'参数'!$B$39*P147))^2/((R147*(1+'参数'!$B$39*P147))+'参数'!$B$22*(M147)))*(1+'参数'!$B$42*P147)/'参数'!$J$6+((R147*'参数'!$B$45*(1+'参数'!$B$39*P147))^2/((R147*'参数'!$B$45*(1+'参数'!$B$39*P147))+'参数'!$B$22*(M147)))/'参数'!$B$46)+((S147*(1+'参数'!$B$39*P147))^2/((S147*(1+'参数'!$B$39*P147))+'参数'!$B$22*(M147)))*(1+'参数'!$B$42*P147)/'参数'!$J$7)*(1+'参数'!$B$37*('参数'!$B$38-1))</x:f>
        <x:v>9443.813653364787</x:v>
      </x:c>
      <x:c r="X147" s="26" t="n">
        <x:f>('参数'!$B$26+'参数'!$B$27*(D147-1)/99)*'参数'!$K$27*AD147</x:f>
        <x:v>17.06666666666667</x:v>
      </x:c>
      <x:c r="Y147" s="26" t="n">
        <x:f>('参数'!$B$28+'参数'!$B$29*(D147-1)/99)*'参数'!$K$27*AD147*IF(AE147=1,'参数'!$B$51,1)</x:f>
        <x:v>45.88888888888889</x:v>
      </x:c>
      <x:c r="Z147" s="22" t="n">
        <x:f>MIN('参数'!$B$36,U147/(U147+'参数'!$B$35))</x:f>
        <x:v>0.22050280248041004</x:v>
      </x:c>
      <x:c r="AA147" s="19" t="n">
        <x:f>T147*'参数'!$B$30/('参数'!$B$32*'参数'!$B$33)/(1-Z147)*AC147</x:f>
        <x:v>707.6459410914591</x:v>
      </x:c>
      <x:c r="AB147" s="19" t="n">
        <x:f>T147*'参数'!$B$31/'参数'!$B$34/(1-Z147)*AC147</x:f>
        <x:v>1415.2918821829182</x:v>
      </x:c>
      <x:c r="AC147" s="20" t="n">
        <x:f>'参数'!$L$27*1</x:f>
        <x:v>1.05</x:v>
      </x:c>
      <x:c r="AD147" s="20" t="n">
        <x:f>1</x:f>
        <x:v>1</x:v>
      </x:c>
      <x:c r="AE147" s="19" t="n">
        <x:f>IF(MOD(B147,12)=0,1,0)</x:f>
        <x:v>0</x:v>
      </x:c>
    </x:row>
    <x:row r="148" ht="22" customHeight="1">
      <x:c r="A148" s="18" t="str">
        <x:v>困难</x:v>
      </x:c>
      <x:c r="B148" s="18" t="n">
        <x:v>23</x:v>
      </x:c>
      <x:c r="C148" s="18" t="n">
        <x:f>ROUNDUP(B148/12,0)</x:f>
        <x:v>2</x:v>
      </x:c>
      <x:c r="D148" s="18" t="n">
        <x:f>ROUND(MAX('参数'!$G$27,E148)+(IF(C148&lt;10,INDEX('参数'!$G$35:$P$35,1,MIN(10,C148+1)),'参数'!$H$27)-MAX('参数'!$G$27,E148))*MOD(B148-1,12)/11,0)</x:f>
        <x:v>60</x:v>
      </x:c>
      <x:c r="E148" s="18" t="n">
        <x:f>INDEX('参数'!$G$35:$P$35,1,C148)</x:f>
        <x:v>55</x:v>
      </x:c>
      <x:c r="F148" s="15" t="n">
        <x:f>'参数'!$I$27</x:f>
        <x:v>1.1</x:v>
      </x:c>
      <x:c r="G148" s="18" t="n">
        <x:f>ROUND(V148*X148/'参数'!$B$56,0)</x:f>
        <x:v>46500</x:v>
      </x:c>
      <x:c r="H148" s="18" t="n">
        <x:f>ROUND((AA148+SQRT(AA148^2+4*AA148*'参数'!$B$22*U148))/2,0)</x:f>
        <x:v>1449</x:v>
      </x:c>
      <x:c r="I148" s="18" t="n">
        <x:f>ROUND(Q148*'参数'!$B$23/'参数'!$B$22,0)</x:f>
        <x:v>373</x:v>
      </x:c>
      <x:c r="J148" s="18" t="n">
        <x:f>ROUND(G148*'参数'!$B$50,0)</x:f>
        <x:v>139500</x:v>
      </x:c>
      <x:c r="K148" s="18" t="n">
        <x:f>ROUND(W148*Y148,0)</x:f>
        <x:v>443424</x:v>
      </x:c>
      <x:c r="L148" s="18" t="n">
        <x:f>ROUND((AB148+SQRT(AB148^2+4*AB148*'参数'!$B$22*U148))/2,0)</x:f>
        <x:v>2347</x:v>
      </x:c>
      <x:c r="M148" s="18" t="n">
        <x:f>ROUND(I148*'参数'!$B$24,0)</x:f>
        <x:v>466</x:v>
      </x:c>
      <x:c r="N148" s="18" t="n">
        <x:f>'参数'!$B$9*'参数'!$B$10^(D148-1)</x:f>
        <x:v>3432.001808181988</x:v>
      </x:c>
      <x:c r="O148" s="18" t="n">
        <x:f>'参数'!$B$18*'参数'!$B$19^(MIN(E148,MAX(1,5*INT(D148/5)))-1)*F148*'参数'!$J$27*P148</x:f>
        <x:v>292.9418164921884</x:v>
      </x:c>
      <x:c r="P148" s="21" t="n">
        <x:f>MIN(1,(D148-1)/19)</x:f>
        <x:v>1</x:v>
      </x:c>
      <x:c r="Q148" s="18" t="n">
        <x:f>INDEX('角色成长'!$F$6:$F$105,D148)+O148*'参数'!$K$21</x:f>
        <x:v>1862.884177002737</x:v>
      </x:c>
      <x:c r="R148" s="18" t="n">
        <x:f>INDEX('角色成长'!$I$6:$I$105,D148)+O148*'参数'!$K$21</x:f>
        <x:v>1574.884177002737</x:v>
      </x:c>
      <x:c r="S148" s="18" t="n">
        <x:f>INDEX('角色成长'!$L$6:$L$105,D148)+O148*'参数'!$K$21</x:f>
        <x:v>1409.884177002737</x:v>
      </x:c>
      <x:c r="T148" s="18" t="n">
        <x:f>(INDEX('角色成长'!$J$6:$J$105,D148)+O148*'参数'!$L$21)*(1+'参数'!$B$40*P148)</x:f>
        <x:v>21513.03915873924</x:v>
      </x:c>
      <x:c r="U148" s="18" t="n">
        <x:f>(INDEX('角色成长'!$K$6:$K$105,D148)+O148*'参数'!$M$21)*(1+'参数'!$B$41*P148)</x:f>
        <x:v>1151.3129967474626</x:v>
      </x:c>
      <x:c r="V148" s="18" t="n">
        <x:f>(('参数'!$K$5*(((Q148*(1+'参数'!$B$39*P148))^2/((Q148*(1+'参数'!$B$39*P148))+'参数'!$B$22*(I148)))*(1+'参数'!$B$42*P148)/'参数'!$J$5+((Q148*'参数'!$B$43*(1+'参数'!$B$39*P148))^2/((Q148*'参数'!$B$43*(1+'参数'!$B$39*P148))+'参数'!$B$22*(I148)))/'参数'!$B$44))+(((R148*(1+'参数'!$B$39*P148))^2/((R148*(1+'参数'!$B$39*P148))+'参数'!$B$22*(I148)))*(1+'参数'!$B$42*P148)/'参数'!$J$6+((R148*'参数'!$B$45*(1+'参数'!$B$39*P148))^2/((R148*'参数'!$B$45*(1+'参数'!$B$39*P148))+'参数'!$B$22*(I148)))/'参数'!$B$46)+((S148*(1+'参数'!$B$39*P148))^2/((S148*(1+'参数'!$B$39*P148))+'参数'!$B$22*(I148)))*(1+'参数'!$B$42*P148)/'参数'!$J$7)*(1+'参数'!$B$37*('参数'!$B$38-1))*'参数'!$B$25</x:f>
        <x:v>12484.306397447106</x:v>
      </x:c>
      <x:c r="W148" s="18" t="n">
        <x:f>(('参数'!$K$5*(((Q148*(1+'参数'!$B$39*P148))^2/((Q148*(1+'参数'!$B$39*P148))+'参数'!$B$22*(M148)))*(1+'参数'!$B$42*P148)/'参数'!$J$5+((Q148*'参数'!$B$43*(1+'参数'!$B$39*P148))^2/((Q148*'参数'!$B$43*(1+'参数'!$B$39*P148))+'参数'!$B$22*(M148)))/'参数'!$B$44))+(((R148*(1+'参数'!$B$39*P148))^2/((R148*(1+'参数'!$B$39*P148))+'参数'!$B$22*(M148)))*(1+'参数'!$B$42*P148)/'参数'!$J$6+((R148*'参数'!$B$45*(1+'参数'!$B$39*P148))^2/((R148*'参数'!$B$45*(1+'参数'!$B$39*P148))+'参数'!$B$22*(M148)))/'参数'!$B$46)+((S148*(1+'参数'!$B$39*P148))^2/((S148*(1+'参数'!$B$39*P148))+'参数'!$B$22*(M148)))*(1+'参数'!$B$42*P148)/'参数'!$J$7)*(1+'参数'!$B$37*('参数'!$B$38-1))</x:f>
        <x:v>9616.427413412392</x:v>
      </x:c>
      <x:c r="X148" s="25" t="n">
        <x:f>('参数'!$B$26+'参数'!$B$27*(D148-1)/99)*'参数'!$K$27*AD148</x:f>
        <x:v>17.133333333333336</x:v>
      </x:c>
      <x:c r="Y148" s="25" t="n">
        <x:f>('参数'!$B$28+'参数'!$B$29*(D148-1)/99)*'参数'!$K$27*AD148*IF(AE148=1,'参数'!$B$51,1)</x:f>
        <x:v>46.111111111111114</x:v>
      </x:c>
      <x:c r="Z148" s="21" t="n">
        <x:f>MIN('参数'!$B$36,U148/(U148+'参数'!$B$35))</x:f>
        <x:v>0.22349894045933558</x:v>
      </x:c>
      <x:c r="AA148" s="18" t="n">
        <x:f>T148*'参数'!$B$30/('参数'!$B$32*'参数'!$B$33)/(1-Z148)*AC148</x:f>
        <x:v>727.2588633053007</x:v>
      </x:c>
      <x:c r="AB148" s="18" t="n">
        <x:f>T148*'参数'!$B$31/'参数'!$B$34/(1-Z148)*AC148</x:f>
        <x:v>1454.5177266106011</x:v>
      </x:c>
      <x:c r="AC148" s="15" t="n">
        <x:f>'参数'!$L$27*1</x:f>
        <x:v>1.05</x:v>
      </x:c>
      <x:c r="AD148" s="15" t="n">
        <x:f>1</x:f>
        <x:v>1</x:v>
      </x:c>
      <x:c r="AE148" s="18" t="n">
        <x:f>IF(MOD(B148,12)=0,1,0)</x:f>
        <x:v>0</x:v>
      </x:c>
    </x:row>
    <x:row r="149" ht="22" customHeight="1">
      <x:c r="A149" s="19" t="str">
        <x:v>困难</x:v>
      </x:c>
      <x:c r="B149" s="19" t="n">
        <x:v>24</x:v>
      </x:c>
      <x:c r="C149" s="19" t="n">
        <x:f>ROUNDUP(B149/12,0)</x:f>
        <x:v>2</x:v>
      </x:c>
      <x:c r="D149" s="19" t="n">
        <x:f>ROUND(MAX('参数'!$G$27,E149)+(IF(C149&lt;10,INDEX('参数'!$G$35:$P$35,1,MIN(10,C149+1)),'参数'!$H$27)-MAX('参数'!$G$27,E149))*MOD(B149-1,12)/11,0)</x:f>
        <x:v>60</x:v>
      </x:c>
      <x:c r="E149" s="19" t="n">
        <x:f>INDEX('参数'!$G$35:$P$35,1,C149)</x:f>
        <x:v>55</x:v>
      </x:c>
      <x:c r="F149" s="20" t="n">
        <x:f>'参数'!$I$27</x:f>
        <x:v>1.1</x:v>
      </x:c>
      <x:c r="G149" s="19" t="n">
        <x:f>ROUND(V149*X149/'参数'!$B$56,0)</x:f>
        <x:v>46500</x:v>
      </x:c>
      <x:c r="H149" s="19" t="n">
        <x:f>ROUND((AA149+SQRT(AA149^2+4*AA149*'参数'!$B$22*U149))/2,0)</x:f>
        <x:v>1449</x:v>
      </x:c>
      <x:c r="I149" s="19" t="n">
        <x:f>ROUND(Q149*'参数'!$B$23/'参数'!$B$22,0)</x:f>
        <x:v>373</x:v>
      </x:c>
      <x:c r="J149" s="19" t="n">
        <x:f>ROUND(G149*'参数'!$B$50,0)</x:f>
        <x:v>139500</x:v>
      </x:c>
      <x:c r="K149" s="19" t="n">
        <x:f>ROUND(W149*Y149,0)</x:f>
        <x:v>509938</x:v>
      </x:c>
      <x:c r="L149" s="19" t="n">
        <x:f>ROUND((AB149+SQRT(AB149^2+4*AB149*'参数'!$B$22*U149))/2,0)</x:f>
        <x:v>2347</x:v>
      </x:c>
      <x:c r="M149" s="19" t="n">
        <x:f>ROUND(I149*'参数'!$B$24,0)</x:f>
        <x:v>466</x:v>
      </x:c>
      <x:c r="N149" s="19" t="n">
        <x:f>'参数'!$B$9*'参数'!$B$10^(D149-1)</x:f>
        <x:v>3432.001808181988</x:v>
      </x:c>
      <x:c r="O149" s="19" t="n">
        <x:f>'参数'!$B$18*'参数'!$B$19^(MIN(E149,MAX(1,5*INT(D149/5)))-1)*F149*'参数'!$J$27*P149</x:f>
        <x:v>292.9418164921884</x:v>
      </x:c>
      <x:c r="P149" s="22" t="n">
        <x:f>MIN(1,(D149-1)/19)</x:f>
        <x:v>1</x:v>
      </x:c>
      <x:c r="Q149" s="19" t="n">
        <x:f>INDEX('角色成长'!$F$6:$F$105,D149)+O149*'参数'!$K$21</x:f>
        <x:v>1862.884177002737</x:v>
      </x:c>
      <x:c r="R149" s="19" t="n">
        <x:f>INDEX('角色成长'!$I$6:$I$105,D149)+O149*'参数'!$K$21</x:f>
        <x:v>1574.884177002737</x:v>
      </x:c>
      <x:c r="S149" s="19" t="n">
        <x:f>INDEX('角色成长'!$L$6:$L$105,D149)+O149*'参数'!$K$21</x:f>
        <x:v>1409.884177002737</x:v>
      </x:c>
      <x:c r="T149" s="19" t="n">
        <x:f>(INDEX('角色成长'!$J$6:$J$105,D149)+O149*'参数'!$L$21)*(1+'参数'!$B$40*P149)</x:f>
        <x:v>21513.03915873924</x:v>
      </x:c>
      <x:c r="U149" s="19" t="n">
        <x:f>(INDEX('角色成长'!$K$6:$K$105,D149)+O149*'参数'!$M$21)*(1+'参数'!$B$41*P149)</x:f>
        <x:v>1151.3129967474626</x:v>
      </x:c>
      <x:c r="V149" s="19" t="n">
        <x:f>(('参数'!$K$5*(((Q149*(1+'参数'!$B$39*P149))^2/((Q149*(1+'参数'!$B$39*P149))+'参数'!$B$22*(I149)))*(1+'参数'!$B$42*P149)/'参数'!$J$5+((Q149*'参数'!$B$43*(1+'参数'!$B$39*P149))^2/((Q149*'参数'!$B$43*(1+'参数'!$B$39*P149))+'参数'!$B$22*(I149)))/'参数'!$B$44))+(((R149*(1+'参数'!$B$39*P149))^2/((R149*(1+'参数'!$B$39*P149))+'参数'!$B$22*(I149)))*(1+'参数'!$B$42*P149)/'参数'!$J$6+((R149*'参数'!$B$45*(1+'参数'!$B$39*P149))^2/((R149*'参数'!$B$45*(1+'参数'!$B$39*P149))+'参数'!$B$22*(I149)))/'参数'!$B$46)+((S149*(1+'参数'!$B$39*P149))^2/((S149*(1+'参数'!$B$39*P149))+'参数'!$B$22*(I149)))*(1+'参数'!$B$42*P149)/'参数'!$J$7)*(1+'参数'!$B$37*('参数'!$B$38-1))*'参数'!$B$25</x:f>
        <x:v>12484.306397447106</x:v>
      </x:c>
      <x:c r="W149" s="19" t="n">
        <x:f>(('参数'!$K$5*(((Q149*(1+'参数'!$B$39*P149))^2/((Q149*(1+'参数'!$B$39*P149))+'参数'!$B$22*(M149)))*(1+'参数'!$B$42*P149)/'参数'!$J$5+((Q149*'参数'!$B$43*(1+'参数'!$B$39*P149))^2/((Q149*'参数'!$B$43*(1+'参数'!$B$39*P149))+'参数'!$B$22*(M149)))/'参数'!$B$44))+(((R149*(1+'参数'!$B$39*P149))^2/((R149*(1+'参数'!$B$39*P149))+'参数'!$B$22*(M149)))*(1+'参数'!$B$42*P149)/'参数'!$J$6+((R149*'参数'!$B$45*(1+'参数'!$B$39*P149))^2/((R149*'参数'!$B$45*(1+'参数'!$B$39*P149))+'参数'!$B$22*(M149)))/'参数'!$B$46)+((S149*(1+'参数'!$B$39*P149))^2/((S149*(1+'参数'!$B$39*P149))+'参数'!$B$22*(M149)))*(1+'参数'!$B$42*P149)/'参数'!$J$7)*(1+'参数'!$B$37*('参数'!$B$38-1))</x:f>
        <x:v>9616.427413412392</x:v>
      </x:c>
      <x:c r="X149" s="26" t="n">
        <x:f>('参数'!$B$26+'参数'!$B$27*(D149-1)/99)*'参数'!$K$27*AD149</x:f>
        <x:v>17.133333333333336</x:v>
      </x:c>
      <x:c r="Y149" s="26" t="n">
        <x:f>('参数'!$B$28+'参数'!$B$29*(D149-1)/99)*'参数'!$K$27*AD149*IF(AE149=1,'参数'!$B$51,1)</x:f>
        <x:v>53.02777777777778</x:v>
      </x:c>
      <x:c r="Z149" s="22" t="n">
        <x:f>MIN('参数'!$B$36,U149/(U149+'参数'!$B$35))</x:f>
        <x:v>0.22349894045933558</x:v>
      </x:c>
      <x:c r="AA149" s="19" t="n">
        <x:f>T149*'参数'!$B$30/('参数'!$B$32*'参数'!$B$33)/(1-Z149)*AC149</x:f>
        <x:v>727.2588633053007</x:v>
      </x:c>
      <x:c r="AB149" s="19" t="n">
        <x:f>T149*'参数'!$B$31/'参数'!$B$34/(1-Z149)*AC149</x:f>
        <x:v>1454.5177266106011</x:v>
      </x:c>
      <x:c r="AC149" s="20" t="n">
        <x:f>'参数'!$L$27*1</x:f>
        <x:v>1.05</x:v>
      </x:c>
      <x:c r="AD149" s="20" t="n">
        <x:f>1</x:f>
        <x:v>1</x:v>
      </x:c>
      <x:c r="AE149" s="19" t="n">
        <x:f>IF(MOD(B149,12)=0,1,0)</x:f>
        <x:v>1</x:v>
      </x:c>
    </x:row>
    <x:row r="150" ht="22" customHeight="1">
      <x:c r="A150" s="18" t="str">
        <x:v>困难</x:v>
      </x:c>
      <x:c r="B150" s="18" t="n">
        <x:v>25</x:v>
      </x:c>
      <x:c r="C150" s="18" t="n">
        <x:f>ROUNDUP(B150/12,0)</x:f>
        <x:v>3</x:v>
      </x:c>
      <x:c r="D150" s="18" t="n">
        <x:f>ROUND(MAX('参数'!$G$27,E150)+(IF(C150&lt;10,INDEX('参数'!$G$35:$P$35,1,MIN(10,C150+1)),'参数'!$H$27)-MAX('参数'!$G$27,E150))*MOD(B150-1,12)/11,0)</x:f>
        <x:v>60</x:v>
      </x:c>
      <x:c r="E150" s="18" t="n">
        <x:f>INDEX('参数'!$G$35:$P$35,1,C150)</x:f>
        <x:v>60</x:v>
      </x:c>
      <x:c r="F150" s="15" t="n">
        <x:f>'参数'!$I$27</x:f>
        <x:v>1.1</x:v>
      </x:c>
      <x:c r="G150" s="18" t="n">
        <x:f>ROUND(V150*X150/'参数'!$B$56,0)</x:f>
        <x:v>50942</x:v>
      </x:c>
      <x:c r="H150" s="18" t="n">
        <x:f>ROUND((AA150+SQRT(AA150^2+4*AA150*'参数'!$B$22*U150))/2,0)</x:f>
        <x:v>1583</x:v>
      </x:c>
      <x:c r="I150" s="18" t="n">
        <x:f>ROUND(Q150*'参数'!$B$23/'参数'!$B$22,0)</x:f>
        <x:v>406</x:v>
      </x:c>
      <x:c r="J150" s="18" t="n">
        <x:f>ROUND(G150*'参数'!$B$50,0)</x:f>
        <x:v>152826</x:v>
      </x:c>
      <x:c r="K150" s="18" t="n">
        <x:f>ROUND(W150*Y150,0)</x:f>
        <x:v>485719</x:v>
      </x:c>
      <x:c r="L150" s="18" t="n">
        <x:f>ROUND((AB150+SQRT(AB150^2+4*AB150*'参数'!$B$22*U150))/2,0)</x:f>
        <x:v>2562</x:v>
      </x:c>
      <x:c r="M150" s="18" t="n">
        <x:f>ROUND(I150*'参数'!$B$24,0)</x:f>
        <x:v>508</x:v>
      </x:c>
      <x:c r="N150" s="18" t="n">
        <x:f>'参数'!$B$9*'参数'!$B$10^(D150-1)</x:f>
        <x:v>3432.001808181988</x:v>
      </x:c>
      <x:c r="O150" s="18" t="n">
        <x:f>'参数'!$B$18*'参数'!$B$19^(MIN(E150,MAX(1,5*INT(D150/5)))-1)*F150*'参数'!$J$27*P150</x:f>
        <x:v>351.2975752437124</x:v>
      </x:c>
      <x:c r="P150" s="21" t="n">
        <x:f>MIN(1,(D150-1)/19)</x:f>
        <x:v>1</x:v>
      </x:c>
      <x:c r="Q150" s="18" t="n">
        <x:f>INDEX('角色成长'!$F$6:$F$105,D150)+O150*'参数'!$K$21</x:f>
        <x:v>2029.1980894445803</x:v>
      </x:c>
      <x:c r="R150" s="18" t="n">
        <x:f>INDEX('角色成长'!$I$6:$I$105,D150)+O150*'参数'!$K$21</x:f>
        <x:v>1741.1980894445803</x:v>
      </x:c>
      <x:c r="S150" s="18" t="n">
        <x:f>INDEX('角色成长'!$L$6:$L$105,D150)+O150*'参数'!$K$21</x:f>
        <x:v>1576.1980894445803</x:v>
      </x:c>
      <x:c r="T150" s="18" t="n">
        <x:f>(INDEX('角色成长'!$J$6:$J$105,D150)+O150*'参数'!$L$21)*(1+'参数'!$B$40*P150)</x:f>
        <x:v>22938.08678745146</x:v>
      </x:c>
      <x:c r="U150" s="18" t="n">
        <x:f>(INDEX('角色成长'!$K$6:$K$105,D150)+O150*'参数'!$M$21)*(1+'参数'!$B$41*P150)</x:f>
        <x:v>1263.6478323441463</x:v>
      </x:c>
      <x:c r="V150" s="18" t="n">
        <x:f>(('参数'!$K$5*(((Q150*(1+'参数'!$B$39*P150))^2/((Q150*(1+'参数'!$B$39*P150))+'参数'!$B$22*(I150)))*(1+'参数'!$B$42*P150)/'参数'!$J$5+((Q150*'参数'!$B$43*(1+'参数'!$B$39*P150))^2/((Q150*'参数'!$B$43*(1+'参数'!$B$39*P150))+'参数'!$B$22*(I150)))/'参数'!$B$44))+(((R150*(1+'参数'!$B$39*P150))^2/((R150*(1+'参数'!$B$39*P150))+'参数'!$B$22*(I150)))*(1+'参数'!$B$42*P150)/'参数'!$J$6+((R150*'参数'!$B$45*(1+'参数'!$B$39*P150))^2/((R150*'参数'!$B$45*(1+'参数'!$B$39*P150))+'参数'!$B$22*(I150)))/'参数'!$B$46)+((S150*(1+'参数'!$B$39*P150))^2/((S150*(1+'参数'!$B$39*P150))+'参数'!$B$22*(I150)))*(1+'参数'!$B$42*P150)/'参数'!$J$7)*(1+'参数'!$B$37*('参数'!$B$38-1))*'参数'!$B$25</x:f>
        <x:v>13677.076975996592</x:v>
      </x:c>
      <x:c r="W150" s="18" t="n">
        <x:f>(('参数'!$K$5*(((Q150*(1+'参数'!$B$39*P150))^2/((Q150*(1+'参数'!$B$39*P150))+'参数'!$B$22*(M150)))*(1+'参数'!$B$42*P150)/'参数'!$J$5+((Q150*'参数'!$B$43*(1+'参数'!$B$39*P150))^2/((Q150*'参数'!$B$43*(1+'参数'!$B$39*P150))+'参数'!$B$22*(M150)))/'参数'!$B$44))+(((R150*(1+'参数'!$B$39*P150))^2/((R150*(1+'参数'!$B$39*P150))+'参数'!$B$22*(M150)))*(1+'参数'!$B$42*P150)/'参数'!$J$6+((R150*'参数'!$B$45*(1+'参数'!$B$39*P150))^2/((R150*'参数'!$B$45*(1+'参数'!$B$39*P150))+'参数'!$B$22*(M150)))/'参数'!$B$46)+((S150*(1+'参数'!$B$39*P150))^2/((S150*(1+'参数'!$B$39*P150))+'参数'!$B$22*(M150)))*(1+'参数'!$B$42*P150)/'参数'!$J$7)*(1+'参数'!$B$37*('参数'!$B$38-1))</x:f>
        <x:v>10533.672024527408</x:v>
      </x:c>
      <x:c r="X150" s="25" t="n">
        <x:f>('参数'!$B$26+'参数'!$B$27*(D150-1)/99)*'参数'!$K$27*AD150</x:f>
        <x:v>17.133333333333336</x:v>
      </x:c>
      <x:c r="Y150" s="25" t="n">
        <x:f>('参数'!$B$28+'参数'!$B$29*(D150-1)/99)*'参数'!$K$27*AD150*IF(AE150=1,'参数'!$B$51,1)</x:f>
        <x:v>46.111111111111114</x:v>
      </x:c>
      <x:c r="Z150" s="21" t="n">
        <x:f>MIN('参数'!$B$36,U150/(U150+'参数'!$B$35))</x:f>
        <x:v>0.2400707404054016</x:v>
      </x:c>
      <x:c r="AA150" s="18" t="n">
        <x:f>T150*'参数'!$B$30/('参数'!$B$32*'参数'!$B$33)/(1-Z150)*AC150</x:f>
        <x:v>792.3431958545957</x:v>
      </x:c>
      <x:c r="AB150" s="18" t="n">
        <x:f>T150*'参数'!$B$31/'参数'!$B$34/(1-Z150)*AC150</x:f>
        <x:v>1584.6863917091914</x:v>
      </x:c>
      <x:c r="AC150" s="15" t="n">
        <x:f>'参数'!$L$27*1</x:f>
        <x:v>1.05</x:v>
      </x:c>
      <x:c r="AD150" s="15" t="n">
        <x:f>1</x:f>
        <x:v>1</x:v>
      </x:c>
      <x:c r="AE150" s="18" t="n">
        <x:f>IF(MOD(B150,12)=0,1,0)</x:f>
        <x:v>0</x:v>
      </x:c>
    </x:row>
    <x:row r="151" ht="22" customHeight="1">
      <x:c r="A151" s="19" t="str">
        <x:v>困难</x:v>
      </x:c>
      <x:c r="B151" s="19" t="n">
        <x:v>26</x:v>
      </x:c>
      <x:c r="C151" s="19" t="n">
        <x:f>ROUNDUP(B151/12,0)</x:f>
        <x:v>3</x:v>
      </x:c>
      <x:c r="D151" s="19" t="n">
        <x:f>ROUND(MAX('参数'!$G$27,E151)+(IF(C151&lt;10,INDEX('参数'!$G$35:$P$35,1,MIN(10,C151+1)),'参数'!$H$27)-MAX('参数'!$G$27,E151))*MOD(B151-1,12)/11,0)</x:f>
        <x:v>60</x:v>
      </x:c>
      <x:c r="E151" s="19" t="n">
        <x:f>INDEX('参数'!$G$35:$P$35,1,C151)</x:f>
        <x:v>60</x:v>
      </x:c>
      <x:c r="F151" s="20" t="n">
        <x:f>'参数'!$I$27</x:f>
        <x:v>1.1</x:v>
      </x:c>
      <x:c r="G151" s="19" t="n">
        <x:f>ROUND(V151*X151/'参数'!$B$56,0)</x:f>
        <x:v>50942</x:v>
      </x:c>
      <x:c r="H151" s="19" t="n">
        <x:f>ROUND((AA151+SQRT(AA151^2+4*AA151*'参数'!$B$22*U151))/2,0)</x:f>
        <x:v>1583</x:v>
      </x:c>
      <x:c r="I151" s="19" t="n">
        <x:f>ROUND(Q151*'参数'!$B$23/'参数'!$B$22,0)</x:f>
        <x:v>406</x:v>
      </x:c>
      <x:c r="J151" s="19" t="n">
        <x:f>ROUND(G151*'参数'!$B$50,0)</x:f>
        <x:v>152826</x:v>
      </x:c>
      <x:c r="K151" s="19" t="n">
        <x:f>ROUND(W151*Y151,0)</x:f>
        <x:v>485719</x:v>
      </x:c>
      <x:c r="L151" s="19" t="n">
        <x:f>ROUND((AB151+SQRT(AB151^2+4*AB151*'参数'!$B$22*U151))/2,0)</x:f>
        <x:v>2562</x:v>
      </x:c>
      <x:c r="M151" s="19" t="n">
        <x:f>ROUND(I151*'参数'!$B$24,0)</x:f>
        <x:v>508</x:v>
      </x:c>
      <x:c r="N151" s="19" t="n">
        <x:f>'参数'!$B$9*'参数'!$B$10^(D151-1)</x:f>
        <x:v>3432.001808181988</x:v>
      </x:c>
      <x:c r="O151" s="19" t="n">
        <x:f>'参数'!$B$18*'参数'!$B$19^(MIN(E151,MAX(1,5*INT(D151/5)))-1)*F151*'参数'!$J$27*P151</x:f>
        <x:v>351.2975752437124</x:v>
      </x:c>
      <x:c r="P151" s="22" t="n">
        <x:f>MIN(1,(D151-1)/19)</x:f>
        <x:v>1</x:v>
      </x:c>
      <x:c r="Q151" s="19" t="n">
        <x:f>INDEX('角色成长'!$F$6:$F$105,D151)+O151*'参数'!$K$21</x:f>
        <x:v>2029.1980894445803</x:v>
      </x:c>
      <x:c r="R151" s="19" t="n">
        <x:f>INDEX('角色成长'!$I$6:$I$105,D151)+O151*'参数'!$K$21</x:f>
        <x:v>1741.1980894445803</x:v>
      </x:c>
      <x:c r="S151" s="19" t="n">
        <x:f>INDEX('角色成长'!$L$6:$L$105,D151)+O151*'参数'!$K$21</x:f>
        <x:v>1576.1980894445803</x:v>
      </x:c>
      <x:c r="T151" s="19" t="n">
        <x:f>(INDEX('角色成长'!$J$6:$J$105,D151)+O151*'参数'!$L$21)*(1+'参数'!$B$40*P151)</x:f>
        <x:v>22938.08678745146</x:v>
      </x:c>
      <x:c r="U151" s="19" t="n">
        <x:f>(INDEX('角色成长'!$K$6:$K$105,D151)+O151*'参数'!$M$21)*(1+'参数'!$B$41*P151)</x:f>
        <x:v>1263.6478323441463</x:v>
      </x:c>
      <x:c r="V151" s="19" t="n">
        <x:f>(('参数'!$K$5*(((Q151*(1+'参数'!$B$39*P151))^2/((Q151*(1+'参数'!$B$39*P151))+'参数'!$B$22*(I151)))*(1+'参数'!$B$42*P151)/'参数'!$J$5+((Q151*'参数'!$B$43*(1+'参数'!$B$39*P151))^2/((Q151*'参数'!$B$43*(1+'参数'!$B$39*P151))+'参数'!$B$22*(I151)))/'参数'!$B$44))+(((R151*(1+'参数'!$B$39*P151))^2/((R151*(1+'参数'!$B$39*P151))+'参数'!$B$22*(I151)))*(1+'参数'!$B$42*P151)/'参数'!$J$6+((R151*'参数'!$B$45*(1+'参数'!$B$39*P151))^2/((R151*'参数'!$B$45*(1+'参数'!$B$39*P151))+'参数'!$B$22*(I151)))/'参数'!$B$46)+((S151*(1+'参数'!$B$39*P151))^2/((S151*(1+'参数'!$B$39*P151))+'参数'!$B$22*(I151)))*(1+'参数'!$B$42*P151)/'参数'!$J$7)*(1+'参数'!$B$37*('参数'!$B$38-1))*'参数'!$B$25</x:f>
        <x:v>13677.076975996592</x:v>
      </x:c>
      <x:c r="W151" s="19" t="n">
        <x:f>(('参数'!$K$5*(((Q151*(1+'参数'!$B$39*P151))^2/((Q151*(1+'参数'!$B$39*P151))+'参数'!$B$22*(M151)))*(1+'参数'!$B$42*P151)/'参数'!$J$5+((Q151*'参数'!$B$43*(1+'参数'!$B$39*P151))^2/((Q151*'参数'!$B$43*(1+'参数'!$B$39*P151))+'参数'!$B$22*(M151)))/'参数'!$B$44))+(((R151*(1+'参数'!$B$39*P151))^2/((R151*(1+'参数'!$B$39*P151))+'参数'!$B$22*(M151)))*(1+'参数'!$B$42*P151)/'参数'!$J$6+((R151*'参数'!$B$45*(1+'参数'!$B$39*P151))^2/((R151*'参数'!$B$45*(1+'参数'!$B$39*P151))+'参数'!$B$22*(M151)))/'参数'!$B$46)+((S151*(1+'参数'!$B$39*P151))^2/((S151*(1+'参数'!$B$39*P151))+'参数'!$B$22*(M151)))*(1+'参数'!$B$42*P151)/'参数'!$J$7)*(1+'参数'!$B$37*('参数'!$B$38-1))</x:f>
        <x:v>10533.672024527408</x:v>
      </x:c>
      <x:c r="X151" s="26" t="n">
        <x:f>('参数'!$B$26+'参数'!$B$27*(D151-1)/99)*'参数'!$K$27*AD151</x:f>
        <x:v>17.133333333333336</x:v>
      </x:c>
      <x:c r="Y151" s="26" t="n">
        <x:f>('参数'!$B$28+'参数'!$B$29*(D151-1)/99)*'参数'!$K$27*AD151*IF(AE151=1,'参数'!$B$51,1)</x:f>
        <x:v>46.111111111111114</x:v>
      </x:c>
      <x:c r="Z151" s="22" t="n">
        <x:f>MIN('参数'!$B$36,U151/(U151+'参数'!$B$35))</x:f>
        <x:v>0.2400707404054016</x:v>
      </x:c>
      <x:c r="AA151" s="19" t="n">
        <x:f>T151*'参数'!$B$30/('参数'!$B$32*'参数'!$B$33)/(1-Z151)*AC151</x:f>
        <x:v>792.3431958545957</x:v>
      </x:c>
      <x:c r="AB151" s="19" t="n">
        <x:f>T151*'参数'!$B$31/'参数'!$B$34/(1-Z151)*AC151</x:f>
        <x:v>1584.6863917091914</x:v>
      </x:c>
      <x:c r="AC151" s="20" t="n">
        <x:f>'参数'!$L$27*1</x:f>
        <x:v>1.05</x:v>
      </x:c>
      <x:c r="AD151" s="20" t="n">
        <x:f>1</x:f>
        <x:v>1</x:v>
      </x:c>
      <x:c r="AE151" s="19" t="n">
        <x:f>IF(MOD(B151,12)=0,1,0)</x:f>
        <x:v>0</x:v>
      </x:c>
    </x:row>
    <x:row r="152" ht="22" customHeight="1">
      <x:c r="A152" s="18" t="str">
        <x:v>困难</x:v>
      </x:c>
      <x:c r="B152" s="18" t="n">
        <x:v>27</x:v>
      </x:c>
      <x:c r="C152" s="18" t="n">
        <x:f>ROUNDUP(B152/12,0)</x:f>
        <x:v>3</x:v>
      </x:c>
      <x:c r="D152" s="18" t="n">
        <x:f>ROUND(MAX('参数'!$G$27,E152)+(IF(C152&lt;10,INDEX('参数'!$G$35:$P$35,1,MIN(10,C152+1)),'参数'!$H$27)-MAX('参数'!$G$27,E152))*MOD(B152-1,12)/11,0)</x:f>
        <x:v>61</x:v>
      </x:c>
      <x:c r="E152" s="18" t="n">
        <x:f>INDEX('参数'!$G$35:$P$35,1,C152)</x:f>
        <x:v>60</x:v>
      </x:c>
      <x:c r="F152" s="15" t="n">
        <x:f>'参数'!$I$27</x:f>
        <x:v>1.1</x:v>
      </x:c>
      <x:c r="G152" s="18" t="n">
        <x:f>ROUND(V152*X152/'参数'!$B$56,0)</x:f>
        <x:v>52000</x:v>
      </x:c>
      <x:c r="H152" s="18" t="n">
        <x:f>ROUND((AA152+SQRT(AA152^2+4*AA152*'参数'!$B$22*U152))/2,0)</x:f>
        <x:v>1620</x:v>
      </x:c>
      <x:c r="I152" s="18" t="n">
        <x:f>ROUND(Q152*'参数'!$B$23/'参数'!$B$22,0)</x:f>
        <x:v>413</x:v>
      </x:c>
      <x:c r="J152" s="18" t="n">
        <x:f>ROUND(G152*'参数'!$B$50,0)</x:f>
        <x:v>156000</x:v>
      </x:c>
      <x:c r="K152" s="18" t="n">
        <x:f>ROUND(W152*Y152,0)</x:f>
        <x:v>496394</x:v>
      </x:c>
      <x:c r="L152" s="18" t="n">
        <x:f>ROUND((AB152+SQRT(AB152^2+4*AB152*'参数'!$B$22*U152))/2,0)</x:f>
        <x:v>2623</x:v>
      </x:c>
      <x:c r="M152" s="18" t="n">
        <x:f>ROUND(I152*'参数'!$B$24,0)</x:f>
        <x:v>516</x:v>
      </x:c>
      <x:c r="N152" s="18" t="n">
        <x:f>'参数'!$B$9*'参数'!$B$10^(D152-1)</x:f>
        <x:v>3534.9618624274476</x:v>
      </x:c>
      <x:c r="O152" s="18" t="n">
        <x:f>'参数'!$B$18*'参数'!$B$19^(MIN(E152,MAX(1,5*INT(D152/5)))-1)*F152*'参数'!$J$27*P152</x:f>
        <x:v>351.2975752437124</x:v>
      </x:c>
      <x:c r="P152" s="21" t="n">
        <x:f>MIN(1,(D152-1)/19)</x:f>
        <x:v>1</x:v>
      </x:c>
      <x:c r="Q152" s="18" t="n">
        <x:f>INDEX('角色成长'!$F$6:$F$105,D152)+O152*'参数'!$K$21</x:f>
        <x:v>2065.1980894445805</x:v>
      </x:c>
      <x:c r="R152" s="18" t="n">
        <x:f>INDEX('角色成长'!$I$6:$I$105,D152)+O152*'参数'!$K$21</x:f>
        <x:v>1767.1980894445803</x:v>
      </x:c>
      <x:c r="S152" s="18" t="n">
        <x:f>INDEX('角色成长'!$L$6:$L$105,D152)+O152*'参数'!$K$21</x:f>
        <x:v>1597.1980894445803</x:v>
      </x:c>
      <x:c r="T152" s="18" t="n">
        <x:f>(INDEX('角色成长'!$J$6:$J$105,D152)+O152*'参数'!$L$21)*(1+'参数'!$B$40*P152)</x:f>
        <x:v>23455.08678745146</x:v>
      </x:c>
      <x:c r="U152" s="18" t="n">
        <x:f>(INDEX('角色成长'!$K$6:$K$105,D152)+O152*'参数'!$M$21)*(1+'参数'!$B$41*P152)</x:f>
        <x:v>1284.5478323441464</x:v>
      </x:c>
      <x:c r="V152" s="18" t="n">
        <x:f>(('参数'!$K$5*(((Q152*(1+'参数'!$B$39*P152))^2/((Q152*(1+'参数'!$B$39*P152))+'参数'!$B$22*(I152)))*(1+'参数'!$B$42*P152)/'参数'!$J$5+((Q152*'参数'!$B$43*(1+'参数'!$B$39*P152))^2/((Q152*'参数'!$B$43*(1+'参数'!$B$39*P152))+'参数'!$B$22*(I152)))/'参数'!$B$44))+(((R152*(1+'参数'!$B$39*P152))^2/((R152*(1+'参数'!$B$39*P152))+'参数'!$B$22*(I152)))*(1+'参数'!$B$42*P152)/'参数'!$J$6+((R152*'参数'!$B$45*(1+'参数'!$B$39*P152))^2/((R152*'参数'!$B$45*(1+'参数'!$B$39*P152))+'参数'!$B$22*(I152)))/'参数'!$B$46)+((S152*(1+'参数'!$B$39*P152))^2/((S152*(1+'参数'!$B$39*P152))+'参数'!$B$22*(I152)))*(1+'参数'!$B$42*P152)/'参数'!$J$7)*(1+'参数'!$B$37*('参数'!$B$38-1))*'参数'!$B$25</x:f>
        <x:v>13906.915583463084</x:v>
      </x:c>
      <x:c r="W152" s="18" t="n">
        <x:f>(('参数'!$K$5*(((Q152*(1+'参数'!$B$39*P152))^2/((Q152*(1+'参数'!$B$39*P152))+'参数'!$B$22*(M152)))*(1+'参数'!$B$42*P152)/'参数'!$J$5+((Q152*'参数'!$B$43*(1+'参数'!$B$39*P152))^2/((Q152*'参数'!$B$43*(1+'参数'!$B$39*P152))+'参数'!$B$22*(M152)))/'参数'!$B$44))+(((R152*(1+'参数'!$B$39*P152))^2/((R152*(1+'参数'!$B$39*P152))+'参数'!$B$22*(M152)))*(1+'参数'!$B$42*P152)/'参数'!$J$6+((R152*'参数'!$B$45*(1+'参数'!$B$39*P152))^2/((R152*'参数'!$B$45*(1+'参数'!$B$39*P152))+'参数'!$B$22*(M152)))/'参数'!$B$46)+((S152*(1+'参数'!$B$39*P152))^2/((S152*(1+'参数'!$B$39*P152))+'参数'!$B$22*(M152)))*(1+'参数'!$B$42*P152)/'参数'!$J$7)*(1+'参数'!$B$37*('参数'!$B$38-1))</x:f>
        <x:v>10713.536669284056</x:v>
      </x:c>
      <x:c r="X152" s="25" t="n">
        <x:f>('参数'!$B$26+'参数'!$B$27*(D152-1)/99)*'参数'!$K$27*AD152</x:f>
        <x:v>17.200000000000003</x:v>
      </x:c>
      <x:c r="Y152" s="25" t="n">
        <x:f>('参数'!$B$28+'参数'!$B$29*(D152-1)/99)*'参数'!$K$27*AD152*IF(AE152=1,'参数'!$B$51,1)</x:f>
        <x:v>46.33333333333334</x:v>
      </x:c>
      <x:c r="Z152" s="21" t="n">
        <x:f>MIN('参数'!$B$36,U152/(U152+'参数'!$B$35))</x:f>
        <x:v>0.2430762050221315</x:v>
      </x:c>
      <x:c r="AA152" s="18" t="n">
        <x:f>T152*'参数'!$B$30/('参数'!$B$32*'参数'!$B$33)/(1-Z152)*AC152</x:f>
        <x:v>813.4187777629621</x:v>
      </x:c>
      <x:c r="AB152" s="18" t="n">
        <x:f>T152*'参数'!$B$31/'参数'!$B$34/(1-Z152)*AC152</x:f>
        <x:v>1626.8375555259247</x:v>
      </x:c>
      <x:c r="AC152" s="15" t="n">
        <x:f>'参数'!$L$27*1</x:f>
        <x:v>1.05</x:v>
      </x:c>
      <x:c r="AD152" s="15" t="n">
        <x:f>1</x:f>
        <x:v>1</x:v>
      </x:c>
      <x:c r="AE152" s="18" t="n">
        <x:f>IF(MOD(B152,12)=0,1,0)</x:f>
        <x:v>0</x:v>
      </x:c>
    </x:row>
    <x:row r="153" ht="22" customHeight="1">
      <x:c r="A153" s="19" t="str">
        <x:v>困难</x:v>
      </x:c>
      <x:c r="B153" s="19" t="n">
        <x:v>28</x:v>
      </x:c>
      <x:c r="C153" s="19" t="n">
        <x:f>ROUNDUP(B153/12,0)</x:f>
        <x:v>3</x:v>
      </x:c>
      <x:c r="D153" s="19" t="n">
        <x:f>ROUND(MAX('参数'!$G$27,E153)+(IF(C153&lt;10,INDEX('参数'!$G$35:$P$35,1,MIN(10,C153+1)),'参数'!$H$27)-MAX('参数'!$G$27,E153))*MOD(B153-1,12)/11,0)</x:f>
        <x:v>61</x:v>
      </x:c>
      <x:c r="E153" s="19" t="n">
        <x:f>INDEX('参数'!$G$35:$P$35,1,C153)</x:f>
        <x:v>60</x:v>
      </x:c>
      <x:c r="F153" s="20" t="n">
        <x:f>'参数'!$I$27</x:f>
        <x:v>1.1</x:v>
      </x:c>
      <x:c r="G153" s="19" t="n">
        <x:f>ROUND(V153*X153/'参数'!$B$56,0)</x:f>
        <x:v>52000</x:v>
      </x:c>
      <x:c r="H153" s="19" t="n">
        <x:f>ROUND((AA153+SQRT(AA153^2+4*AA153*'参数'!$B$22*U153))/2,0)</x:f>
        <x:v>1620</x:v>
      </x:c>
      <x:c r="I153" s="19" t="n">
        <x:f>ROUND(Q153*'参数'!$B$23/'参数'!$B$22,0)</x:f>
        <x:v>413</x:v>
      </x:c>
      <x:c r="J153" s="19" t="n">
        <x:f>ROUND(G153*'参数'!$B$50,0)</x:f>
        <x:v>156000</x:v>
      </x:c>
      <x:c r="K153" s="19" t="n">
        <x:f>ROUND(W153*Y153,0)</x:f>
        <x:v>496394</x:v>
      </x:c>
      <x:c r="L153" s="19" t="n">
        <x:f>ROUND((AB153+SQRT(AB153^2+4*AB153*'参数'!$B$22*U153))/2,0)</x:f>
        <x:v>2623</x:v>
      </x:c>
      <x:c r="M153" s="19" t="n">
        <x:f>ROUND(I153*'参数'!$B$24,0)</x:f>
        <x:v>516</x:v>
      </x:c>
      <x:c r="N153" s="19" t="n">
        <x:f>'参数'!$B$9*'参数'!$B$10^(D153-1)</x:f>
        <x:v>3534.9618624274476</x:v>
      </x:c>
      <x:c r="O153" s="19" t="n">
        <x:f>'参数'!$B$18*'参数'!$B$19^(MIN(E153,MAX(1,5*INT(D153/5)))-1)*F153*'参数'!$J$27*P153</x:f>
        <x:v>351.2975752437124</x:v>
      </x:c>
      <x:c r="P153" s="22" t="n">
        <x:f>MIN(1,(D153-1)/19)</x:f>
        <x:v>1</x:v>
      </x:c>
      <x:c r="Q153" s="19" t="n">
        <x:f>INDEX('角色成长'!$F$6:$F$105,D153)+O153*'参数'!$K$21</x:f>
        <x:v>2065.1980894445805</x:v>
      </x:c>
      <x:c r="R153" s="19" t="n">
        <x:f>INDEX('角色成长'!$I$6:$I$105,D153)+O153*'参数'!$K$21</x:f>
        <x:v>1767.1980894445803</x:v>
      </x:c>
      <x:c r="S153" s="19" t="n">
        <x:f>INDEX('角色成长'!$L$6:$L$105,D153)+O153*'参数'!$K$21</x:f>
        <x:v>1597.1980894445803</x:v>
      </x:c>
      <x:c r="T153" s="19" t="n">
        <x:f>(INDEX('角色成长'!$J$6:$J$105,D153)+O153*'参数'!$L$21)*(1+'参数'!$B$40*P153)</x:f>
        <x:v>23455.08678745146</x:v>
      </x:c>
      <x:c r="U153" s="19" t="n">
        <x:f>(INDEX('角色成长'!$K$6:$K$105,D153)+O153*'参数'!$M$21)*(1+'参数'!$B$41*P153)</x:f>
        <x:v>1284.5478323441464</x:v>
      </x:c>
      <x:c r="V153" s="19" t="n">
        <x:f>(('参数'!$K$5*(((Q153*(1+'参数'!$B$39*P153))^2/((Q153*(1+'参数'!$B$39*P153))+'参数'!$B$22*(I153)))*(1+'参数'!$B$42*P153)/'参数'!$J$5+((Q153*'参数'!$B$43*(1+'参数'!$B$39*P153))^2/((Q153*'参数'!$B$43*(1+'参数'!$B$39*P153))+'参数'!$B$22*(I153)))/'参数'!$B$44))+(((R153*(1+'参数'!$B$39*P153))^2/((R153*(1+'参数'!$B$39*P153))+'参数'!$B$22*(I153)))*(1+'参数'!$B$42*P153)/'参数'!$J$6+((R153*'参数'!$B$45*(1+'参数'!$B$39*P153))^2/((R153*'参数'!$B$45*(1+'参数'!$B$39*P153))+'参数'!$B$22*(I153)))/'参数'!$B$46)+((S153*(1+'参数'!$B$39*P153))^2/((S153*(1+'参数'!$B$39*P153))+'参数'!$B$22*(I153)))*(1+'参数'!$B$42*P153)/'参数'!$J$7)*(1+'参数'!$B$37*('参数'!$B$38-1))*'参数'!$B$25</x:f>
        <x:v>13906.915583463084</x:v>
      </x:c>
      <x:c r="W153" s="19" t="n">
        <x:f>(('参数'!$K$5*(((Q153*(1+'参数'!$B$39*P153))^2/((Q153*(1+'参数'!$B$39*P153))+'参数'!$B$22*(M153)))*(1+'参数'!$B$42*P153)/'参数'!$J$5+((Q153*'参数'!$B$43*(1+'参数'!$B$39*P153))^2/((Q153*'参数'!$B$43*(1+'参数'!$B$39*P153))+'参数'!$B$22*(M153)))/'参数'!$B$44))+(((R153*(1+'参数'!$B$39*P153))^2/((R153*(1+'参数'!$B$39*P153))+'参数'!$B$22*(M153)))*(1+'参数'!$B$42*P153)/'参数'!$J$6+((R153*'参数'!$B$45*(1+'参数'!$B$39*P153))^2/((R153*'参数'!$B$45*(1+'参数'!$B$39*P153))+'参数'!$B$22*(M153)))/'参数'!$B$46)+((S153*(1+'参数'!$B$39*P153))^2/((S153*(1+'参数'!$B$39*P153))+'参数'!$B$22*(M153)))*(1+'参数'!$B$42*P153)/'参数'!$J$7)*(1+'参数'!$B$37*('参数'!$B$38-1))</x:f>
        <x:v>10713.536669284056</x:v>
      </x:c>
      <x:c r="X153" s="26" t="n">
        <x:f>('参数'!$B$26+'参数'!$B$27*(D153-1)/99)*'参数'!$K$27*AD153</x:f>
        <x:v>17.200000000000003</x:v>
      </x:c>
      <x:c r="Y153" s="26" t="n">
        <x:f>('参数'!$B$28+'参数'!$B$29*(D153-1)/99)*'参数'!$K$27*AD153*IF(AE153=1,'参数'!$B$51,1)</x:f>
        <x:v>46.33333333333334</x:v>
      </x:c>
      <x:c r="Z153" s="22" t="n">
        <x:f>MIN('参数'!$B$36,U153/(U153+'参数'!$B$35))</x:f>
        <x:v>0.2430762050221315</x:v>
      </x:c>
      <x:c r="AA153" s="19" t="n">
        <x:f>T153*'参数'!$B$30/('参数'!$B$32*'参数'!$B$33)/(1-Z153)*AC153</x:f>
        <x:v>813.4187777629621</x:v>
      </x:c>
      <x:c r="AB153" s="19" t="n">
        <x:f>T153*'参数'!$B$31/'参数'!$B$34/(1-Z153)*AC153</x:f>
        <x:v>1626.8375555259247</x:v>
      </x:c>
      <x:c r="AC153" s="20" t="n">
        <x:f>'参数'!$L$27*1</x:f>
        <x:v>1.05</x:v>
      </x:c>
      <x:c r="AD153" s="20" t="n">
        <x:f>1</x:f>
        <x:v>1</x:v>
      </x:c>
      <x:c r="AE153" s="19" t="n">
        <x:f>IF(MOD(B153,12)=0,1,0)</x:f>
        <x:v>0</x:v>
      </x:c>
    </x:row>
    <x:row r="154" ht="22" customHeight="1">
      <x:c r="A154" s="18" t="str">
        <x:v>困难</x:v>
      </x:c>
      <x:c r="B154" s="18" t="n">
        <x:v>29</x:v>
      </x:c>
      <x:c r="C154" s="18" t="n">
        <x:f>ROUNDUP(B154/12,0)</x:f>
        <x:v>3</x:v>
      </x:c>
      <x:c r="D154" s="18" t="n">
        <x:f>ROUND(MAX('参数'!$G$27,E154)+(IF(C154&lt;10,INDEX('参数'!$G$35:$P$35,1,MIN(10,C154+1)),'参数'!$H$27)-MAX('参数'!$G$27,E154))*MOD(B154-1,12)/11,0)</x:f>
        <x:v>62</x:v>
      </x:c>
      <x:c r="E154" s="18" t="n">
        <x:f>INDEX('参数'!$G$35:$P$35,1,C154)</x:f>
        <x:v>60</x:v>
      </x:c>
      <x:c r="F154" s="15" t="n">
        <x:f>'参数'!$I$27</x:f>
        <x:v>1.1</x:v>
      </x:c>
      <x:c r="G154" s="18" t="n">
        <x:f>ROUND(V154*X154/'参数'!$B$56,0)</x:f>
        <x:v>53087</x:v>
      </x:c>
      <x:c r="H154" s="18" t="n">
        <x:f>ROUND((AA154+SQRT(AA154^2+4*AA154*'参数'!$B$22*U154))/2,0)</x:f>
        <x:v>1658</x:v>
      </x:c>
      <x:c r="I154" s="18" t="n">
        <x:f>ROUND(Q154*'参数'!$B$23/'参数'!$B$22,0)</x:f>
        <x:v>420</x:v>
      </x:c>
      <x:c r="J154" s="18" t="n">
        <x:f>ROUND(G154*'参数'!$B$50,0)</x:f>
        <x:v>159261</x:v>
      </x:c>
      <x:c r="K154" s="18" t="n">
        <x:f>ROUND(W154*Y154,0)</x:f>
        <x:v>507199</x:v>
      </x:c>
      <x:c r="L154" s="18" t="n">
        <x:f>ROUND((AB154+SQRT(AB154^2+4*AB154*'参数'!$B$22*U154))/2,0)</x:f>
        <x:v>2686</x:v>
      </x:c>
      <x:c r="M154" s="18" t="n">
        <x:f>ROUND(I154*'参数'!$B$24,0)</x:f>
        <x:v>525</x:v>
      </x:c>
      <x:c r="N154" s="18" t="n">
        <x:f>'参数'!$B$9*'参数'!$B$10^(D154-1)</x:f>
        <x:v>3641.010718300271</x:v>
      </x:c>
      <x:c r="O154" s="18" t="n">
        <x:f>'参数'!$B$18*'参数'!$B$19^(MIN(E154,MAX(1,5*INT(D154/5)))-1)*F154*'参数'!$J$27*P154</x:f>
        <x:v>351.2975752437124</x:v>
      </x:c>
      <x:c r="P154" s="21" t="n">
        <x:f>MIN(1,(D154-1)/19)</x:f>
        <x:v>1</x:v>
      </x:c>
      <x:c r="Q154" s="18" t="n">
        <x:f>INDEX('角色成长'!$F$6:$F$105,D154)+O154*'参数'!$K$21</x:f>
        <x:v>2102.1980894445805</x:v>
      </x:c>
      <x:c r="R154" s="18" t="n">
        <x:f>INDEX('角色成长'!$I$6:$I$105,D154)+O154*'参数'!$K$21</x:f>
        <x:v>1794.1980894445803</x:v>
      </x:c>
      <x:c r="S154" s="18" t="n">
        <x:f>INDEX('角色成长'!$L$6:$L$105,D154)+O154*'参数'!$K$21</x:f>
        <x:v>1617.1980894445803</x:v>
      </x:c>
      <x:c r="T154" s="18" t="n">
        <x:f>(INDEX('角色成长'!$J$6:$J$105,D154)+O154*'参数'!$L$21)*(1+'参数'!$B$40*P154)</x:f>
        <x:v>23990.78678745146</x:v>
      </x:c>
      <x:c r="U154" s="18" t="n">
        <x:f>(INDEX('角色成长'!$K$6:$K$105,D154)+O154*'参数'!$M$21)*(1+'参数'!$B$41*P154)</x:f>
        <x:v>1305.4478323441463</x:v>
      </x:c>
      <x:c r="V154" s="18" t="n">
        <x:f>(('参数'!$K$5*(((Q154*(1+'参数'!$B$39*P154))^2/((Q154*(1+'参数'!$B$39*P154))+'参数'!$B$22*(I154)))*(1+'参数'!$B$42*P154)/'参数'!$J$5+((Q154*'参数'!$B$43*(1+'参数'!$B$39*P154))^2/((Q154*'参数'!$B$43*(1+'参数'!$B$39*P154))+'参数'!$B$22*(I154)))/'参数'!$B$44))+(((R154*(1+'参数'!$B$39*P154))^2/((R154*(1+'参数'!$B$39*P154))+'参数'!$B$22*(I154)))*(1+'参数'!$B$42*P154)/'参数'!$J$6+((R154*'参数'!$B$45*(1+'参数'!$B$39*P154))^2/((R154*'参数'!$B$45*(1+'参数'!$B$39*P154))+'参数'!$B$22*(I154)))/'参数'!$B$46)+((S154*(1+'参数'!$B$39*P154))^2/((S154*(1+'参数'!$B$39*P154))+'参数'!$B$22*(I154)))*(1+'参数'!$B$42*P154)/'参数'!$J$7)*(1+'参数'!$B$37*('参数'!$B$38-1))*'参数'!$B$25</x:f>
        <x:v>14142.980627047036</x:v>
      </x:c>
      <x:c r="W154" s="18" t="n">
        <x:f>(('参数'!$K$5*(((Q154*(1+'参数'!$B$39*P154))^2/((Q154*(1+'参数'!$B$39*P154))+'参数'!$B$22*(M154)))*(1+'参数'!$B$42*P154)/'参数'!$J$5+((Q154*'参数'!$B$43*(1+'参数'!$B$39*P154))^2/((Q154*'参数'!$B$43*(1+'参数'!$B$39*P154))+'参数'!$B$22*(M154)))/'参数'!$B$44))+(((R154*(1+'参数'!$B$39*P154))^2/((R154*(1+'参数'!$B$39*P154))+'参数'!$B$22*(M154)))*(1+'参数'!$B$42*P154)/'参数'!$J$6+((R154*'参数'!$B$45*(1+'参数'!$B$39*P154))^2/((R154*'参数'!$B$45*(1+'参数'!$B$39*P154))+'参数'!$B$22*(M154)))/'参数'!$B$46)+((S154*(1+'参数'!$B$39*P154))^2/((S154*(1+'参数'!$B$39*P154))+'参数'!$B$22*(M154)))*(1+'参数'!$B$42*P154)/'参数'!$J$7)*(1+'参数'!$B$37*('参数'!$B$38-1))</x:f>
        <x:v>10894.495136498486</x:v>
      </x:c>
      <x:c r="X154" s="25" t="n">
        <x:f>('参数'!$B$26+'参数'!$B$27*(D154-1)/99)*'参数'!$K$27*AD154</x:f>
        <x:v>17.26666666666667</x:v>
      </x:c>
      <x:c r="Y154" s="25" t="n">
        <x:f>('参数'!$B$28+'参数'!$B$29*(D154-1)/99)*'参数'!$K$27*AD154*IF(AE154=1,'参数'!$B$51,1)</x:f>
        <x:v>46.555555555555564</x:v>
      </x:c>
      <x:c r="Z154" s="21" t="n">
        <x:f>MIN('参数'!$B$36,U154/(U154+'参数'!$B$35))</x:f>
        <x:v>0.24605799050282062</x:v>
      </x:c>
      <x:c r="AA154" s="18" t="n">
        <x:f>T154*'参数'!$B$30/('参数'!$B$32*'参数'!$B$33)/(1-Z154)*AC154</x:f>
        <x:v>835.2872571600042</x:v>
      </x:c>
      <x:c r="AB154" s="18" t="n">
        <x:f>T154*'参数'!$B$31/'参数'!$B$34/(1-Z154)*AC154</x:f>
        <x:v>1670.5745143200086</x:v>
      </x:c>
      <x:c r="AC154" s="15" t="n">
        <x:f>'参数'!$L$27*1</x:f>
        <x:v>1.05</x:v>
      </x:c>
      <x:c r="AD154" s="15" t="n">
        <x:f>1</x:f>
        <x:v>1</x:v>
      </x:c>
      <x:c r="AE154" s="18" t="n">
        <x:f>IF(MOD(B154,12)=0,1,0)</x:f>
        <x:v>0</x:v>
      </x:c>
    </x:row>
    <x:row r="155" ht="22" customHeight="1">
      <x:c r="A155" s="19" t="str">
        <x:v>困难</x:v>
      </x:c>
      <x:c r="B155" s="19" t="n">
        <x:v>30</x:v>
      </x:c>
      <x:c r="C155" s="19" t="n">
        <x:f>ROUNDUP(B155/12,0)</x:f>
        <x:v>3</x:v>
      </x:c>
      <x:c r="D155" s="19" t="n">
        <x:f>ROUND(MAX('参数'!$G$27,E155)+(IF(C155&lt;10,INDEX('参数'!$G$35:$P$35,1,MIN(10,C155+1)),'参数'!$H$27)-MAX('参数'!$G$27,E155))*MOD(B155-1,12)/11,0)</x:f>
        <x:v>62</x:v>
      </x:c>
      <x:c r="E155" s="19" t="n">
        <x:f>INDEX('参数'!$G$35:$P$35,1,C155)</x:f>
        <x:v>60</x:v>
      </x:c>
      <x:c r="F155" s="20" t="n">
        <x:f>'参数'!$I$27</x:f>
        <x:v>1.1</x:v>
      </x:c>
      <x:c r="G155" s="19" t="n">
        <x:f>ROUND(V155*X155/'参数'!$B$56,0)</x:f>
        <x:v>53087</x:v>
      </x:c>
      <x:c r="H155" s="19" t="n">
        <x:f>ROUND((AA155+SQRT(AA155^2+4*AA155*'参数'!$B$22*U155))/2,0)</x:f>
        <x:v>1658</x:v>
      </x:c>
      <x:c r="I155" s="19" t="n">
        <x:f>ROUND(Q155*'参数'!$B$23/'参数'!$B$22,0)</x:f>
        <x:v>420</x:v>
      </x:c>
      <x:c r="J155" s="19" t="n">
        <x:f>ROUND(G155*'参数'!$B$50,0)</x:f>
        <x:v>159261</x:v>
      </x:c>
      <x:c r="K155" s="19" t="n">
        <x:f>ROUND(W155*Y155,0)</x:f>
        <x:v>507199</x:v>
      </x:c>
      <x:c r="L155" s="19" t="n">
        <x:f>ROUND((AB155+SQRT(AB155^2+4*AB155*'参数'!$B$22*U155))/2,0)</x:f>
        <x:v>2686</x:v>
      </x:c>
      <x:c r="M155" s="19" t="n">
        <x:f>ROUND(I155*'参数'!$B$24,0)</x:f>
        <x:v>525</x:v>
      </x:c>
      <x:c r="N155" s="19" t="n">
        <x:f>'参数'!$B$9*'参数'!$B$10^(D155-1)</x:f>
        <x:v>3641.010718300271</x:v>
      </x:c>
      <x:c r="O155" s="19" t="n">
        <x:f>'参数'!$B$18*'参数'!$B$19^(MIN(E155,MAX(1,5*INT(D155/5)))-1)*F155*'参数'!$J$27*P155</x:f>
        <x:v>351.2975752437124</x:v>
      </x:c>
      <x:c r="P155" s="22" t="n">
        <x:f>MIN(1,(D155-1)/19)</x:f>
        <x:v>1</x:v>
      </x:c>
      <x:c r="Q155" s="19" t="n">
        <x:f>INDEX('角色成长'!$F$6:$F$105,D155)+O155*'参数'!$K$21</x:f>
        <x:v>2102.1980894445805</x:v>
      </x:c>
      <x:c r="R155" s="19" t="n">
        <x:f>INDEX('角色成长'!$I$6:$I$105,D155)+O155*'参数'!$K$21</x:f>
        <x:v>1794.1980894445803</x:v>
      </x:c>
      <x:c r="S155" s="19" t="n">
        <x:f>INDEX('角色成长'!$L$6:$L$105,D155)+O155*'参数'!$K$21</x:f>
        <x:v>1617.1980894445803</x:v>
      </x:c>
      <x:c r="T155" s="19" t="n">
        <x:f>(INDEX('角色成长'!$J$6:$J$105,D155)+O155*'参数'!$L$21)*(1+'参数'!$B$40*P155)</x:f>
        <x:v>23990.78678745146</x:v>
      </x:c>
      <x:c r="U155" s="19" t="n">
        <x:f>(INDEX('角色成长'!$K$6:$K$105,D155)+O155*'参数'!$M$21)*(1+'参数'!$B$41*P155)</x:f>
        <x:v>1305.4478323441463</x:v>
      </x:c>
      <x:c r="V155" s="19" t="n">
        <x:f>(('参数'!$K$5*(((Q155*(1+'参数'!$B$39*P155))^2/((Q155*(1+'参数'!$B$39*P155))+'参数'!$B$22*(I155)))*(1+'参数'!$B$42*P155)/'参数'!$J$5+((Q155*'参数'!$B$43*(1+'参数'!$B$39*P155))^2/((Q155*'参数'!$B$43*(1+'参数'!$B$39*P155))+'参数'!$B$22*(I155)))/'参数'!$B$44))+(((R155*(1+'参数'!$B$39*P155))^2/((R155*(1+'参数'!$B$39*P155))+'参数'!$B$22*(I155)))*(1+'参数'!$B$42*P155)/'参数'!$J$6+((R155*'参数'!$B$45*(1+'参数'!$B$39*P155))^2/((R155*'参数'!$B$45*(1+'参数'!$B$39*P155))+'参数'!$B$22*(I155)))/'参数'!$B$46)+((S155*(1+'参数'!$B$39*P155))^2/((S155*(1+'参数'!$B$39*P155))+'参数'!$B$22*(I155)))*(1+'参数'!$B$42*P155)/'参数'!$J$7)*(1+'参数'!$B$37*('参数'!$B$38-1))*'参数'!$B$25</x:f>
        <x:v>14142.980627047036</x:v>
      </x:c>
      <x:c r="W155" s="19" t="n">
        <x:f>(('参数'!$K$5*(((Q155*(1+'参数'!$B$39*P155))^2/((Q155*(1+'参数'!$B$39*P155))+'参数'!$B$22*(M155)))*(1+'参数'!$B$42*P155)/'参数'!$J$5+((Q155*'参数'!$B$43*(1+'参数'!$B$39*P155))^2/((Q155*'参数'!$B$43*(1+'参数'!$B$39*P155))+'参数'!$B$22*(M155)))/'参数'!$B$44))+(((R155*(1+'参数'!$B$39*P155))^2/((R155*(1+'参数'!$B$39*P155))+'参数'!$B$22*(M155)))*(1+'参数'!$B$42*P155)/'参数'!$J$6+((R155*'参数'!$B$45*(1+'参数'!$B$39*P155))^2/((R155*'参数'!$B$45*(1+'参数'!$B$39*P155))+'参数'!$B$22*(M155)))/'参数'!$B$46)+((S155*(1+'参数'!$B$39*P155))^2/((S155*(1+'参数'!$B$39*P155))+'参数'!$B$22*(M155)))*(1+'参数'!$B$42*P155)/'参数'!$J$7)*(1+'参数'!$B$37*('参数'!$B$38-1))</x:f>
        <x:v>10894.495136498486</x:v>
      </x:c>
      <x:c r="X155" s="26" t="n">
        <x:f>('参数'!$B$26+'参数'!$B$27*(D155-1)/99)*'参数'!$K$27*AD155</x:f>
        <x:v>17.26666666666667</x:v>
      </x:c>
      <x:c r="Y155" s="26" t="n">
        <x:f>('参数'!$B$28+'参数'!$B$29*(D155-1)/99)*'参数'!$K$27*AD155*IF(AE155=1,'参数'!$B$51,1)</x:f>
        <x:v>46.555555555555564</x:v>
      </x:c>
      <x:c r="Z155" s="22" t="n">
        <x:f>MIN('参数'!$B$36,U155/(U155+'参数'!$B$35))</x:f>
        <x:v>0.24605799050282062</x:v>
      </x:c>
      <x:c r="AA155" s="19" t="n">
        <x:f>T155*'参数'!$B$30/('参数'!$B$32*'参数'!$B$33)/(1-Z155)*AC155</x:f>
        <x:v>835.2872571600042</x:v>
      </x:c>
      <x:c r="AB155" s="19" t="n">
        <x:f>T155*'参数'!$B$31/'参数'!$B$34/(1-Z155)*AC155</x:f>
        <x:v>1670.5745143200086</x:v>
      </x:c>
      <x:c r="AC155" s="20" t="n">
        <x:f>'参数'!$L$27*1</x:f>
        <x:v>1.05</x:v>
      </x:c>
      <x:c r="AD155" s="20" t="n">
        <x:f>1</x:f>
        <x:v>1</x:v>
      </x:c>
      <x:c r="AE155" s="19" t="n">
        <x:f>IF(MOD(B155,12)=0,1,0)</x:f>
        <x:v>0</x:v>
      </x:c>
    </x:row>
    <x:row r="156" ht="22" customHeight="1">
      <x:c r="A156" s="18" t="str">
        <x:v>困难</x:v>
      </x:c>
      <x:c r="B156" s="18" t="n">
        <x:v>31</x:v>
      </x:c>
      <x:c r="C156" s="18" t="n">
        <x:f>ROUNDUP(B156/12,0)</x:f>
        <x:v>3</x:v>
      </x:c>
      <x:c r="D156" s="18" t="n">
        <x:f>ROUND(MAX('参数'!$G$27,E156)+(IF(C156&lt;10,INDEX('参数'!$G$35:$P$35,1,MIN(10,C156+1)),'参数'!$H$27)-MAX('参数'!$G$27,E156))*MOD(B156-1,12)/11,0)</x:f>
        <x:v>63</x:v>
      </x:c>
      <x:c r="E156" s="18" t="n">
        <x:f>INDEX('参数'!$G$35:$P$35,1,C156)</x:f>
        <x:v>60</x:v>
      </x:c>
      <x:c r="F156" s="15" t="n">
        <x:f>'参数'!$I$27</x:f>
        <x:v>1.1</x:v>
      </x:c>
      <x:c r="G156" s="18" t="n">
        <x:f>ROUND(V156*X156/'参数'!$B$56,0)</x:f>
        <x:v>54192</x:v>
      </x:c>
      <x:c r="H156" s="18" t="n">
        <x:f>ROUND((AA156+SQRT(AA156^2+4*AA156*'参数'!$B$22*U156))/2,0)</x:f>
        <x:v>1697</x:v>
      </x:c>
      <x:c r="I156" s="18" t="n">
        <x:f>ROUND(Q156*'参数'!$B$23/'参数'!$B$22,0)</x:f>
        <x:v>428</x:v>
      </x:c>
      <x:c r="J156" s="18" t="n">
        <x:f>ROUND(G156*'参数'!$B$50,0)</x:f>
        <x:v>162576</x:v>
      </x:c>
      <x:c r="K156" s="18" t="n">
        <x:f>ROUND(W156*Y156,0)</x:f>
        <x:v>518193</x:v>
      </x:c>
      <x:c r="L156" s="18" t="n">
        <x:f>ROUND((AB156+SQRT(AB156^2+4*AB156*'参数'!$B$22*U156))/2,0)</x:f>
        <x:v>2751</x:v>
      </x:c>
      <x:c r="M156" s="18" t="n">
        <x:f>ROUND(I156*'参数'!$B$24,0)</x:f>
        <x:v>535</x:v>
      </x:c>
      <x:c r="N156" s="18" t="n">
        <x:f>'参数'!$B$9*'参数'!$B$10^(D156-1)</x:f>
        <x:v>3750.2410398492793</x:v>
      </x:c>
      <x:c r="O156" s="18" t="n">
        <x:f>'参数'!$B$18*'参数'!$B$19^(MIN(E156,MAX(1,5*INT(D156/5)))-1)*F156*'参数'!$J$27*P156</x:f>
        <x:v>351.2975752437124</x:v>
      </x:c>
      <x:c r="P156" s="21" t="n">
        <x:f>MIN(1,(D156-1)/19)</x:f>
        <x:v>1</x:v>
      </x:c>
      <x:c r="Q156" s="18" t="n">
        <x:f>INDEX('角色成长'!$F$6:$F$105,D156)+O156*'参数'!$K$21</x:f>
        <x:v>2140.1980894445805</x:v>
      </x:c>
      <x:c r="R156" s="18" t="n">
        <x:f>INDEX('角色成长'!$I$6:$I$105,D156)+O156*'参数'!$K$21</x:f>
        <x:v>1821.1980894445803</x:v>
      </x:c>
      <x:c r="S156" s="18" t="n">
        <x:f>INDEX('角色成长'!$L$6:$L$105,D156)+O156*'参数'!$K$21</x:f>
        <x:v>1639.1980894445803</x:v>
      </x:c>
      <x:c r="T156" s="18" t="n">
        <x:f>(INDEX('角色成长'!$J$6:$J$105,D156)+O156*'参数'!$L$21)*(1+'参数'!$B$40*P156)</x:f>
        <x:v>24545.186787451457</x:v>
      </x:c>
      <x:c r="U156" s="18" t="n">
        <x:f>(INDEX('角色成长'!$K$6:$K$105,D156)+O156*'参数'!$M$21)*(1+'参数'!$B$41*P156)</x:f>
        <x:v>1327.4478323441463</x:v>
      </x:c>
      <x:c r="V156" s="18" t="n">
        <x:f>(('参数'!$K$5*(((Q156*(1+'参数'!$B$39*P156))^2/((Q156*(1+'参数'!$B$39*P156))+'参数'!$B$22*(I156)))*(1+'参数'!$B$42*P156)/'参数'!$J$5+((Q156*'参数'!$B$43*(1+'参数'!$B$39*P156))^2/((Q156*'参数'!$B$43*(1+'参数'!$B$39*P156))+'参数'!$B$22*(I156)))/'参数'!$B$44))+(((R156*(1+'参数'!$B$39*P156))^2/((R156*(1+'参数'!$B$39*P156))+'参数'!$B$22*(I156)))*(1+'参数'!$B$42*P156)/'参数'!$J$6+((R156*'参数'!$B$45*(1+'参数'!$B$39*P156))^2/((R156*'参数'!$B$45*(1+'参数'!$B$39*P156))+'参数'!$B$22*(I156)))/'参数'!$B$46)+((S156*(1+'参数'!$B$39*P156))^2/((S156*(1+'参数'!$B$39*P156))+'参数'!$B$22*(I156)))*(1+'参数'!$B$42*P156)/'参数'!$J$7)*(1+'参数'!$B$37*('参数'!$B$38-1))*'参数'!$B$25</x:f>
        <x:v>14381.614439733166</x:v>
      </x:c>
      <x:c r="W156" s="18" t="n">
        <x:f>(('参数'!$K$5*(((Q156*(1+'参数'!$B$39*P156))^2/((Q156*(1+'参数'!$B$39*P156))+'参数'!$B$22*(M156)))*(1+'参数'!$B$42*P156)/'参数'!$J$5+((Q156*'参数'!$B$43*(1+'参数'!$B$39*P156))^2/((Q156*'参数'!$B$43*(1+'参数'!$B$39*P156))+'参数'!$B$22*(M156)))/'参数'!$B$44))+(((R156*(1+'参数'!$B$39*P156))^2/((R156*(1+'参数'!$B$39*P156))+'参数'!$B$22*(M156)))*(1+'参数'!$B$42*P156)/'参数'!$J$6+((R156*'参数'!$B$45*(1+'参数'!$B$39*P156))^2/((R156*'参数'!$B$45*(1+'参数'!$B$39*P156))+'参数'!$B$22*(M156)))/'参数'!$B$46)+((S156*(1+'参数'!$B$39*P156))^2/((S156*(1+'参数'!$B$39*P156))+'参数'!$B$22*(M156)))*(1+'参数'!$B$42*P156)/'参数'!$J$7)*(1+'参数'!$B$37*('参数'!$B$38-1))</x:f>
        <x:v>11077.761662032139</x:v>
      </x:c>
      <x:c r="X156" s="25" t="n">
        <x:f>('参数'!$B$26+'参数'!$B$27*(D156-1)/99)*'参数'!$K$27*AD156</x:f>
        <x:v>17.333333333333336</x:v>
      </x:c>
      <x:c r="Y156" s="25" t="n">
        <x:f>('参数'!$B$28+'参数'!$B$29*(D156-1)/99)*'参数'!$K$27*AD156*IF(AE156=1,'参数'!$B$51,1)</x:f>
        <x:v>46.777777777777786</x:v>
      </x:c>
      <x:c r="Z156" s="21" t="n">
        <x:f>MIN('参数'!$B$36,U156/(U156+'参数'!$B$35))</x:f>
        <x:v>0.24917143707816505</x:v>
      </x:c>
      <x:c r="AA156" s="18" t="n">
        <x:f>T156*'参数'!$B$30/('参数'!$B$32*'参数'!$B$33)/(1-Z156)*AC156</x:f>
        <x:v>858.1335140784685</x:v>
      </x:c>
      <x:c r="AB156" s="18" t="n">
        <x:f>T156*'参数'!$B$31/'参数'!$B$34/(1-Z156)*AC156</x:f>
        <x:v>1716.267028156937</x:v>
      </x:c>
      <x:c r="AC156" s="15" t="n">
        <x:f>'参数'!$L$27*1</x:f>
        <x:v>1.05</x:v>
      </x:c>
      <x:c r="AD156" s="15" t="n">
        <x:f>1</x:f>
        <x:v>1</x:v>
      </x:c>
      <x:c r="AE156" s="18" t="n">
        <x:f>IF(MOD(B156,12)=0,1,0)</x:f>
        <x:v>0</x:v>
      </x:c>
    </x:row>
    <x:row r="157" ht="22" customHeight="1">
      <x:c r="A157" s="19" t="str">
        <x:v>困难</x:v>
      </x:c>
      <x:c r="B157" s="19" t="n">
        <x:v>32</x:v>
      </x:c>
      <x:c r="C157" s="19" t="n">
        <x:f>ROUNDUP(B157/12,0)</x:f>
        <x:v>3</x:v>
      </x:c>
      <x:c r="D157" s="19" t="n">
        <x:f>ROUND(MAX('参数'!$G$27,E157)+(IF(C157&lt;10,INDEX('参数'!$G$35:$P$35,1,MIN(10,C157+1)),'参数'!$H$27)-MAX('参数'!$G$27,E157))*MOD(B157-1,12)/11,0)</x:f>
        <x:v>63</x:v>
      </x:c>
      <x:c r="E157" s="19" t="n">
        <x:f>INDEX('参数'!$G$35:$P$35,1,C157)</x:f>
        <x:v>60</x:v>
      </x:c>
      <x:c r="F157" s="20" t="n">
        <x:f>'参数'!$I$27</x:f>
        <x:v>1.1</x:v>
      </x:c>
      <x:c r="G157" s="19" t="n">
        <x:f>ROUND(V157*X157/'参数'!$B$56,0)</x:f>
        <x:v>54192</x:v>
      </x:c>
      <x:c r="H157" s="19" t="n">
        <x:f>ROUND((AA157+SQRT(AA157^2+4*AA157*'参数'!$B$22*U157))/2,0)</x:f>
        <x:v>1697</x:v>
      </x:c>
      <x:c r="I157" s="19" t="n">
        <x:f>ROUND(Q157*'参数'!$B$23/'参数'!$B$22,0)</x:f>
        <x:v>428</x:v>
      </x:c>
      <x:c r="J157" s="19" t="n">
        <x:f>ROUND(G157*'参数'!$B$50,0)</x:f>
        <x:v>162576</x:v>
      </x:c>
      <x:c r="K157" s="19" t="n">
        <x:f>ROUND(W157*Y157,0)</x:f>
        <x:v>518193</x:v>
      </x:c>
      <x:c r="L157" s="19" t="n">
        <x:f>ROUND((AB157+SQRT(AB157^2+4*AB157*'参数'!$B$22*U157))/2,0)</x:f>
        <x:v>2751</x:v>
      </x:c>
      <x:c r="M157" s="19" t="n">
        <x:f>ROUND(I157*'参数'!$B$24,0)</x:f>
        <x:v>535</x:v>
      </x:c>
      <x:c r="N157" s="19" t="n">
        <x:f>'参数'!$B$9*'参数'!$B$10^(D157-1)</x:f>
        <x:v>3750.2410398492793</x:v>
      </x:c>
      <x:c r="O157" s="19" t="n">
        <x:f>'参数'!$B$18*'参数'!$B$19^(MIN(E157,MAX(1,5*INT(D157/5)))-1)*F157*'参数'!$J$27*P157</x:f>
        <x:v>351.2975752437124</x:v>
      </x:c>
      <x:c r="P157" s="22" t="n">
        <x:f>MIN(1,(D157-1)/19)</x:f>
        <x:v>1</x:v>
      </x:c>
      <x:c r="Q157" s="19" t="n">
        <x:f>INDEX('角色成长'!$F$6:$F$105,D157)+O157*'参数'!$K$21</x:f>
        <x:v>2140.1980894445805</x:v>
      </x:c>
      <x:c r="R157" s="19" t="n">
        <x:f>INDEX('角色成长'!$I$6:$I$105,D157)+O157*'参数'!$K$21</x:f>
        <x:v>1821.1980894445803</x:v>
      </x:c>
      <x:c r="S157" s="19" t="n">
        <x:f>INDEX('角色成长'!$L$6:$L$105,D157)+O157*'参数'!$K$21</x:f>
        <x:v>1639.1980894445803</x:v>
      </x:c>
      <x:c r="T157" s="19" t="n">
        <x:f>(INDEX('角色成长'!$J$6:$J$105,D157)+O157*'参数'!$L$21)*(1+'参数'!$B$40*P157)</x:f>
        <x:v>24545.186787451457</x:v>
      </x:c>
      <x:c r="U157" s="19" t="n">
        <x:f>(INDEX('角色成长'!$K$6:$K$105,D157)+O157*'参数'!$M$21)*(1+'参数'!$B$41*P157)</x:f>
        <x:v>1327.4478323441463</x:v>
      </x:c>
      <x:c r="V157" s="19" t="n">
        <x:f>(('参数'!$K$5*(((Q157*(1+'参数'!$B$39*P157))^2/((Q157*(1+'参数'!$B$39*P157))+'参数'!$B$22*(I157)))*(1+'参数'!$B$42*P157)/'参数'!$J$5+((Q157*'参数'!$B$43*(1+'参数'!$B$39*P157))^2/((Q157*'参数'!$B$43*(1+'参数'!$B$39*P157))+'参数'!$B$22*(I157)))/'参数'!$B$44))+(((R157*(1+'参数'!$B$39*P157))^2/((R157*(1+'参数'!$B$39*P157))+'参数'!$B$22*(I157)))*(1+'参数'!$B$42*P157)/'参数'!$J$6+((R157*'参数'!$B$45*(1+'参数'!$B$39*P157))^2/((R157*'参数'!$B$45*(1+'参数'!$B$39*P157))+'参数'!$B$22*(I157)))/'参数'!$B$46)+((S157*(1+'参数'!$B$39*P157))^2/((S157*(1+'参数'!$B$39*P157))+'参数'!$B$22*(I157)))*(1+'参数'!$B$42*P157)/'参数'!$J$7)*(1+'参数'!$B$37*('参数'!$B$38-1))*'参数'!$B$25</x:f>
        <x:v>14381.614439733166</x:v>
      </x:c>
      <x:c r="W157" s="19" t="n">
        <x:f>(('参数'!$K$5*(((Q157*(1+'参数'!$B$39*P157))^2/((Q157*(1+'参数'!$B$39*P157))+'参数'!$B$22*(M157)))*(1+'参数'!$B$42*P157)/'参数'!$J$5+((Q157*'参数'!$B$43*(1+'参数'!$B$39*P157))^2/((Q157*'参数'!$B$43*(1+'参数'!$B$39*P157))+'参数'!$B$22*(M157)))/'参数'!$B$44))+(((R157*(1+'参数'!$B$39*P157))^2/((R157*(1+'参数'!$B$39*P157))+'参数'!$B$22*(M157)))*(1+'参数'!$B$42*P157)/'参数'!$J$6+((R157*'参数'!$B$45*(1+'参数'!$B$39*P157))^2/((R157*'参数'!$B$45*(1+'参数'!$B$39*P157))+'参数'!$B$22*(M157)))/'参数'!$B$46)+((S157*(1+'参数'!$B$39*P157))^2/((S157*(1+'参数'!$B$39*P157))+'参数'!$B$22*(M157)))*(1+'参数'!$B$42*P157)/'参数'!$J$7)*(1+'参数'!$B$37*('参数'!$B$38-1))</x:f>
        <x:v>11077.761662032139</x:v>
      </x:c>
      <x:c r="X157" s="26" t="n">
        <x:f>('参数'!$B$26+'参数'!$B$27*(D157-1)/99)*'参数'!$K$27*AD157</x:f>
        <x:v>17.333333333333336</x:v>
      </x:c>
      <x:c r="Y157" s="26" t="n">
        <x:f>('参数'!$B$28+'参数'!$B$29*(D157-1)/99)*'参数'!$K$27*AD157*IF(AE157=1,'参数'!$B$51,1)</x:f>
        <x:v>46.777777777777786</x:v>
      </x:c>
      <x:c r="Z157" s="22" t="n">
        <x:f>MIN('参数'!$B$36,U157/(U157+'参数'!$B$35))</x:f>
        <x:v>0.24917143707816505</x:v>
      </x:c>
      <x:c r="AA157" s="19" t="n">
        <x:f>T157*'参数'!$B$30/('参数'!$B$32*'参数'!$B$33)/(1-Z157)*AC157</x:f>
        <x:v>858.1335140784685</x:v>
      </x:c>
      <x:c r="AB157" s="19" t="n">
        <x:f>T157*'参数'!$B$31/'参数'!$B$34/(1-Z157)*AC157</x:f>
        <x:v>1716.267028156937</x:v>
      </x:c>
      <x:c r="AC157" s="20" t="n">
        <x:f>'参数'!$L$27*1</x:f>
        <x:v>1.05</x:v>
      </x:c>
      <x:c r="AD157" s="20" t="n">
        <x:f>1</x:f>
        <x:v>1</x:v>
      </x:c>
      <x:c r="AE157" s="19" t="n">
        <x:f>IF(MOD(B157,12)=0,1,0)</x:f>
        <x:v>0</x:v>
      </x:c>
    </x:row>
    <x:row r="158" ht="22" customHeight="1">
      <x:c r="A158" s="18" t="str">
        <x:v>困难</x:v>
      </x:c>
      <x:c r="B158" s="18" t="n">
        <x:v>33</x:v>
      </x:c>
      <x:c r="C158" s="18" t="n">
        <x:f>ROUNDUP(B158/12,0)</x:f>
        <x:v>3</x:v>
      </x:c>
      <x:c r="D158" s="18" t="n">
        <x:f>ROUND(MAX('参数'!$G$27,E158)+(IF(C158&lt;10,INDEX('参数'!$G$35:$P$35,1,MIN(10,C158+1)),'参数'!$H$27)-MAX('参数'!$G$27,E158))*MOD(B158-1,12)/11,0)</x:f>
        <x:v>64</x:v>
      </x:c>
      <x:c r="E158" s="18" t="n">
        <x:f>INDEX('参数'!$G$35:$P$35,1,C158)</x:f>
        <x:v>60</x:v>
      </x:c>
      <x:c r="F158" s="15" t="n">
        <x:f>'参数'!$I$27</x:f>
        <x:v>1.1</x:v>
      </x:c>
      <x:c r="G158" s="18" t="n">
        <x:f>ROUND(V158*X158/'参数'!$B$56,0)</x:f>
        <x:v>55357</x:v>
      </x:c>
      <x:c r="H158" s="18" t="n">
        <x:f>ROUND((AA158+SQRT(AA158^2+4*AA158*'参数'!$B$22*U158))/2,0)</x:f>
        <x:v>1739</x:v>
      </x:c>
      <x:c r="I158" s="18" t="n">
        <x:f>ROUND(Q158*'参数'!$B$23/'参数'!$B$22,0)</x:f>
        <x:v>436</x:v>
      </x:c>
      <x:c r="J158" s="18" t="n">
        <x:f>ROUND(G158*'参数'!$B$50,0)</x:f>
        <x:v>166071</x:v>
      </x:c>
      <x:c r="K158" s="18" t="n">
        <x:f>ROUND(W158*Y158,0)</x:f>
        <x:v>529805</x:v>
      </x:c>
      <x:c r="L158" s="18" t="n">
        <x:f>ROUND((AB158+SQRT(AB158^2+4*AB158*'参数'!$B$22*U158))/2,0)</x:f>
        <x:v>2820</x:v>
      </x:c>
      <x:c r="M158" s="18" t="n">
        <x:f>ROUND(I158*'参数'!$B$24,0)</x:f>
        <x:v>545</x:v>
      </x:c>
      <x:c r="N158" s="18" t="n">
        <x:f>'参数'!$B$9*'参数'!$B$10^(D158-1)</x:f>
        <x:v>3862.748271044758</x:v>
      </x:c>
      <x:c r="O158" s="18" t="n">
        <x:f>'参数'!$B$18*'参数'!$B$19^(MIN(E158,MAX(1,5*INT(D158/5)))-1)*F158*'参数'!$J$27*P158</x:f>
        <x:v>351.2975752437124</x:v>
      </x:c>
      <x:c r="P158" s="21" t="n">
        <x:f>MIN(1,(D158-1)/19)</x:f>
        <x:v>1</x:v>
      </x:c>
      <x:c r="Q158" s="18" t="n">
        <x:f>INDEX('角色成长'!$F$6:$F$105,D158)+O158*'参数'!$K$21</x:f>
        <x:v>2180.1980894445805</x:v>
      </x:c>
      <x:c r="R158" s="18" t="n">
        <x:f>INDEX('角色成长'!$I$6:$I$105,D158)+O158*'参数'!$K$21</x:f>
        <x:v>1850.1980894445803</x:v>
      </x:c>
      <x:c r="S158" s="18" t="n">
        <x:f>INDEX('角色成长'!$L$6:$L$105,D158)+O158*'参数'!$K$21</x:f>
        <x:v>1661.1980894445803</x:v>
      </x:c>
      <x:c r="T158" s="18" t="n">
        <x:f>(INDEX('角色成长'!$J$6:$J$105,D158)+O158*'参数'!$L$21)*(1+'参数'!$B$40*P158)</x:f>
        <x:v>25120.486787451457</x:v>
      </x:c>
      <x:c r="U158" s="18" t="n">
        <x:f>(INDEX('角色成长'!$K$6:$K$105,D158)+O158*'参数'!$M$21)*(1+'参数'!$B$41*P158)</x:f>
        <x:v>1350.5478323441464</x:v>
      </x:c>
      <x:c r="V158" s="18" t="n">
        <x:f>(('参数'!$K$5*(((Q158*(1+'参数'!$B$39*P158))^2/((Q158*(1+'参数'!$B$39*P158))+'参数'!$B$22*(I158)))*(1+'参数'!$B$42*P158)/'参数'!$J$5+((Q158*'参数'!$B$43*(1+'参数'!$B$39*P158))^2/((Q158*'参数'!$B$43*(1+'参数'!$B$39*P158))+'参数'!$B$22*(I158)))/'参数'!$B$44))+(((R158*(1+'参数'!$B$39*P158))^2/((R158*(1+'参数'!$B$39*P158))+'参数'!$B$22*(I158)))*(1+'参数'!$B$42*P158)/'参数'!$J$6+((R158*'参数'!$B$45*(1+'参数'!$B$39*P158))^2/((R158*'参数'!$B$45*(1+'参数'!$B$39*P158))+'参数'!$B$22*(I158)))/'参数'!$B$46)+((S158*(1+'参数'!$B$39*P158))^2/((S158*(1+'参数'!$B$39*P158))+'参数'!$B$22*(I158)))*(1+'参数'!$B$42*P158)/'参数'!$J$7)*(1+'参数'!$B$37*('参数'!$B$38-1))*'参数'!$B$25</x:f>
        <x:v>14634.682022995868</x:v>
      </x:c>
      <x:c r="W158" s="18" t="n">
        <x:f>(('参数'!$K$5*(((Q158*(1+'参数'!$B$39*P158))^2/((Q158*(1+'参数'!$B$39*P158))+'参数'!$B$22*(M158)))*(1+'参数'!$B$42*P158)/'参数'!$J$5+((Q158*'参数'!$B$43*(1+'参数'!$B$39*P158))^2/((Q158*'参数'!$B$43*(1+'参数'!$B$39*P158))+'参数'!$B$22*(M158)))/'参数'!$B$44))+(((R158*(1+'参数'!$B$39*P158))^2/((R158*(1+'参数'!$B$39*P158))+'参数'!$B$22*(M158)))*(1+'参数'!$B$42*P158)/'参数'!$J$6+((R158*'参数'!$B$45*(1+'参数'!$B$39*P158))^2/((R158*'参数'!$B$45*(1+'参数'!$B$39*P158))+'参数'!$B$22*(M158)))/'参数'!$B$46)+((S158*(1+'参数'!$B$39*P158))^2/((S158*(1+'参数'!$B$39*P158))+'参数'!$B$22*(M158)))*(1+'参数'!$B$42*P158)/'参数'!$J$7)*(1+'参数'!$B$37*('参数'!$B$38-1))</x:f>
        <x:v>11272.447184830602</x:v>
      </x:c>
      <x:c r="X158" s="25" t="n">
        <x:f>('参数'!$B$26+'参数'!$B$27*(D158-1)/99)*'参数'!$K$27*AD158</x:f>
        <x:v>17.400000000000002</x:v>
      </x:c>
      <x:c r="Y158" s="25" t="n">
        <x:f>('参数'!$B$28+'参数'!$B$29*(D158-1)/99)*'参数'!$K$27*AD158*IF(AE158=1,'参数'!$B$51,1)</x:f>
        <x:v>47</x:v>
      </x:c>
      <x:c r="Z158" s="21" t="n">
        <x:f>MIN('参数'!$B$36,U158/(U158+'参数'!$B$35))</x:f>
        <x:v>0.2524130004370886</x:v>
      </x:c>
      <x:c r="AA158" s="18" t="n">
        <x:f>T158*'参数'!$B$30/('参数'!$B$32*'参数'!$B$33)/(1-Z158)*AC158</x:f>
        <x:v>882.0549027151848</x:v>
      </x:c>
      <x:c r="AB158" s="18" t="n">
        <x:f>T158*'参数'!$B$31/'参数'!$B$34/(1-Z158)*AC158</x:f>
        <x:v>1764.1098054303695</x:v>
      </x:c>
      <x:c r="AC158" s="15" t="n">
        <x:f>'参数'!$L$27*1</x:f>
        <x:v>1.05</x:v>
      </x:c>
      <x:c r="AD158" s="15" t="n">
        <x:f>1</x:f>
        <x:v>1</x:v>
      </x:c>
      <x:c r="AE158" s="18" t="n">
        <x:f>IF(MOD(B158,12)=0,1,0)</x:f>
        <x:v>0</x:v>
      </x:c>
    </x:row>
    <x:row r="159" ht="22" customHeight="1">
      <x:c r="A159" s="19" t="str">
        <x:v>困难</x:v>
      </x:c>
      <x:c r="B159" s="19" t="n">
        <x:v>34</x:v>
      </x:c>
      <x:c r="C159" s="19" t="n">
        <x:f>ROUNDUP(B159/12,0)</x:f>
        <x:v>3</x:v>
      </x:c>
      <x:c r="D159" s="19" t="n">
        <x:f>ROUND(MAX('参数'!$G$27,E159)+(IF(C159&lt;10,INDEX('参数'!$G$35:$P$35,1,MIN(10,C159+1)),'参数'!$H$27)-MAX('参数'!$G$27,E159))*MOD(B159-1,12)/11,0)</x:f>
        <x:v>64</x:v>
      </x:c>
      <x:c r="E159" s="19" t="n">
        <x:f>INDEX('参数'!$G$35:$P$35,1,C159)</x:f>
        <x:v>60</x:v>
      </x:c>
      <x:c r="F159" s="20" t="n">
        <x:f>'参数'!$I$27</x:f>
        <x:v>1.1</x:v>
      </x:c>
      <x:c r="G159" s="19" t="n">
        <x:f>ROUND(V159*X159/'参数'!$B$56,0)</x:f>
        <x:v>55357</x:v>
      </x:c>
      <x:c r="H159" s="19" t="n">
        <x:f>ROUND((AA159+SQRT(AA159^2+4*AA159*'参数'!$B$22*U159))/2,0)</x:f>
        <x:v>1739</x:v>
      </x:c>
      <x:c r="I159" s="19" t="n">
        <x:f>ROUND(Q159*'参数'!$B$23/'参数'!$B$22,0)</x:f>
        <x:v>436</x:v>
      </x:c>
      <x:c r="J159" s="19" t="n">
        <x:f>ROUND(G159*'参数'!$B$50,0)</x:f>
        <x:v>166071</x:v>
      </x:c>
      <x:c r="K159" s="19" t="n">
        <x:f>ROUND(W159*Y159,0)</x:f>
        <x:v>529805</x:v>
      </x:c>
      <x:c r="L159" s="19" t="n">
        <x:f>ROUND((AB159+SQRT(AB159^2+4*AB159*'参数'!$B$22*U159))/2,0)</x:f>
        <x:v>2820</x:v>
      </x:c>
      <x:c r="M159" s="19" t="n">
        <x:f>ROUND(I159*'参数'!$B$24,0)</x:f>
        <x:v>545</x:v>
      </x:c>
      <x:c r="N159" s="19" t="n">
        <x:f>'参数'!$B$9*'参数'!$B$10^(D159-1)</x:f>
        <x:v>3862.748271044758</x:v>
      </x:c>
      <x:c r="O159" s="19" t="n">
        <x:f>'参数'!$B$18*'参数'!$B$19^(MIN(E159,MAX(1,5*INT(D159/5)))-1)*F159*'参数'!$J$27*P159</x:f>
        <x:v>351.2975752437124</x:v>
      </x:c>
      <x:c r="P159" s="22" t="n">
        <x:f>MIN(1,(D159-1)/19)</x:f>
        <x:v>1</x:v>
      </x:c>
      <x:c r="Q159" s="19" t="n">
        <x:f>INDEX('角色成长'!$F$6:$F$105,D159)+O159*'参数'!$K$21</x:f>
        <x:v>2180.1980894445805</x:v>
      </x:c>
      <x:c r="R159" s="19" t="n">
        <x:f>INDEX('角色成长'!$I$6:$I$105,D159)+O159*'参数'!$K$21</x:f>
        <x:v>1850.1980894445803</x:v>
      </x:c>
      <x:c r="S159" s="19" t="n">
        <x:f>INDEX('角色成长'!$L$6:$L$105,D159)+O159*'参数'!$K$21</x:f>
        <x:v>1661.1980894445803</x:v>
      </x:c>
      <x:c r="T159" s="19" t="n">
        <x:f>(INDEX('角色成长'!$J$6:$J$105,D159)+O159*'参数'!$L$21)*(1+'参数'!$B$40*P159)</x:f>
        <x:v>25120.486787451457</x:v>
      </x:c>
      <x:c r="U159" s="19" t="n">
        <x:f>(INDEX('角色成长'!$K$6:$K$105,D159)+O159*'参数'!$M$21)*(1+'参数'!$B$41*P159)</x:f>
        <x:v>1350.5478323441464</x:v>
      </x:c>
      <x:c r="V159" s="19" t="n">
        <x:f>(('参数'!$K$5*(((Q159*(1+'参数'!$B$39*P159))^2/((Q159*(1+'参数'!$B$39*P159))+'参数'!$B$22*(I159)))*(1+'参数'!$B$42*P159)/'参数'!$J$5+((Q159*'参数'!$B$43*(1+'参数'!$B$39*P159))^2/((Q159*'参数'!$B$43*(1+'参数'!$B$39*P159))+'参数'!$B$22*(I159)))/'参数'!$B$44))+(((R159*(1+'参数'!$B$39*P159))^2/((R159*(1+'参数'!$B$39*P159))+'参数'!$B$22*(I159)))*(1+'参数'!$B$42*P159)/'参数'!$J$6+((R159*'参数'!$B$45*(1+'参数'!$B$39*P159))^2/((R159*'参数'!$B$45*(1+'参数'!$B$39*P159))+'参数'!$B$22*(I159)))/'参数'!$B$46)+((S159*(1+'参数'!$B$39*P159))^2/((S159*(1+'参数'!$B$39*P159))+'参数'!$B$22*(I159)))*(1+'参数'!$B$42*P159)/'参数'!$J$7)*(1+'参数'!$B$37*('参数'!$B$38-1))*'参数'!$B$25</x:f>
        <x:v>14634.682022995868</x:v>
      </x:c>
      <x:c r="W159" s="19" t="n">
        <x:f>(('参数'!$K$5*(((Q159*(1+'参数'!$B$39*P159))^2/((Q159*(1+'参数'!$B$39*P159))+'参数'!$B$22*(M159)))*(1+'参数'!$B$42*P159)/'参数'!$J$5+((Q159*'参数'!$B$43*(1+'参数'!$B$39*P159))^2/((Q159*'参数'!$B$43*(1+'参数'!$B$39*P159))+'参数'!$B$22*(M159)))/'参数'!$B$44))+(((R159*(1+'参数'!$B$39*P159))^2/((R159*(1+'参数'!$B$39*P159))+'参数'!$B$22*(M159)))*(1+'参数'!$B$42*P159)/'参数'!$J$6+((R159*'参数'!$B$45*(1+'参数'!$B$39*P159))^2/((R159*'参数'!$B$45*(1+'参数'!$B$39*P159))+'参数'!$B$22*(M159)))/'参数'!$B$46)+((S159*(1+'参数'!$B$39*P159))^2/((S159*(1+'参数'!$B$39*P159))+'参数'!$B$22*(M159)))*(1+'参数'!$B$42*P159)/'参数'!$J$7)*(1+'参数'!$B$37*('参数'!$B$38-1))</x:f>
        <x:v>11272.447184830602</x:v>
      </x:c>
      <x:c r="X159" s="26" t="n">
        <x:f>('参数'!$B$26+'参数'!$B$27*(D159-1)/99)*'参数'!$K$27*AD159</x:f>
        <x:v>17.400000000000002</x:v>
      </x:c>
      <x:c r="Y159" s="26" t="n">
        <x:f>('参数'!$B$28+'参数'!$B$29*(D159-1)/99)*'参数'!$K$27*AD159*IF(AE159=1,'参数'!$B$51,1)</x:f>
        <x:v>47</x:v>
      </x:c>
      <x:c r="Z159" s="22" t="n">
        <x:f>MIN('参数'!$B$36,U159/(U159+'参数'!$B$35))</x:f>
        <x:v>0.2524130004370886</x:v>
      </x:c>
      <x:c r="AA159" s="19" t="n">
        <x:f>T159*'参数'!$B$30/('参数'!$B$32*'参数'!$B$33)/(1-Z159)*AC159</x:f>
        <x:v>882.0549027151848</x:v>
      </x:c>
      <x:c r="AB159" s="19" t="n">
        <x:f>T159*'参数'!$B$31/'参数'!$B$34/(1-Z159)*AC159</x:f>
        <x:v>1764.1098054303695</x:v>
      </x:c>
      <x:c r="AC159" s="20" t="n">
        <x:f>'参数'!$L$27*1</x:f>
        <x:v>1.05</x:v>
      </x:c>
      <x:c r="AD159" s="20" t="n">
        <x:f>1</x:f>
        <x:v>1</x:v>
      </x:c>
      <x:c r="AE159" s="19" t="n">
        <x:f>IF(MOD(B159,12)=0,1,0)</x:f>
        <x:v>0</x:v>
      </x:c>
    </x:row>
    <x:row r="160" ht="22" customHeight="1">
      <x:c r="A160" s="18" t="str">
        <x:v>困难</x:v>
      </x:c>
      <x:c r="B160" s="18" t="n">
        <x:v>35</x:v>
      </x:c>
      <x:c r="C160" s="18" t="n">
        <x:f>ROUNDUP(B160/12,0)</x:f>
        <x:v>3</x:v>
      </x:c>
      <x:c r="D160" s="18" t="n">
        <x:f>ROUND(MAX('参数'!$G$27,E160)+(IF(C160&lt;10,INDEX('参数'!$G$35:$P$35,1,MIN(10,C160+1)),'参数'!$H$27)-MAX('参数'!$G$27,E160))*MOD(B160-1,12)/11,0)</x:f>
        <x:v>65</x:v>
      </x:c>
      <x:c r="E160" s="18" t="n">
        <x:f>INDEX('参数'!$G$35:$P$35,1,C160)</x:f>
        <x:v>60</x:v>
      </x:c>
      <x:c r="F160" s="15" t="n">
        <x:f>'参数'!$I$27</x:f>
        <x:v>1.1</x:v>
      </x:c>
      <x:c r="G160" s="18" t="n">
        <x:f>ROUND(V160*X160/'参数'!$B$56,0)</x:f>
        <x:v>56561</x:v>
      </x:c>
      <x:c r="H160" s="18" t="n">
        <x:f>ROUND((AA160+SQRT(AA160^2+4*AA160*'参数'!$B$22*U160))/2,0)</x:f>
        <x:v>1782</x:v>
      </x:c>
      <x:c r="I160" s="18" t="n">
        <x:f>ROUND(Q160*'参数'!$B$23/'参数'!$B$22,0)</x:f>
        <x:v>444</x:v>
      </x:c>
      <x:c r="J160" s="18" t="n">
        <x:f>ROUND(G160*'参数'!$B$50,0)</x:f>
        <x:v>169683</x:v>
      </x:c>
      <x:c r="K160" s="18" t="n">
        <x:f>ROUND(W160*Y160,0)</x:f>
        <x:v>541810</x:v>
      </x:c>
      <x:c r="L160" s="18" t="n">
        <x:f>ROUND((AB160+SQRT(AB160^2+4*AB160*'参数'!$B$22*U160))/2,0)</x:f>
        <x:v>2892</x:v>
      </x:c>
      <x:c r="M160" s="18" t="n">
        <x:f>ROUND(I160*'参数'!$B$24,0)</x:f>
        <x:v>555</x:v>
      </x:c>
      <x:c r="N160" s="18" t="n">
        <x:f>'参数'!$B$9*'参数'!$B$10^(D160-1)</x:f>
        <x:v>3978.6307191761007</x:v>
      </x:c>
      <x:c r="O160" s="18" t="n">
        <x:f>'参数'!$B$18*'参数'!$B$19^(MIN(E160,MAX(1,5*INT(D160/5)))-1)*F160*'参数'!$J$27*P160</x:f>
        <x:v>351.2975752437124</x:v>
      </x:c>
      <x:c r="P160" s="21" t="n">
        <x:f>MIN(1,(D160-1)/19)</x:f>
        <x:v>1</x:v>
      </x:c>
      <x:c r="Q160" s="18" t="n">
        <x:f>INDEX('角色成长'!$F$6:$F$105,D160)+O160*'参数'!$K$21</x:f>
        <x:v>2221.1980894445805</x:v>
      </x:c>
      <x:c r="R160" s="18" t="n">
        <x:f>INDEX('角色成长'!$I$6:$I$105,D160)+O160*'参数'!$K$21</x:f>
        <x:v>1880.1980894445803</x:v>
      </x:c>
      <x:c r="S160" s="18" t="n">
        <x:f>INDEX('角色成长'!$L$6:$L$105,D160)+O160*'参数'!$K$21</x:f>
        <x:v>1684.1980894445803</x:v>
      </x:c>
      <x:c r="T160" s="18" t="n">
        <x:f>(INDEX('角色成长'!$J$6:$J$105,D160)+O160*'参数'!$L$21)*(1+'参数'!$B$40*P160)</x:f>
        <x:v>25715.58678745146</x:v>
      </x:c>
      <x:c r="U160" s="18" t="n">
        <x:f>(INDEX('角色成长'!$K$6:$K$105,D160)+O160*'参数'!$M$21)*(1+'参数'!$B$41*P160)</x:f>
        <x:v>1374.7478323441464</x:v>
      </x:c>
      <x:c r="V160" s="18" t="n">
        <x:f>(('参数'!$K$5*(((Q160*(1+'参数'!$B$39*P160))^2/((Q160*(1+'参数'!$B$39*P160))+'参数'!$B$22*(I160)))*(1+'参数'!$B$42*P160)/'参数'!$J$5+((Q160*'参数'!$B$43*(1+'参数'!$B$39*P160))^2/((Q160*'参数'!$B$43*(1+'参数'!$B$39*P160))+'参数'!$B$22*(I160)))/'参数'!$B$44))+(((R160*(1+'参数'!$B$39*P160))^2/((R160*(1+'参数'!$B$39*P160))+'参数'!$B$22*(I160)))*(1+'参数'!$B$42*P160)/'参数'!$J$6+((R160*'参数'!$B$45*(1+'参数'!$B$39*P160))^2/((R160*'参数'!$B$45*(1+'参数'!$B$39*P160))+'参数'!$B$22*(I160)))/'参数'!$B$46)+((S160*(1+'参数'!$B$39*P160))^2/((S160*(1+'参数'!$B$39*P160))+'参数'!$B$22*(I160)))*(1+'参数'!$B$42*P160)/'参数'!$J$7)*(1+'参数'!$B$37*('参数'!$B$38-1))*'参数'!$B$25</x:f>
        <x:v>14895.957426489585</x:v>
      </x:c>
      <x:c r="W160" s="18" t="n">
        <x:f>(('参数'!$K$5*(((Q160*(1+'参数'!$B$39*P160))^2/((Q160*(1+'参数'!$B$39*P160))+'参数'!$B$22*(M160)))*(1+'参数'!$B$42*P160)/'参数'!$J$5+((Q160*'参数'!$B$43*(1+'参数'!$B$39*P160))^2/((Q160*'参数'!$B$43*(1+'参数'!$B$39*P160))+'参数'!$B$22*(M160)))/'参数'!$B$44))+(((R160*(1+'参数'!$B$39*P160))^2/((R160*(1+'参数'!$B$39*P160))+'参数'!$B$22*(M160)))*(1+'参数'!$B$42*P160)/'参数'!$J$6+((R160*'参数'!$B$45*(1+'参数'!$B$39*P160))^2/((R160*'参数'!$B$45*(1+'参数'!$B$39*P160))+'参数'!$B$22*(M160)))/'参数'!$B$46)+((S160*(1+'参数'!$B$39*P160))^2/((S160*(1+'参数'!$B$39*P160))+'参数'!$B$22*(M160)))*(1+'参数'!$B$42*P160)/'参数'!$J$7)*(1+'参数'!$B$37*('参数'!$B$38-1))</x:f>
        <x:v>11473.619615052701</x:v>
      </x:c>
      <x:c r="X160" s="25" t="n">
        <x:f>('参数'!$B$26+'参数'!$B$27*(D160-1)/99)*'参数'!$K$27*AD160</x:f>
        <x:v>17.46666666666667</x:v>
      </x:c>
      <x:c r="Y160" s="25" t="n">
        <x:f>('参数'!$B$28+'参数'!$B$29*(D160-1)/99)*'参数'!$K$27*AD160*IF(AE160=1,'参数'!$B$51,1)</x:f>
        <x:v>47.22222222222222</x:v>
      </x:c>
      <x:c r="Z160" s="21" t="n">
        <x:f>MIN('参数'!$B$36,U160/(U160+'参数'!$B$35))</x:f>
        <x:v>0.2557790384269178</x:v>
      </x:c>
      <x:c r="AA160" s="18" t="n">
        <x:f>T160*'参数'!$B$30/('参数'!$B$32*'参数'!$B$33)/(1-Z160)*AC160</x:f>
        <x:v>907.0345878779883</x:v>
      </x:c>
      <x:c r="AB160" s="18" t="n">
        <x:f>T160*'参数'!$B$31/'参数'!$B$34/(1-Z160)*AC160</x:f>
        <x:v>1814.0691757559766</x:v>
      </x:c>
      <x:c r="AC160" s="15" t="n">
        <x:f>'参数'!$L$27*1</x:f>
        <x:v>1.05</x:v>
      </x:c>
      <x:c r="AD160" s="15" t="n">
        <x:f>1</x:f>
        <x:v>1</x:v>
      </x:c>
      <x:c r="AE160" s="18" t="n">
        <x:f>IF(MOD(B160,12)=0,1,0)</x:f>
        <x:v>0</x:v>
      </x:c>
    </x:row>
    <x:row r="161" ht="22" customHeight="1">
      <x:c r="A161" s="19" t="str">
        <x:v>困难</x:v>
      </x:c>
      <x:c r="B161" s="19" t="n">
        <x:v>36</x:v>
      </x:c>
      <x:c r="C161" s="19" t="n">
        <x:f>ROUNDUP(B161/12,0)</x:f>
        <x:v>3</x:v>
      </x:c>
      <x:c r="D161" s="19" t="n">
        <x:f>ROUND(MAX('参数'!$G$27,E161)+(IF(C161&lt;10,INDEX('参数'!$G$35:$P$35,1,MIN(10,C161+1)),'参数'!$H$27)-MAX('参数'!$G$27,E161))*MOD(B161-1,12)/11,0)</x:f>
        <x:v>65</x:v>
      </x:c>
      <x:c r="E161" s="19" t="n">
        <x:f>INDEX('参数'!$G$35:$P$35,1,C161)</x:f>
        <x:v>60</x:v>
      </x:c>
      <x:c r="F161" s="20" t="n">
        <x:f>'参数'!$I$27</x:f>
        <x:v>1.1</x:v>
      </x:c>
      <x:c r="G161" s="19" t="n">
        <x:f>ROUND(V161*X161/'参数'!$B$56,0)</x:f>
        <x:v>56561</x:v>
      </x:c>
      <x:c r="H161" s="19" t="n">
        <x:f>ROUND((AA161+SQRT(AA161^2+4*AA161*'参数'!$B$22*U161))/2,0)</x:f>
        <x:v>1782</x:v>
      </x:c>
      <x:c r="I161" s="19" t="n">
        <x:f>ROUND(Q161*'参数'!$B$23/'参数'!$B$22,0)</x:f>
        <x:v>444</x:v>
      </x:c>
      <x:c r="J161" s="19" t="n">
        <x:f>ROUND(G161*'参数'!$B$50,0)</x:f>
        <x:v>169683</x:v>
      </x:c>
      <x:c r="K161" s="19" t="n">
        <x:f>ROUND(W161*Y161,0)</x:f>
        <x:v>623081</x:v>
      </x:c>
      <x:c r="L161" s="19" t="n">
        <x:f>ROUND((AB161+SQRT(AB161^2+4*AB161*'参数'!$B$22*U161))/2,0)</x:f>
        <x:v>2892</x:v>
      </x:c>
      <x:c r="M161" s="19" t="n">
        <x:f>ROUND(I161*'参数'!$B$24,0)</x:f>
        <x:v>555</x:v>
      </x:c>
      <x:c r="N161" s="19" t="n">
        <x:f>'参数'!$B$9*'参数'!$B$10^(D161-1)</x:f>
        <x:v>3978.6307191761007</x:v>
      </x:c>
      <x:c r="O161" s="19" t="n">
        <x:f>'参数'!$B$18*'参数'!$B$19^(MIN(E161,MAX(1,5*INT(D161/5)))-1)*F161*'参数'!$J$27*P161</x:f>
        <x:v>351.2975752437124</x:v>
      </x:c>
      <x:c r="P161" s="22" t="n">
        <x:f>MIN(1,(D161-1)/19)</x:f>
        <x:v>1</x:v>
      </x:c>
      <x:c r="Q161" s="19" t="n">
        <x:f>INDEX('角色成长'!$F$6:$F$105,D161)+O161*'参数'!$K$21</x:f>
        <x:v>2221.1980894445805</x:v>
      </x:c>
      <x:c r="R161" s="19" t="n">
        <x:f>INDEX('角色成长'!$I$6:$I$105,D161)+O161*'参数'!$K$21</x:f>
        <x:v>1880.1980894445803</x:v>
      </x:c>
      <x:c r="S161" s="19" t="n">
        <x:f>INDEX('角色成长'!$L$6:$L$105,D161)+O161*'参数'!$K$21</x:f>
        <x:v>1684.1980894445803</x:v>
      </x:c>
      <x:c r="T161" s="19" t="n">
        <x:f>(INDEX('角色成长'!$J$6:$J$105,D161)+O161*'参数'!$L$21)*(1+'参数'!$B$40*P161)</x:f>
        <x:v>25715.58678745146</x:v>
      </x:c>
      <x:c r="U161" s="19" t="n">
        <x:f>(INDEX('角色成长'!$K$6:$K$105,D161)+O161*'参数'!$M$21)*(1+'参数'!$B$41*P161)</x:f>
        <x:v>1374.7478323441464</x:v>
      </x:c>
      <x:c r="V161" s="19" t="n">
        <x:f>(('参数'!$K$5*(((Q161*(1+'参数'!$B$39*P161))^2/((Q161*(1+'参数'!$B$39*P161))+'参数'!$B$22*(I161)))*(1+'参数'!$B$42*P161)/'参数'!$J$5+((Q161*'参数'!$B$43*(1+'参数'!$B$39*P161))^2/((Q161*'参数'!$B$43*(1+'参数'!$B$39*P161))+'参数'!$B$22*(I161)))/'参数'!$B$44))+(((R161*(1+'参数'!$B$39*P161))^2/((R161*(1+'参数'!$B$39*P161))+'参数'!$B$22*(I161)))*(1+'参数'!$B$42*P161)/'参数'!$J$6+((R161*'参数'!$B$45*(1+'参数'!$B$39*P161))^2/((R161*'参数'!$B$45*(1+'参数'!$B$39*P161))+'参数'!$B$22*(I161)))/'参数'!$B$46)+((S161*(1+'参数'!$B$39*P161))^2/((S161*(1+'参数'!$B$39*P161))+'参数'!$B$22*(I161)))*(1+'参数'!$B$42*P161)/'参数'!$J$7)*(1+'参数'!$B$37*('参数'!$B$38-1))*'参数'!$B$25</x:f>
        <x:v>14895.957426489585</x:v>
      </x:c>
      <x:c r="W161" s="19" t="n">
        <x:f>(('参数'!$K$5*(((Q161*(1+'参数'!$B$39*P161))^2/((Q161*(1+'参数'!$B$39*P161))+'参数'!$B$22*(M161)))*(1+'参数'!$B$42*P161)/'参数'!$J$5+((Q161*'参数'!$B$43*(1+'参数'!$B$39*P161))^2/((Q161*'参数'!$B$43*(1+'参数'!$B$39*P161))+'参数'!$B$22*(M161)))/'参数'!$B$44))+(((R161*(1+'参数'!$B$39*P161))^2/((R161*(1+'参数'!$B$39*P161))+'参数'!$B$22*(M161)))*(1+'参数'!$B$42*P161)/'参数'!$J$6+((R161*'参数'!$B$45*(1+'参数'!$B$39*P161))^2/((R161*'参数'!$B$45*(1+'参数'!$B$39*P161))+'参数'!$B$22*(M161)))/'参数'!$B$46)+((S161*(1+'参数'!$B$39*P161))^2/((S161*(1+'参数'!$B$39*P161))+'参数'!$B$22*(M161)))*(1+'参数'!$B$42*P161)/'参数'!$J$7)*(1+'参数'!$B$37*('参数'!$B$38-1))</x:f>
        <x:v>11473.619615052701</x:v>
      </x:c>
      <x:c r="X161" s="26" t="n">
        <x:f>('参数'!$B$26+'参数'!$B$27*(D161-1)/99)*'参数'!$K$27*AD161</x:f>
        <x:v>17.46666666666667</x:v>
      </x:c>
      <x:c r="Y161" s="26" t="n">
        <x:f>('参数'!$B$28+'参数'!$B$29*(D161-1)/99)*'参数'!$K$27*AD161*IF(AE161=1,'参数'!$B$51,1)</x:f>
        <x:v>54.30555555555555</x:v>
      </x:c>
      <x:c r="Z161" s="22" t="n">
        <x:f>MIN('参数'!$B$36,U161/(U161+'参数'!$B$35))</x:f>
        <x:v>0.2557790384269178</x:v>
      </x:c>
      <x:c r="AA161" s="19" t="n">
        <x:f>T161*'参数'!$B$30/('参数'!$B$32*'参数'!$B$33)/(1-Z161)*AC161</x:f>
        <x:v>907.0345878779883</x:v>
      </x:c>
      <x:c r="AB161" s="19" t="n">
        <x:f>T161*'参数'!$B$31/'参数'!$B$34/(1-Z161)*AC161</x:f>
        <x:v>1814.0691757559766</x:v>
      </x:c>
      <x:c r="AC161" s="20" t="n">
        <x:f>'参数'!$L$27*1</x:f>
        <x:v>1.05</x:v>
      </x:c>
      <x:c r="AD161" s="20" t="n">
        <x:f>1</x:f>
        <x:v>1</x:v>
      </x:c>
      <x:c r="AE161" s="19" t="n">
        <x:f>IF(MOD(B161,12)=0,1,0)</x:f>
        <x:v>1</x:v>
      </x:c>
    </x:row>
    <x:row r="162" ht="22" customHeight="1">
      <x:c r="A162" s="18" t="str">
        <x:v>困难</x:v>
      </x:c>
      <x:c r="B162" s="18" t="n">
        <x:v>37</x:v>
      </x:c>
      <x:c r="C162" s="18" t="n">
        <x:f>ROUNDUP(B162/12,0)</x:f>
        <x:v>4</x:v>
      </x:c>
      <x:c r="D162" s="18" t="n">
        <x:f>ROUND(MAX('参数'!$G$27,E162)+(IF(C162&lt;10,INDEX('参数'!$G$35:$P$35,1,MIN(10,C162+1)),'参数'!$H$27)-MAX('参数'!$G$27,E162))*MOD(B162-1,12)/11,0)</x:f>
        <x:v>65</x:v>
      </x:c>
      <x:c r="E162" s="18" t="n">
        <x:f>INDEX('参数'!$G$35:$P$35,1,C162)</x:f>
        <x:v>65</x:v>
      </x:c>
      <x:c r="F162" s="15" t="n">
        <x:f>'参数'!$I$27</x:f>
        <x:v>1.1</x:v>
      </x:c>
      <x:c r="G162" s="18" t="n">
        <x:f>ROUND(V162*X162/'参数'!$B$56,0)</x:f>
        <x:v>61984</x:v>
      </x:c>
      <x:c r="H162" s="18" t="n">
        <x:f>ROUND((AA162+SQRT(AA162^2+4*AA162*'参数'!$B$22*U162))/2,0)</x:f>
        <x:v>1951</x:v>
      </x:c>
      <x:c r="I162" s="18" t="n">
        <x:f>ROUND(Q162*'参数'!$B$23/'参数'!$B$22,0)</x:f>
        <x:v>484</x:v>
      </x:c>
      <x:c r="J162" s="18" t="n">
        <x:f>ROUND(G162*'参数'!$B$50,0)</x:f>
        <x:v>185952</x:v>
      </x:c>
      <x:c r="K162" s="18" t="n">
        <x:f>ROUND(W162*Y162,0)</x:f>
        <x:v>593820</x:v>
      </x:c>
      <x:c r="L162" s="18" t="n">
        <x:f>ROUND((AB162+SQRT(AB162^2+4*AB162*'参数'!$B$22*U162))/2,0)</x:f>
        <x:v>3165</x:v>
      </x:c>
      <x:c r="M162" s="18" t="n">
        <x:f>ROUND(I162*'参数'!$B$24,0)</x:f>
        <x:v>605</x:v>
      </x:c>
      <x:c r="N162" s="18" t="n">
        <x:f>'参数'!$B$9*'参数'!$B$10^(D162-1)</x:f>
        <x:v>3978.6307191761007</x:v>
      </x:c>
      <x:c r="O162" s="18" t="n">
        <x:f>'参数'!$B$18*'参数'!$B$19^(MIN(E162,MAX(1,5*INT(D162/5)))-1)*F162*'参数'!$J$27*P162</x:f>
        <x:v>421.2781495311122</x:v>
      </x:c>
      <x:c r="P162" s="21" t="n">
        <x:f>MIN(1,(D162-1)/19)</x:f>
        <x:v>1</x:v>
      </x:c>
      <x:c r="Q162" s="18" t="n">
        <x:f>INDEX('角色成长'!$F$6:$F$105,D162)+O162*'参数'!$K$21</x:f>
        <x:v>2420.64272616367</x:v>
      </x:c>
      <x:c r="R162" s="18" t="n">
        <x:f>INDEX('角色成长'!$I$6:$I$105,D162)+O162*'参数'!$K$21</x:f>
        <x:v>2079.64272616367</x:v>
      </x:c>
      <x:c r="S162" s="18" t="n">
        <x:f>INDEX('角色成长'!$L$6:$L$105,D162)+O162*'参数'!$K$21</x:f>
        <x:v>1883.6427261636697</x:v>
      </x:c>
      <x:c r="T162" s="18" t="n">
        <x:f>(INDEX('角色成长'!$J$6:$J$105,D162)+O162*'参数'!$L$21)*(1+'参数'!$B$40*P162)</x:f>
        <x:v>27424.512411549764</x:v>
      </x:c>
      <x:c r="U162" s="18" t="n">
        <x:f>(INDEX('角色成长'!$K$6:$K$105,D162)+O162*'参数'!$M$21)*(1+'参数'!$B$41*P162)</x:f>
        <x:v>1509.4604378473912</x:v>
      </x:c>
      <x:c r="V162" s="18" t="n">
        <x:f>(('参数'!$K$5*(((Q162*(1+'参数'!$B$39*P162))^2/((Q162*(1+'参数'!$B$39*P162))+'参数'!$B$22*(I162)))*(1+'参数'!$B$42*P162)/'参数'!$J$5+((Q162*'参数'!$B$43*(1+'参数'!$B$39*P162))^2/((Q162*'参数'!$B$43*(1+'参数'!$B$39*P162))+'参数'!$B$22*(I162)))/'参数'!$B$44))+(((R162*(1+'参数'!$B$39*P162))^2/((R162*(1+'参数'!$B$39*P162))+'参数'!$B$22*(I162)))*(1+'参数'!$B$42*P162)/'参数'!$J$6+((R162*'参数'!$B$45*(1+'参数'!$B$39*P162))^2/((R162*'参数'!$B$45*(1+'参数'!$B$39*P162))+'参数'!$B$22*(I162)))/'参数'!$B$46)+((S162*(1+'参数'!$B$39*P162))^2/((S162*(1+'参数'!$B$39*P162))+'参数'!$B$22*(I162)))*(1+'参数'!$B$42*P162)/'参数'!$J$7)*(1+'参数'!$B$37*('参数'!$B$38-1))*'参数'!$B$25</x:f>
        <x:v>16324.1328352047</x:v>
      </x:c>
      <x:c r="W162" s="18" t="n">
        <x:f>(('参数'!$K$5*(((Q162*(1+'参数'!$B$39*P162))^2/((Q162*(1+'参数'!$B$39*P162))+'参数'!$B$22*(M162)))*(1+'参数'!$B$42*P162)/'参数'!$J$5+((Q162*'参数'!$B$43*(1+'参数'!$B$39*P162))^2/((Q162*'参数'!$B$43*(1+'参数'!$B$39*P162))+'参数'!$B$22*(M162)))/'参数'!$B$44))+(((R162*(1+'参数'!$B$39*P162))^2/((R162*(1+'参数'!$B$39*P162))+'参数'!$B$22*(M162)))*(1+'参数'!$B$42*P162)/'参数'!$J$6+((R162*'参数'!$B$45*(1+'参数'!$B$39*P162))^2/((R162*'参数'!$B$45*(1+'参数'!$B$39*P162))+'参数'!$B$22*(M162)))/'参数'!$B$46)+((S162*(1+'参数'!$B$39*P162))^2/((S162*(1+'参数'!$B$39*P162))+'参数'!$B$22*(M162)))*(1+'参数'!$B$42*P162)/'参数'!$J$7)*(1+'参数'!$B$37*('参数'!$B$38-1))</x:f>
        <x:v>12575.008907189262</x:v>
      </x:c>
      <x:c r="X162" s="25" t="n">
        <x:f>('参数'!$B$26+'参数'!$B$27*(D162-1)/99)*'参数'!$K$27*AD162</x:f>
        <x:v>17.46666666666667</x:v>
      </x:c>
      <x:c r="Y162" s="25" t="n">
        <x:f>('参数'!$B$28+'参数'!$B$29*(D162-1)/99)*'参数'!$K$27*AD162*IF(AE162=1,'参数'!$B$51,1)</x:f>
        <x:v>47.22222222222222</x:v>
      </x:c>
      <x:c r="Z162" s="21" t="n">
        <x:f>MIN('参数'!$B$36,U162/(U162+'参数'!$B$35))</x:f>
        <x:v>0.2739760916473981</x:v>
      </x:c>
      <x:c r="AA162" s="18" t="n">
        <x:f>T162*'参数'!$B$30/('参数'!$B$32*'参数'!$B$33)/(1-Z162)*AC162</x:f>
        <x:v>991.5561216663912</x:v>
      </x:c>
      <x:c r="AB162" s="18" t="n">
        <x:f>T162*'参数'!$B$31/'参数'!$B$34/(1-Z162)*AC162</x:f>
        <x:v>1983.1122433327823</x:v>
      </x:c>
      <x:c r="AC162" s="15" t="n">
        <x:f>'参数'!$L$27*1</x:f>
        <x:v>1.05</x:v>
      </x:c>
      <x:c r="AD162" s="15" t="n">
        <x:f>1</x:f>
        <x:v>1</x:v>
      </x:c>
      <x:c r="AE162" s="18" t="n">
        <x:f>IF(MOD(B162,12)=0,1,0)</x:f>
        <x:v>0</x:v>
      </x:c>
    </x:row>
    <x:row r="163" ht="22" customHeight="1">
      <x:c r="A163" s="19" t="str">
        <x:v>困难</x:v>
      </x:c>
      <x:c r="B163" s="19" t="n">
        <x:v>38</x:v>
      </x:c>
      <x:c r="C163" s="19" t="n">
        <x:f>ROUNDUP(B163/12,0)</x:f>
        <x:v>4</x:v>
      </x:c>
      <x:c r="D163" s="19" t="n">
        <x:f>ROUND(MAX('参数'!$G$27,E163)+(IF(C163&lt;10,INDEX('参数'!$G$35:$P$35,1,MIN(10,C163+1)),'参数'!$H$27)-MAX('参数'!$G$27,E163))*MOD(B163-1,12)/11,0)</x:f>
        <x:v>65</x:v>
      </x:c>
      <x:c r="E163" s="19" t="n">
        <x:f>INDEX('参数'!$G$35:$P$35,1,C163)</x:f>
        <x:v>65</x:v>
      </x:c>
      <x:c r="F163" s="20" t="n">
        <x:f>'参数'!$I$27</x:f>
        <x:v>1.1</x:v>
      </x:c>
      <x:c r="G163" s="19" t="n">
        <x:f>ROUND(V163*X163/'参数'!$B$56,0)</x:f>
        <x:v>61984</x:v>
      </x:c>
      <x:c r="H163" s="19" t="n">
        <x:f>ROUND((AA163+SQRT(AA163^2+4*AA163*'参数'!$B$22*U163))/2,0)</x:f>
        <x:v>1951</x:v>
      </x:c>
      <x:c r="I163" s="19" t="n">
        <x:f>ROUND(Q163*'参数'!$B$23/'参数'!$B$22,0)</x:f>
        <x:v>484</x:v>
      </x:c>
      <x:c r="J163" s="19" t="n">
        <x:f>ROUND(G163*'参数'!$B$50,0)</x:f>
        <x:v>185952</x:v>
      </x:c>
      <x:c r="K163" s="19" t="n">
        <x:f>ROUND(W163*Y163,0)</x:f>
        <x:v>593820</x:v>
      </x:c>
      <x:c r="L163" s="19" t="n">
        <x:f>ROUND((AB163+SQRT(AB163^2+4*AB163*'参数'!$B$22*U163))/2,0)</x:f>
        <x:v>3165</x:v>
      </x:c>
      <x:c r="M163" s="19" t="n">
        <x:f>ROUND(I163*'参数'!$B$24,0)</x:f>
        <x:v>605</x:v>
      </x:c>
      <x:c r="N163" s="19" t="n">
        <x:f>'参数'!$B$9*'参数'!$B$10^(D163-1)</x:f>
        <x:v>3978.6307191761007</x:v>
      </x:c>
      <x:c r="O163" s="19" t="n">
        <x:f>'参数'!$B$18*'参数'!$B$19^(MIN(E163,MAX(1,5*INT(D163/5)))-1)*F163*'参数'!$J$27*P163</x:f>
        <x:v>421.2781495311122</x:v>
      </x:c>
      <x:c r="P163" s="22" t="n">
        <x:f>MIN(1,(D163-1)/19)</x:f>
        <x:v>1</x:v>
      </x:c>
      <x:c r="Q163" s="19" t="n">
        <x:f>INDEX('角色成长'!$F$6:$F$105,D163)+O163*'参数'!$K$21</x:f>
        <x:v>2420.64272616367</x:v>
      </x:c>
      <x:c r="R163" s="19" t="n">
        <x:f>INDEX('角色成长'!$I$6:$I$105,D163)+O163*'参数'!$K$21</x:f>
        <x:v>2079.64272616367</x:v>
      </x:c>
      <x:c r="S163" s="19" t="n">
        <x:f>INDEX('角色成长'!$L$6:$L$105,D163)+O163*'参数'!$K$21</x:f>
        <x:v>1883.6427261636697</x:v>
      </x:c>
      <x:c r="T163" s="19" t="n">
        <x:f>(INDEX('角色成长'!$J$6:$J$105,D163)+O163*'参数'!$L$21)*(1+'参数'!$B$40*P163)</x:f>
        <x:v>27424.512411549764</x:v>
      </x:c>
      <x:c r="U163" s="19" t="n">
        <x:f>(INDEX('角色成长'!$K$6:$K$105,D163)+O163*'参数'!$M$21)*(1+'参数'!$B$41*P163)</x:f>
        <x:v>1509.4604378473912</x:v>
      </x:c>
      <x:c r="V163" s="19" t="n">
        <x:f>(('参数'!$K$5*(((Q163*(1+'参数'!$B$39*P163))^2/((Q163*(1+'参数'!$B$39*P163))+'参数'!$B$22*(I163)))*(1+'参数'!$B$42*P163)/'参数'!$J$5+((Q163*'参数'!$B$43*(1+'参数'!$B$39*P163))^2/((Q163*'参数'!$B$43*(1+'参数'!$B$39*P163))+'参数'!$B$22*(I163)))/'参数'!$B$44))+(((R163*(1+'参数'!$B$39*P163))^2/((R163*(1+'参数'!$B$39*P163))+'参数'!$B$22*(I163)))*(1+'参数'!$B$42*P163)/'参数'!$J$6+((R163*'参数'!$B$45*(1+'参数'!$B$39*P163))^2/((R163*'参数'!$B$45*(1+'参数'!$B$39*P163))+'参数'!$B$22*(I163)))/'参数'!$B$46)+((S163*(1+'参数'!$B$39*P163))^2/((S163*(1+'参数'!$B$39*P163))+'参数'!$B$22*(I163)))*(1+'参数'!$B$42*P163)/'参数'!$J$7)*(1+'参数'!$B$37*('参数'!$B$38-1))*'参数'!$B$25</x:f>
        <x:v>16324.1328352047</x:v>
      </x:c>
      <x:c r="W163" s="19" t="n">
        <x:f>(('参数'!$K$5*(((Q163*(1+'参数'!$B$39*P163))^2/((Q163*(1+'参数'!$B$39*P163))+'参数'!$B$22*(M163)))*(1+'参数'!$B$42*P163)/'参数'!$J$5+((Q163*'参数'!$B$43*(1+'参数'!$B$39*P163))^2/((Q163*'参数'!$B$43*(1+'参数'!$B$39*P163))+'参数'!$B$22*(M163)))/'参数'!$B$44))+(((R163*(1+'参数'!$B$39*P163))^2/((R163*(1+'参数'!$B$39*P163))+'参数'!$B$22*(M163)))*(1+'参数'!$B$42*P163)/'参数'!$J$6+((R163*'参数'!$B$45*(1+'参数'!$B$39*P163))^2/((R163*'参数'!$B$45*(1+'参数'!$B$39*P163))+'参数'!$B$22*(M163)))/'参数'!$B$46)+((S163*(1+'参数'!$B$39*P163))^2/((S163*(1+'参数'!$B$39*P163))+'参数'!$B$22*(M163)))*(1+'参数'!$B$42*P163)/'参数'!$J$7)*(1+'参数'!$B$37*('参数'!$B$38-1))</x:f>
        <x:v>12575.008907189262</x:v>
      </x:c>
      <x:c r="X163" s="26" t="n">
        <x:f>('参数'!$B$26+'参数'!$B$27*(D163-1)/99)*'参数'!$K$27*AD163</x:f>
        <x:v>17.46666666666667</x:v>
      </x:c>
      <x:c r="Y163" s="26" t="n">
        <x:f>('参数'!$B$28+'参数'!$B$29*(D163-1)/99)*'参数'!$K$27*AD163*IF(AE163=1,'参数'!$B$51,1)</x:f>
        <x:v>47.22222222222222</x:v>
      </x:c>
      <x:c r="Z163" s="22" t="n">
        <x:f>MIN('参数'!$B$36,U163/(U163+'参数'!$B$35))</x:f>
        <x:v>0.2739760916473981</x:v>
      </x:c>
      <x:c r="AA163" s="19" t="n">
        <x:f>T163*'参数'!$B$30/('参数'!$B$32*'参数'!$B$33)/(1-Z163)*AC163</x:f>
        <x:v>991.5561216663912</x:v>
      </x:c>
      <x:c r="AB163" s="19" t="n">
        <x:f>T163*'参数'!$B$31/'参数'!$B$34/(1-Z163)*AC163</x:f>
        <x:v>1983.1122433327823</x:v>
      </x:c>
      <x:c r="AC163" s="20" t="n">
        <x:f>'参数'!$L$27*1</x:f>
        <x:v>1.05</x:v>
      </x:c>
      <x:c r="AD163" s="20" t="n">
        <x:f>1</x:f>
        <x:v>1</x:v>
      </x:c>
      <x:c r="AE163" s="19" t="n">
        <x:f>IF(MOD(B163,12)=0,1,0)</x:f>
        <x:v>0</x:v>
      </x:c>
    </x:row>
    <x:row r="164" ht="22" customHeight="1">
      <x:c r="A164" s="18" t="str">
        <x:v>困难</x:v>
      </x:c>
      <x:c r="B164" s="18" t="n">
        <x:v>39</x:v>
      </x:c>
      <x:c r="C164" s="18" t="n">
        <x:f>ROUNDUP(B164/12,0)</x:f>
        <x:v>4</x:v>
      </x:c>
      <x:c r="D164" s="18" t="n">
        <x:f>ROUND(MAX('参数'!$G$27,E164)+(IF(C164&lt;10,INDEX('参数'!$G$35:$P$35,1,MIN(10,C164+1)),'参数'!$H$27)-MAX('参数'!$G$27,E164))*MOD(B164-1,12)/11,0)</x:f>
        <x:v>66</x:v>
      </x:c>
      <x:c r="E164" s="18" t="n">
        <x:f>INDEX('参数'!$G$35:$P$35,1,C164)</x:f>
        <x:v>65</x:v>
      </x:c>
      <x:c r="F164" s="15" t="n">
        <x:f>'参数'!$I$27</x:f>
        <x:v>1.1</x:v>
      </x:c>
      <x:c r="G164" s="18" t="n">
        <x:f>ROUND(V164*X164/'参数'!$B$56,0)</x:f>
        <x:v>63245</x:v>
      </x:c>
      <x:c r="H164" s="18" t="n">
        <x:f>ROUND((AA164+SQRT(AA164^2+4*AA164*'参数'!$B$22*U164))/2,0)</x:f>
        <x:v>1996</x:v>
      </x:c>
      <x:c r="I164" s="18" t="n">
        <x:f>ROUND(Q164*'参数'!$B$23/'参数'!$B$22,0)</x:f>
        <x:v>493</x:v>
      </x:c>
      <x:c r="J164" s="18" t="n">
        <x:f>ROUND(G164*'参数'!$B$50,0)</x:f>
        <x:v>189735</x:v>
      </x:c>
      <x:c r="K164" s="18" t="n">
        <x:f>ROUND(W164*Y164,0)</x:f>
        <x:v>606448</x:v>
      </x:c>
      <x:c r="L164" s="18" t="n">
        <x:f>ROUND((AB164+SQRT(AB164^2+4*AB164*'参数'!$B$22*U164))/2,0)</x:f>
        <x:v>3241</x:v>
      </x:c>
      <x:c r="M164" s="18" t="n">
        <x:f>ROUND(I164*'参数'!$B$24,0)</x:f>
        <x:v>616</x:v>
      </x:c>
      <x:c r="N164" s="18" t="n">
        <x:f>'参数'!$B$9*'参数'!$B$10^(D164-1)</x:f>
        <x:v>4097.989640751383</x:v>
      </x:c>
      <x:c r="O164" s="18" t="n">
        <x:f>'参数'!$B$18*'参数'!$B$19^(MIN(E164,MAX(1,5*INT(D164/5)))-1)*F164*'参数'!$J$27*P164</x:f>
        <x:v>421.2781495311122</x:v>
      </x:c>
      <x:c r="P164" s="21" t="n">
        <x:f>MIN(1,(D164-1)/19)</x:f>
        <x:v>1</x:v>
      </x:c>
      <x:c r="Q164" s="18" t="n">
        <x:f>INDEX('角色成长'!$F$6:$F$105,D164)+O164*'参数'!$K$21</x:f>
        <x:v>2463.64272616367</x:v>
      </x:c>
      <x:c r="R164" s="18" t="n">
        <x:f>INDEX('角色成长'!$I$6:$I$105,D164)+O164*'参数'!$K$21</x:f>
        <x:v>2109.64272616367</x:v>
      </x:c>
      <x:c r="S164" s="18" t="n">
        <x:f>INDEX('角色成长'!$L$6:$L$105,D164)+O164*'参数'!$K$21</x:f>
        <x:v>1907.6427261636697</x:v>
      </x:c>
      <x:c r="T164" s="18" t="n">
        <x:f>(INDEX('角色成长'!$J$6:$J$105,D164)+O164*'参数'!$L$21)*(1+'参数'!$B$40*P164)</x:f>
        <x:v>28041.612411549766</x:v>
      </x:c>
      <x:c r="U164" s="18" t="n">
        <x:f>(INDEX('角色成长'!$K$6:$K$105,D164)+O164*'参数'!$M$21)*(1+'参数'!$B$41*P164)</x:f>
        <x:v>1533.660437847391</x:v>
      </x:c>
      <x:c r="V164" s="18" t="n">
        <x:f>(('参数'!$K$5*(((Q164*(1+'参数'!$B$39*P164))^2/((Q164*(1+'参数'!$B$39*P164))+'参数'!$B$22*(I164)))*(1+'参数'!$B$42*P164)/'参数'!$J$5+((Q164*'参数'!$B$43*(1+'参数'!$B$39*P164))^2/((Q164*'参数'!$B$43*(1+'参数'!$B$39*P164))+'参数'!$B$22*(I164)))/'参数'!$B$44))+(((R164*(1+'参数'!$B$39*P164))^2/((R164*(1+'参数'!$B$39*P164))+'参数'!$B$22*(I164)))*(1+'参数'!$B$42*P164)/'参数'!$J$6+((R164*'参数'!$B$45*(1+'参数'!$B$39*P164))^2/((R164*'参数'!$B$45*(1+'参数'!$B$39*P164))+'参数'!$B$22*(I164)))/'参数'!$B$46)+((S164*(1+'参数'!$B$39*P164))^2/((S164*(1+'参数'!$B$39*P164))+'参数'!$B$22*(I164)))*(1+'参数'!$B$42*P164)/'参数'!$J$7)*(1+'参数'!$B$37*('参数'!$B$38-1))*'参数'!$B$25</x:f>
        <x:v>16592.755207856317</x:v>
      </x:c>
      <x:c r="W164" s="18" t="n">
        <x:f>(('参数'!$K$5*(((Q164*(1+'参数'!$B$39*P164))^2/((Q164*(1+'参数'!$B$39*P164))+'参数'!$B$22*(M164)))*(1+'参数'!$B$42*P164)/'参数'!$J$5+((Q164*'参数'!$B$43*(1+'参数'!$B$39*P164))^2/((Q164*'参数'!$B$43*(1+'参数'!$B$39*P164))+'参数'!$B$22*(M164)))/'参数'!$B$44))+(((R164*(1+'参数'!$B$39*P164))^2/((R164*(1+'参数'!$B$39*P164))+'参数'!$B$22*(M164)))*(1+'参数'!$B$42*P164)/'参数'!$J$6+((R164*'参数'!$B$45*(1+'参数'!$B$39*P164))^2/((R164*'参数'!$B$45*(1+'参数'!$B$39*P164))+'参数'!$B$22*(M164)))/'参数'!$B$46)+((S164*(1+'参数'!$B$39*P164))^2/((S164*(1+'参数'!$B$39*P164))+'参数'!$B$22*(M164)))*(1+'参数'!$B$42*P164)/'参数'!$J$7)*(1+'参数'!$B$37*('参数'!$B$38-1))</x:f>
        <x:v>12782.273767426734</x:v>
      </x:c>
      <x:c r="X164" s="25" t="n">
        <x:f>('参数'!$B$26+'参数'!$B$27*(D164-1)/99)*'参数'!$K$27*AD164</x:f>
        <x:v>17.533333333333335</x:v>
      </x:c>
      <x:c r="Y164" s="25" t="n">
        <x:f>('参数'!$B$28+'参数'!$B$29*(D164-1)/99)*'参数'!$K$27*AD164*IF(AE164=1,'参数'!$B$51,1)</x:f>
        <x:v>47.44444444444445</x:v>
      </x:c>
      <x:c r="Z164" s="21" t="n">
        <x:f>MIN('参数'!$B$36,U164/(U164+'参数'!$B$35))</x:f>
        <x:v>0.2771511651416018</x:v>
      </x:c>
      <x:c r="AA164" s="18" t="n">
        <x:f>T164*'参数'!$B$30/('参数'!$B$32*'参数'!$B$33)/(1-Z164)*AC164</x:f>
        <x:v>1018.3212454750344</x:v>
      </x:c>
      <x:c r="AB164" s="18" t="n">
        <x:f>T164*'参数'!$B$31/'参数'!$B$34/(1-Z164)*AC164</x:f>
        <x:v>2036.6424909500688</x:v>
      </x:c>
      <x:c r="AC164" s="15" t="n">
        <x:f>'参数'!$L$27*1</x:f>
        <x:v>1.05</x:v>
      </x:c>
      <x:c r="AD164" s="15" t="n">
        <x:f>1</x:f>
        <x:v>1</x:v>
      </x:c>
      <x:c r="AE164" s="18" t="n">
        <x:f>IF(MOD(B164,12)=0,1,0)</x:f>
        <x:v>0</x:v>
      </x:c>
    </x:row>
    <x:row r="165" ht="22" customHeight="1">
      <x:c r="A165" s="19" t="str">
        <x:v>困难</x:v>
      </x:c>
      <x:c r="B165" s="19" t="n">
        <x:v>40</x:v>
      </x:c>
      <x:c r="C165" s="19" t="n">
        <x:f>ROUNDUP(B165/12,0)</x:f>
        <x:v>4</x:v>
      </x:c>
      <x:c r="D165" s="19" t="n">
        <x:f>ROUND(MAX('参数'!$G$27,E165)+(IF(C165&lt;10,INDEX('参数'!$G$35:$P$35,1,MIN(10,C165+1)),'参数'!$H$27)-MAX('参数'!$G$27,E165))*MOD(B165-1,12)/11,0)</x:f>
        <x:v>66</x:v>
      </x:c>
      <x:c r="E165" s="19" t="n">
        <x:f>INDEX('参数'!$G$35:$P$35,1,C165)</x:f>
        <x:v>65</x:v>
      </x:c>
      <x:c r="F165" s="20" t="n">
        <x:f>'参数'!$I$27</x:f>
        <x:v>1.1</x:v>
      </x:c>
      <x:c r="G165" s="19" t="n">
        <x:f>ROUND(V165*X165/'参数'!$B$56,0)</x:f>
        <x:v>63245</x:v>
      </x:c>
      <x:c r="H165" s="19" t="n">
        <x:f>ROUND((AA165+SQRT(AA165^2+4*AA165*'参数'!$B$22*U165))/2,0)</x:f>
        <x:v>1996</x:v>
      </x:c>
      <x:c r="I165" s="19" t="n">
        <x:f>ROUND(Q165*'参数'!$B$23/'参数'!$B$22,0)</x:f>
        <x:v>493</x:v>
      </x:c>
      <x:c r="J165" s="19" t="n">
        <x:f>ROUND(G165*'参数'!$B$50,0)</x:f>
        <x:v>189735</x:v>
      </x:c>
      <x:c r="K165" s="19" t="n">
        <x:f>ROUND(W165*Y165,0)</x:f>
        <x:v>606448</x:v>
      </x:c>
      <x:c r="L165" s="19" t="n">
        <x:f>ROUND((AB165+SQRT(AB165^2+4*AB165*'参数'!$B$22*U165))/2,0)</x:f>
        <x:v>3241</x:v>
      </x:c>
      <x:c r="M165" s="19" t="n">
        <x:f>ROUND(I165*'参数'!$B$24,0)</x:f>
        <x:v>616</x:v>
      </x:c>
      <x:c r="N165" s="19" t="n">
        <x:f>'参数'!$B$9*'参数'!$B$10^(D165-1)</x:f>
        <x:v>4097.989640751383</x:v>
      </x:c>
      <x:c r="O165" s="19" t="n">
        <x:f>'参数'!$B$18*'参数'!$B$19^(MIN(E165,MAX(1,5*INT(D165/5)))-1)*F165*'参数'!$J$27*P165</x:f>
        <x:v>421.2781495311122</x:v>
      </x:c>
      <x:c r="P165" s="22" t="n">
        <x:f>MIN(1,(D165-1)/19)</x:f>
        <x:v>1</x:v>
      </x:c>
      <x:c r="Q165" s="19" t="n">
        <x:f>INDEX('角色成长'!$F$6:$F$105,D165)+O165*'参数'!$K$21</x:f>
        <x:v>2463.64272616367</x:v>
      </x:c>
      <x:c r="R165" s="19" t="n">
        <x:f>INDEX('角色成长'!$I$6:$I$105,D165)+O165*'参数'!$K$21</x:f>
        <x:v>2109.64272616367</x:v>
      </x:c>
      <x:c r="S165" s="19" t="n">
        <x:f>INDEX('角色成长'!$L$6:$L$105,D165)+O165*'参数'!$K$21</x:f>
        <x:v>1907.6427261636697</x:v>
      </x:c>
      <x:c r="T165" s="19" t="n">
        <x:f>(INDEX('角色成长'!$J$6:$J$105,D165)+O165*'参数'!$L$21)*(1+'参数'!$B$40*P165)</x:f>
        <x:v>28041.612411549766</x:v>
      </x:c>
      <x:c r="U165" s="19" t="n">
        <x:f>(INDEX('角色成长'!$K$6:$K$105,D165)+O165*'参数'!$M$21)*(1+'参数'!$B$41*P165)</x:f>
        <x:v>1533.660437847391</x:v>
      </x:c>
      <x:c r="V165" s="19" t="n">
        <x:f>(('参数'!$K$5*(((Q165*(1+'参数'!$B$39*P165))^2/((Q165*(1+'参数'!$B$39*P165))+'参数'!$B$22*(I165)))*(1+'参数'!$B$42*P165)/'参数'!$J$5+((Q165*'参数'!$B$43*(1+'参数'!$B$39*P165))^2/((Q165*'参数'!$B$43*(1+'参数'!$B$39*P165))+'参数'!$B$22*(I165)))/'参数'!$B$44))+(((R165*(1+'参数'!$B$39*P165))^2/((R165*(1+'参数'!$B$39*P165))+'参数'!$B$22*(I165)))*(1+'参数'!$B$42*P165)/'参数'!$J$6+((R165*'参数'!$B$45*(1+'参数'!$B$39*P165))^2/((R165*'参数'!$B$45*(1+'参数'!$B$39*P165))+'参数'!$B$22*(I165)))/'参数'!$B$46)+((S165*(1+'参数'!$B$39*P165))^2/((S165*(1+'参数'!$B$39*P165))+'参数'!$B$22*(I165)))*(1+'参数'!$B$42*P165)/'参数'!$J$7)*(1+'参数'!$B$37*('参数'!$B$38-1))*'参数'!$B$25</x:f>
        <x:v>16592.755207856317</x:v>
      </x:c>
      <x:c r="W165" s="19" t="n">
        <x:f>(('参数'!$K$5*(((Q165*(1+'参数'!$B$39*P165))^2/((Q165*(1+'参数'!$B$39*P165))+'参数'!$B$22*(M165)))*(1+'参数'!$B$42*P165)/'参数'!$J$5+((Q165*'参数'!$B$43*(1+'参数'!$B$39*P165))^2/((Q165*'参数'!$B$43*(1+'参数'!$B$39*P165))+'参数'!$B$22*(M165)))/'参数'!$B$44))+(((R165*(1+'参数'!$B$39*P165))^2/((R165*(1+'参数'!$B$39*P165))+'参数'!$B$22*(M165)))*(1+'参数'!$B$42*P165)/'参数'!$J$6+((R165*'参数'!$B$45*(1+'参数'!$B$39*P165))^2/((R165*'参数'!$B$45*(1+'参数'!$B$39*P165))+'参数'!$B$22*(M165)))/'参数'!$B$46)+((S165*(1+'参数'!$B$39*P165))^2/((S165*(1+'参数'!$B$39*P165))+'参数'!$B$22*(M165)))*(1+'参数'!$B$42*P165)/'参数'!$J$7)*(1+'参数'!$B$37*('参数'!$B$38-1))</x:f>
        <x:v>12782.273767426734</x:v>
      </x:c>
      <x:c r="X165" s="26" t="n">
        <x:f>('参数'!$B$26+'参数'!$B$27*(D165-1)/99)*'参数'!$K$27*AD165</x:f>
        <x:v>17.533333333333335</x:v>
      </x:c>
      <x:c r="Y165" s="26" t="n">
        <x:f>('参数'!$B$28+'参数'!$B$29*(D165-1)/99)*'参数'!$K$27*AD165*IF(AE165=1,'参数'!$B$51,1)</x:f>
        <x:v>47.44444444444445</x:v>
      </x:c>
      <x:c r="Z165" s="22" t="n">
        <x:f>MIN('参数'!$B$36,U165/(U165+'参数'!$B$35))</x:f>
        <x:v>0.2771511651416018</x:v>
      </x:c>
      <x:c r="AA165" s="19" t="n">
        <x:f>T165*'参数'!$B$30/('参数'!$B$32*'参数'!$B$33)/(1-Z165)*AC165</x:f>
        <x:v>1018.3212454750344</x:v>
      </x:c>
      <x:c r="AB165" s="19" t="n">
        <x:f>T165*'参数'!$B$31/'参数'!$B$34/(1-Z165)*AC165</x:f>
        <x:v>2036.6424909500688</x:v>
      </x:c>
      <x:c r="AC165" s="20" t="n">
        <x:f>'参数'!$L$27*1</x:f>
        <x:v>1.05</x:v>
      </x:c>
      <x:c r="AD165" s="20" t="n">
        <x:f>1</x:f>
        <x:v>1</x:v>
      </x:c>
      <x:c r="AE165" s="19" t="n">
        <x:f>IF(MOD(B165,12)=0,1,0)</x:f>
        <x:v>0</x:v>
      </x:c>
    </x:row>
    <x:row r="166" ht="22" customHeight="1">
      <x:c r="A166" s="18" t="str">
        <x:v>困难</x:v>
      </x:c>
      <x:c r="B166" s="18" t="n">
        <x:v>41</x:v>
      </x:c>
      <x:c r="C166" s="18" t="n">
        <x:f>ROUNDUP(B166/12,0)</x:f>
        <x:v>4</x:v>
      </x:c>
      <x:c r="D166" s="18" t="n">
        <x:f>ROUND(MAX('参数'!$G$27,E166)+(IF(C166&lt;10,INDEX('参数'!$G$35:$P$35,1,MIN(10,C166+1)),'参数'!$H$27)-MAX('参数'!$G$27,E166))*MOD(B166-1,12)/11,0)</x:f>
        <x:v>67</x:v>
      </x:c>
      <x:c r="E166" s="18" t="n">
        <x:f>INDEX('参数'!$G$35:$P$35,1,C166)</x:f>
        <x:v>65</x:v>
      </x:c>
      <x:c r="F166" s="15" t="n">
        <x:f>'参数'!$I$27</x:f>
        <x:v>1.1</x:v>
      </x:c>
      <x:c r="G166" s="18" t="n">
        <x:f>ROUND(V166*X166/'参数'!$B$56,0)</x:f>
        <x:v>64550</x:v>
      </x:c>
      <x:c r="H166" s="18" t="n">
        <x:f>ROUND((AA166+SQRT(AA166^2+4*AA166*'参数'!$B$22*U166))/2,0)</x:f>
        <x:v>2044</x:v>
      </x:c>
      <x:c r="I166" s="18" t="n">
        <x:f>ROUND(Q166*'参数'!$B$23/'参数'!$B$22,0)</x:f>
        <x:v>502</x:v>
      </x:c>
      <x:c r="J166" s="18" t="n">
        <x:f>ROUND(G166*'参数'!$B$50,0)</x:f>
        <x:v>193650</x:v>
      </x:c>
      <x:c r="K166" s="18" t="n">
        <x:f>ROUND(W166*Y166,0)</x:f>
        <x:v>619348</x:v>
      </x:c>
      <x:c r="L166" s="18" t="n">
        <x:f>ROUND((AB166+SQRT(AB166^2+4*AB166*'参数'!$B$22*U166))/2,0)</x:f>
        <x:v>3321</x:v>
      </x:c>
      <x:c r="M166" s="18" t="n">
        <x:f>ROUND(I166*'参数'!$B$24,0)</x:f>
        <x:v>628</x:v>
      </x:c>
      <x:c r="N166" s="18" t="n">
        <x:f>'参数'!$B$9*'参数'!$B$10^(D166-1)</x:f>
        <x:v>4220.929329973926</x:v>
      </x:c>
      <x:c r="O166" s="18" t="n">
        <x:f>'参数'!$B$18*'参数'!$B$19^(MIN(E166,MAX(1,5*INT(D166/5)))-1)*F166*'参数'!$J$27*P166</x:f>
        <x:v>421.2781495311122</x:v>
      </x:c>
      <x:c r="P166" s="21" t="n">
        <x:f>MIN(1,(D166-1)/19)</x:f>
        <x:v>1</x:v>
      </x:c>
      <x:c r="Q166" s="18" t="n">
        <x:f>INDEX('角色成长'!$F$6:$F$105,D166)+O166*'参数'!$K$21</x:f>
        <x:v>2507.64272616367</x:v>
      </x:c>
      <x:c r="R166" s="18" t="n">
        <x:f>INDEX('角色成长'!$I$6:$I$105,D166)+O166*'参数'!$K$21</x:f>
        <x:v>2141.64272616367</x:v>
      </x:c>
      <x:c r="S166" s="18" t="n">
        <x:f>INDEX('角色成长'!$L$6:$L$105,D166)+O166*'参数'!$K$21</x:f>
        <x:v>1932.6427261636697</x:v>
      </x:c>
      <x:c r="T166" s="18" t="n">
        <x:f>(INDEX('角色成长'!$J$6:$J$105,D166)+O166*'参数'!$L$21)*(1+'参数'!$B$40*P166)</x:f>
        <x:v>28680.712411549765</x:v>
      </x:c>
      <x:c r="U166" s="18" t="n">
        <x:f>(INDEX('角色成长'!$K$6:$K$105,D166)+O166*'参数'!$M$21)*(1+'参数'!$B$41*P166)</x:f>
        <x:v>1558.9604378473912</x:v>
      </x:c>
      <x:c r="V166" s="18" t="n">
        <x:f>(('参数'!$K$5*(((Q166*(1+'参数'!$B$39*P166))^2/((Q166*(1+'参数'!$B$39*P166))+'参数'!$B$22*(I166)))*(1+'参数'!$B$42*P166)/'参数'!$J$5+((Q166*'参数'!$B$43*(1+'参数'!$B$39*P166))^2/((Q166*'参数'!$B$43*(1+'参数'!$B$39*P166))+'参数'!$B$22*(I166)))/'参数'!$B$44))+(((R166*(1+'参数'!$B$39*P166))^2/((R166*(1+'参数'!$B$39*P166))+'参数'!$B$22*(I166)))*(1+'参数'!$B$42*P166)/'参数'!$J$6+((R166*'参数'!$B$45*(1+'参数'!$B$39*P166))^2/((R166*'参数'!$B$45*(1+'参数'!$B$39*P166))+'参数'!$B$22*(I166)))/'参数'!$B$46)+((S166*(1+'参数'!$B$39*P166))^2/((S166*(1+'参数'!$B$39*P166))+'参数'!$B$22*(I166)))*(1+'参数'!$B$42*P166)/'参数'!$J$7)*(1+'参数'!$B$37*('参数'!$B$38-1))*'参数'!$B$25</x:f>
        <x:v>16871.01313258888</x:v>
      </x:c>
      <x:c r="W166" s="18" t="n">
        <x:f>(('参数'!$K$5*(((Q166*(1+'参数'!$B$39*P166))^2/((Q166*(1+'参数'!$B$39*P166))+'参数'!$B$22*(M166)))*(1+'参数'!$B$42*P166)/'参数'!$J$5+((Q166*'参数'!$B$43*(1+'参数'!$B$39*P166))^2/((Q166*'参数'!$B$43*(1+'参数'!$B$39*P166))+'参数'!$B$22*(M166)))/'参数'!$B$44))+(((R166*(1+'参数'!$B$39*P166))^2/((R166*(1+'参数'!$B$39*P166))+'参数'!$B$22*(M166)))*(1+'参数'!$B$42*P166)/'参数'!$J$6+((R166*'参数'!$B$45*(1+'参数'!$B$39*P166))^2/((R166*'参数'!$B$45*(1+'参数'!$B$39*P166))+'参数'!$B$22*(M166)))/'参数'!$B$46)+((S166*(1+'参数'!$B$39*P166))^2/((S166*(1+'参数'!$B$39*P166))+'参数'!$B$22*(M166)))*(1+'参数'!$B$42*P166)/'参数'!$J$7)*(1+'参数'!$B$37*('参数'!$B$38-1))</x:f>
        <x:v>12993.315139118684</x:v>
      </x:c>
      <x:c r="X166" s="25" t="n">
        <x:f>('参数'!$B$26+'参数'!$B$27*(D166-1)/99)*'参数'!$K$27*AD166</x:f>
        <x:v>17.6</x:v>
      </x:c>
      <x:c r="Y166" s="25" t="n">
        <x:f>('参数'!$B$28+'参数'!$B$29*(D166-1)/99)*'参数'!$K$27*AD166*IF(AE166=1,'参数'!$B$51,1)</x:f>
        <x:v>47.66666666666667</x:v>
      </x:c>
      <x:c r="Z166" s="21" t="n">
        <x:f>MIN('参数'!$B$36,U166/(U166+'参数'!$B$35))</x:f>
        <x:v>0.2804410024639555</x:v>
      </x:c>
      <x:c r="AA166" s="18" t="n">
        <x:f>T166*'参数'!$B$30/('参数'!$B$32*'参数'!$B$33)/(1-Z166)*AC166</x:f>
        <x:v>1046.2918306646125</x:v>
      </x:c>
      <x:c r="AB166" s="18" t="n">
        <x:f>T166*'参数'!$B$31/'参数'!$B$34/(1-Z166)*AC166</x:f>
        <x:v>2092.583661329225</x:v>
      </x:c>
      <x:c r="AC166" s="15" t="n">
        <x:f>'参数'!$L$27*1</x:f>
        <x:v>1.05</x:v>
      </x:c>
      <x:c r="AD166" s="15" t="n">
        <x:f>1</x:f>
        <x:v>1</x:v>
      </x:c>
      <x:c r="AE166" s="18" t="n">
        <x:f>IF(MOD(B166,12)=0,1,0)</x:f>
        <x:v>0</x:v>
      </x:c>
    </x:row>
    <x:row r="167" ht="22" customHeight="1">
      <x:c r="A167" s="19" t="str">
        <x:v>困难</x:v>
      </x:c>
      <x:c r="B167" s="19" t="n">
        <x:v>42</x:v>
      </x:c>
      <x:c r="C167" s="19" t="n">
        <x:f>ROUNDUP(B167/12,0)</x:f>
        <x:v>4</x:v>
      </x:c>
      <x:c r="D167" s="19" t="n">
        <x:f>ROUND(MAX('参数'!$G$27,E167)+(IF(C167&lt;10,INDEX('参数'!$G$35:$P$35,1,MIN(10,C167+1)),'参数'!$H$27)-MAX('参数'!$G$27,E167))*MOD(B167-1,12)/11,0)</x:f>
        <x:v>67</x:v>
      </x:c>
      <x:c r="E167" s="19" t="n">
        <x:f>INDEX('参数'!$G$35:$P$35,1,C167)</x:f>
        <x:v>65</x:v>
      </x:c>
      <x:c r="F167" s="20" t="n">
        <x:f>'参数'!$I$27</x:f>
        <x:v>1.1</x:v>
      </x:c>
      <x:c r="G167" s="19" t="n">
        <x:f>ROUND(V167*X167/'参数'!$B$56,0)</x:f>
        <x:v>64550</x:v>
      </x:c>
      <x:c r="H167" s="19" t="n">
        <x:f>ROUND((AA167+SQRT(AA167^2+4*AA167*'参数'!$B$22*U167))/2,0)</x:f>
        <x:v>2044</x:v>
      </x:c>
      <x:c r="I167" s="19" t="n">
        <x:f>ROUND(Q167*'参数'!$B$23/'参数'!$B$22,0)</x:f>
        <x:v>502</x:v>
      </x:c>
      <x:c r="J167" s="19" t="n">
        <x:f>ROUND(G167*'参数'!$B$50,0)</x:f>
        <x:v>193650</x:v>
      </x:c>
      <x:c r="K167" s="19" t="n">
        <x:f>ROUND(W167*Y167,0)</x:f>
        <x:v>619348</x:v>
      </x:c>
      <x:c r="L167" s="19" t="n">
        <x:f>ROUND((AB167+SQRT(AB167^2+4*AB167*'参数'!$B$22*U167))/2,0)</x:f>
        <x:v>3321</x:v>
      </x:c>
      <x:c r="M167" s="19" t="n">
        <x:f>ROUND(I167*'参数'!$B$24,0)</x:f>
        <x:v>628</x:v>
      </x:c>
      <x:c r="N167" s="19" t="n">
        <x:f>'参数'!$B$9*'参数'!$B$10^(D167-1)</x:f>
        <x:v>4220.929329973926</x:v>
      </x:c>
      <x:c r="O167" s="19" t="n">
        <x:f>'参数'!$B$18*'参数'!$B$19^(MIN(E167,MAX(1,5*INT(D167/5)))-1)*F167*'参数'!$J$27*P167</x:f>
        <x:v>421.2781495311122</x:v>
      </x:c>
      <x:c r="P167" s="22" t="n">
        <x:f>MIN(1,(D167-1)/19)</x:f>
        <x:v>1</x:v>
      </x:c>
      <x:c r="Q167" s="19" t="n">
        <x:f>INDEX('角色成长'!$F$6:$F$105,D167)+O167*'参数'!$K$21</x:f>
        <x:v>2507.64272616367</x:v>
      </x:c>
      <x:c r="R167" s="19" t="n">
        <x:f>INDEX('角色成长'!$I$6:$I$105,D167)+O167*'参数'!$K$21</x:f>
        <x:v>2141.64272616367</x:v>
      </x:c>
      <x:c r="S167" s="19" t="n">
        <x:f>INDEX('角色成长'!$L$6:$L$105,D167)+O167*'参数'!$K$21</x:f>
        <x:v>1932.6427261636697</x:v>
      </x:c>
      <x:c r="T167" s="19" t="n">
        <x:f>(INDEX('角色成长'!$J$6:$J$105,D167)+O167*'参数'!$L$21)*(1+'参数'!$B$40*P167)</x:f>
        <x:v>28680.712411549765</x:v>
      </x:c>
      <x:c r="U167" s="19" t="n">
        <x:f>(INDEX('角色成长'!$K$6:$K$105,D167)+O167*'参数'!$M$21)*(1+'参数'!$B$41*P167)</x:f>
        <x:v>1558.9604378473912</x:v>
      </x:c>
      <x:c r="V167" s="19" t="n">
        <x:f>(('参数'!$K$5*(((Q167*(1+'参数'!$B$39*P167))^2/((Q167*(1+'参数'!$B$39*P167))+'参数'!$B$22*(I167)))*(1+'参数'!$B$42*P167)/'参数'!$J$5+((Q167*'参数'!$B$43*(1+'参数'!$B$39*P167))^2/((Q167*'参数'!$B$43*(1+'参数'!$B$39*P167))+'参数'!$B$22*(I167)))/'参数'!$B$44))+(((R167*(1+'参数'!$B$39*P167))^2/((R167*(1+'参数'!$B$39*P167))+'参数'!$B$22*(I167)))*(1+'参数'!$B$42*P167)/'参数'!$J$6+((R167*'参数'!$B$45*(1+'参数'!$B$39*P167))^2/((R167*'参数'!$B$45*(1+'参数'!$B$39*P167))+'参数'!$B$22*(I167)))/'参数'!$B$46)+((S167*(1+'参数'!$B$39*P167))^2/((S167*(1+'参数'!$B$39*P167))+'参数'!$B$22*(I167)))*(1+'参数'!$B$42*P167)/'参数'!$J$7)*(1+'参数'!$B$37*('参数'!$B$38-1))*'参数'!$B$25</x:f>
        <x:v>16871.01313258888</x:v>
      </x:c>
      <x:c r="W167" s="19" t="n">
        <x:f>(('参数'!$K$5*(((Q167*(1+'参数'!$B$39*P167))^2/((Q167*(1+'参数'!$B$39*P167))+'参数'!$B$22*(M167)))*(1+'参数'!$B$42*P167)/'参数'!$J$5+((Q167*'参数'!$B$43*(1+'参数'!$B$39*P167))^2/((Q167*'参数'!$B$43*(1+'参数'!$B$39*P167))+'参数'!$B$22*(M167)))/'参数'!$B$44))+(((R167*(1+'参数'!$B$39*P167))^2/((R167*(1+'参数'!$B$39*P167))+'参数'!$B$22*(M167)))*(1+'参数'!$B$42*P167)/'参数'!$J$6+((R167*'参数'!$B$45*(1+'参数'!$B$39*P167))^2/((R167*'参数'!$B$45*(1+'参数'!$B$39*P167))+'参数'!$B$22*(M167)))/'参数'!$B$46)+((S167*(1+'参数'!$B$39*P167))^2/((S167*(1+'参数'!$B$39*P167))+'参数'!$B$22*(M167)))*(1+'参数'!$B$42*P167)/'参数'!$J$7)*(1+'参数'!$B$37*('参数'!$B$38-1))</x:f>
        <x:v>12993.315139118684</x:v>
      </x:c>
      <x:c r="X167" s="26" t="n">
        <x:f>('参数'!$B$26+'参数'!$B$27*(D167-1)/99)*'参数'!$K$27*AD167</x:f>
        <x:v>17.6</x:v>
      </x:c>
      <x:c r="Y167" s="26" t="n">
        <x:f>('参数'!$B$28+'参数'!$B$29*(D167-1)/99)*'参数'!$K$27*AD167*IF(AE167=1,'参数'!$B$51,1)</x:f>
        <x:v>47.66666666666667</x:v>
      </x:c>
      <x:c r="Z167" s="22" t="n">
        <x:f>MIN('参数'!$B$36,U167/(U167+'参数'!$B$35))</x:f>
        <x:v>0.2804410024639555</x:v>
      </x:c>
      <x:c r="AA167" s="19" t="n">
        <x:f>T167*'参数'!$B$30/('参数'!$B$32*'参数'!$B$33)/(1-Z167)*AC167</x:f>
        <x:v>1046.2918306646125</x:v>
      </x:c>
      <x:c r="AB167" s="19" t="n">
        <x:f>T167*'参数'!$B$31/'参数'!$B$34/(1-Z167)*AC167</x:f>
        <x:v>2092.583661329225</x:v>
      </x:c>
      <x:c r="AC167" s="20" t="n">
        <x:f>'参数'!$L$27*1</x:f>
        <x:v>1.05</x:v>
      </x:c>
      <x:c r="AD167" s="20" t="n">
        <x:f>1</x:f>
        <x:v>1</x:v>
      </x:c>
      <x:c r="AE167" s="19" t="n">
        <x:f>IF(MOD(B167,12)=0,1,0)</x:f>
        <x:v>0</x:v>
      </x:c>
    </x:row>
    <x:row r="168" ht="22" customHeight="1">
      <x:c r="A168" s="18" t="str">
        <x:v>困难</x:v>
      </x:c>
      <x:c r="B168" s="18" t="n">
        <x:v>43</x:v>
      </x:c>
      <x:c r="C168" s="18" t="n">
        <x:f>ROUNDUP(B168/12,0)</x:f>
        <x:v>4</x:v>
      </x:c>
      <x:c r="D168" s="18" t="n">
        <x:f>ROUND(MAX('参数'!$G$27,E168)+(IF(C168&lt;10,INDEX('参数'!$G$35:$P$35,1,MIN(10,C168+1)),'参数'!$H$27)-MAX('参数'!$G$27,E168))*MOD(B168-1,12)/11,0)</x:f>
        <x:v>68</x:v>
      </x:c>
      <x:c r="E168" s="18" t="n">
        <x:f>INDEX('参数'!$G$35:$P$35,1,C168)</x:f>
        <x:v>65</x:v>
      </x:c>
      <x:c r="F168" s="15" t="n">
        <x:f>'参数'!$I$27</x:f>
        <x:v>1.1</x:v>
      </x:c>
      <x:c r="G168" s="18" t="n">
        <x:f>ROUND(V168*X168/'参数'!$B$56,0)</x:f>
        <x:v>65917</x:v>
      </x:c>
      <x:c r="H168" s="18" t="n">
        <x:f>ROUND((AA168+SQRT(AA168^2+4*AA168*'参数'!$B$22*U168))/2,0)</x:f>
        <x:v>2094</x:v>
      </x:c>
      <x:c r="I168" s="18" t="n">
        <x:f>ROUND(Q168*'参数'!$B$23/'参数'!$B$22,0)</x:f>
        <x:v>511</x:v>
      </x:c>
      <x:c r="J168" s="18" t="n">
        <x:f>ROUND(G168*'参数'!$B$50,0)</x:f>
        <x:v>197751</x:v>
      </x:c>
      <x:c r="K168" s="18" t="n">
        <x:f>ROUND(W168*Y168,0)</x:f>
        <x:v>633056</x:v>
      </x:c>
      <x:c r="L168" s="18" t="n">
        <x:f>ROUND((AB168+SQRT(AB168^2+4*AB168*'参数'!$B$22*U168))/2,0)</x:f>
        <x:v>3404</x:v>
      </x:c>
      <x:c r="M168" s="18" t="n">
        <x:f>ROUND(I168*'参数'!$B$24,0)</x:f>
        <x:v>639</x:v>
      </x:c>
      <x:c r="N168" s="18" t="n">
        <x:f>'参数'!$B$9*'参数'!$B$10^(D168-1)</x:f>
        <x:v>4347.557209873143</x:v>
      </x:c>
      <x:c r="O168" s="18" t="n">
        <x:f>'参数'!$B$18*'参数'!$B$19^(MIN(E168,MAX(1,5*INT(D168/5)))-1)*F168*'参数'!$J$27*P168</x:f>
        <x:v>421.2781495311122</x:v>
      </x:c>
      <x:c r="P168" s="21" t="n">
        <x:f>MIN(1,(D168-1)/19)</x:f>
        <x:v>1</x:v>
      </x:c>
      <x:c r="Q168" s="18" t="n">
        <x:f>INDEX('角色成长'!$F$6:$F$105,D168)+O168*'参数'!$K$21</x:f>
        <x:v>2553.64272616367</x:v>
      </x:c>
      <x:c r="R168" s="18" t="n">
        <x:f>INDEX('角色成长'!$I$6:$I$105,D168)+O168*'参数'!$K$21</x:f>
        <x:v>2174.64272616367</x:v>
      </x:c>
      <x:c r="S168" s="18" t="n">
        <x:f>INDEX('角色成长'!$L$6:$L$105,D168)+O168*'参数'!$K$21</x:f>
        <x:v>1958.6427261636697</x:v>
      </x:c>
      <x:c r="T168" s="18" t="n">
        <x:f>(INDEX('角色成长'!$J$6:$J$105,D168)+O168*'参数'!$L$21)*(1+'参数'!$B$40*P168)</x:f>
        <x:v>29342.912411549765</x:v>
      </x:c>
      <x:c r="U168" s="18" t="n">
        <x:f>(INDEX('角色成长'!$K$6:$K$105,D168)+O168*'参数'!$M$21)*(1+'参数'!$B$41*P168)</x:f>
        <x:v>1585.360437847391</x:v>
      </x:c>
      <x:c r="V168" s="18" t="n">
        <x:f>(('参数'!$K$5*(((Q168*(1+'参数'!$B$39*P168))^2/((Q168*(1+'参数'!$B$39*P168))+'参数'!$B$22*(I168)))*(1+'参数'!$B$42*P168)/'参数'!$J$5+((Q168*'参数'!$B$43*(1+'参数'!$B$39*P168))^2/((Q168*'参数'!$B$43*(1+'参数'!$B$39*P168))+'参数'!$B$22*(I168)))/'参数'!$B$44))+(((R168*(1+'参数'!$B$39*P168))^2/((R168*(1+'参数'!$B$39*P168))+'参数'!$B$22*(I168)))*(1+'参数'!$B$42*P168)/'参数'!$J$6+((R168*'参数'!$B$45*(1+'参数'!$B$39*P168))^2/((R168*'参数'!$B$45*(1+'参数'!$B$39*P168))+'参数'!$B$22*(I168)))/'参数'!$B$46)+((S168*(1+'参数'!$B$39*P168))^2/((S168*(1+'参数'!$B$39*P168))+'参数'!$B$22*(I168)))*(1+'参数'!$B$42*P168)/'参数'!$J$7)*(1+'参数'!$B$37*('参数'!$B$38-1))*'参数'!$B$25</x:f>
        <x:v>17163.271862607475</x:v>
      </x:c>
      <x:c r="W168" s="18" t="n">
        <x:f>(('参数'!$K$5*(((Q168*(1+'参数'!$B$39*P168))^2/((Q168*(1+'参数'!$B$39*P168))+'参数'!$B$22*(M168)))*(1+'参数'!$B$42*P168)/'参数'!$J$5+((Q168*'参数'!$B$43*(1+'参数'!$B$39*P168))^2/((Q168*'参数'!$B$43*(1+'参数'!$B$39*P168))+'参数'!$B$22*(M168)))/'参数'!$B$44))+(((R168*(1+'参数'!$B$39*P168))^2/((R168*(1+'参数'!$B$39*P168))+'参数'!$B$22*(M168)))*(1+'参数'!$B$42*P168)/'参数'!$J$6+((R168*'参数'!$B$45*(1+'参数'!$B$39*P168))^2/((R168*'参数'!$B$45*(1+'参数'!$B$39*P168))+'参数'!$B$22*(M168)))/'参数'!$B$46)+((S168*(1+'参数'!$B$39*P168))^2/((S168*(1+'参数'!$B$39*P168))+'参数'!$B$22*(M168)))*(1+'参数'!$B$42*P168)/'参数'!$J$7)*(1+'参数'!$B$37*('参数'!$B$38-1))</x:f>
        <x:v>13219.266860645674</x:v>
      </x:c>
      <x:c r="X168" s="25" t="n">
        <x:f>('参数'!$B$26+'参数'!$B$27*(D168-1)/99)*'参数'!$K$27*AD168</x:f>
        <x:v>17.66666666666667</x:v>
      </x:c>
      <x:c r="Y168" s="25" t="n">
        <x:f>('参数'!$B$28+'参数'!$B$29*(D168-1)/99)*'参数'!$K$27*AD168*IF(AE168=1,'参数'!$B$51,1)</x:f>
        <x:v>47.88888888888889</x:v>
      </x:c>
      <x:c r="Z168" s="21" t="n">
        <x:f>MIN('参数'!$B$36,U168/(U168+'参数'!$B$35))</x:f>
        <x:v>0.28384210034229984</x:v>
      </x:c>
      <x:c r="AA168" s="18" t="n">
        <x:f>T168*'参数'!$B$30/('参数'!$B$32*'参数'!$B$33)/(1-Z168)*AC168</x:f>
        <x:v>1075.5329951276613</x:v>
      </x:c>
      <x:c r="AB168" s="18" t="n">
        <x:f>T168*'参数'!$B$31/'参数'!$B$34/(1-Z168)*AC168</x:f>
        <x:v>2151.0659902553225</x:v>
      </x:c>
      <x:c r="AC168" s="15" t="n">
        <x:f>'参数'!$L$27*1</x:f>
        <x:v>1.05</x:v>
      </x:c>
      <x:c r="AD168" s="15" t="n">
        <x:f>1</x:f>
        <x:v>1</x:v>
      </x:c>
      <x:c r="AE168" s="18" t="n">
        <x:f>IF(MOD(B168,12)=0,1,0)</x:f>
        <x:v>0</x:v>
      </x:c>
    </x:row>
    <x:row r="169" ht="22" customHeight="1">
      <x:c r="A169" s="19" t="str">
        <x:v>困难</x:v>
      </x:c>
      <x:c r="B169" s="19" t="n">
        <x:v>44</x:v>
      </x:c>
      <x:c r="C169" s="19" t="n">
        <x:f>ROUNDUP(B169/12,0)</x:f>
        <x:v>4</x:v>
      </x:c>
      <x:c r="D169" s="19" t="n">
        <x:f>ROUND(MAX('参数'!$G$27,E169)+(IF(C169&lt;10,INDEX('参数'!$G$35:$P$35,1,MIN(10,C169+1)),'参数'!$H$27)-MAX('参数'!$G$27,E169))*MOD(B169-1,12)/11,0)</x:f>
        <x:v>68</x:v>
      </x:c>
      <x:c r="E169" s="19" t="n">
        <x:f>INDEX('参数'!$G$35:$P$35,1,C169)</x:f>
        <x:v>65</x:v>
      </x:c>
      <x:c r="F169" s="20" t="n">
        <x:f>'参数'!$I$27</x:f>
        <x:v>1.1</x:v>
      </x:c>
      <x:c r="G169" s="19" t="n">
        <x:f>ROUND(V169*X169/'参数'!$B$56,0)</x:f>
        <x:v>65917</x:v>
      </x:c>
      <x:c r="H169" s="19" t="n">
        <x:f>ROUND((AA169+SQRT(AA169^2+4*AA169*'参数'!$B$22*U169))/2,0)</x:f>
        <x:v>2094</x:v>
      </x:c>
      <x:c r="I169" s="19" t="n">
        <x:f>ROUND(Q169*'参数'!$B$23/'参数'!$B$22,0)</x:f>
        <x:v>511</x:v>
      </x:c>
      <x:c r="J169" s="19" t="n">
        <x:f>ROUND(G169*'参数'!$B$50,0)</x:f>
        <x:v>197751</x:v>
      </x:c>
      <x:c r="K169" s="19" t="n">
        <x:f>ROUND(W169*Y169,0)</x:f>
        <x:v>633056</x:v>
      </x:c>
      <x:c r="L169" s="19" t="n">
        <x:f>ROUND((AB169+SQRT(AB169^2+4*AB169*'参数'!$B$22*U169))/2,0)</x:f>
        <x:v>3404</x:v>
      </x:c>
      <x:c r="M169" s="19" t="n">
        <x:f>ROUND(I169*'参数'!$B$24,0)</x:f>
        <x:v>639</x:v>
      </x:c>
      <x:c r="N169" s="19" t="n">
        <x:f>'参数'!$B$9*'参数'!$B$10^(D169-1)</x:f>
        <x:v>4347.557209873143</x:v>
      </x:c>
      <x:c r="O169" s="19" t="n">
        <x:f>'参数'!$B$18*'参数'!$B$19^(MIN(E169,MAX(1,5*INT(D169/5)))-1)*F169*'参数'!$J$27*P169</x:f>
        <x:v>421.2781495311122</x:v>
      </x:c>
      <x:c r="P169" s="22" t="n">
        <x:f>MIN(1,(D169-1)/19)</x:f>
        <x:v>1</x:v>
      </x:c>
      <x:c r="Q169" s="19" t="n">
        <x:f>INDEX('角色成长'!$F$6:$F$105,D169)+O169*'参数'!$K$21</x:f>
        <x:v>2553.64272616367</x:v>
      </x:c>
      <x:c r="R169" s="19" t="n">
        <x:f>INDEX('角色成长'!$I$6:$I$105,D169)+O169*'参数'!$K$21</x:f>
        <x:v>2174.64272616367</x:v>
      </x:c>
      <x:c r="S169" s="19" t="n">
        <x:f>INDEX('角色成长'!$L$6:$L$105,D169)+O169*'参数'!$K$21</x:f>
        <x:v>1958.6427261636697</x:v>
      </x:c>
      <x:c r="T169" s="19" t="n">
        <x:f>(INDEX('角色成长'!$J$6:$J$105,D169)+O169*'参数'!$L$21)*(1+'参数'!$B$40*P169)</x:f>
        <x:v>29342.912411549765</x:v>
      </x:c>
      <x:c r="U169" s="19" t="n">
        <x:f>(INDEX('角色成长'!$K$6:$K$105,D169)+O169*'参数'!$M$21)*(1+'参数'!$B$41*P169)</x:f>
        <x:v>1585.360437847391</x:v>
      </x:c>
      <x:c r="V169" s="19" t="n">
        <x:f>(('参数'!$K$5*(((Q169*(1+'参数'!$B$39*P169))^2/((Q169*(1+'参数'!$B$39*P169))+'参数'!$B$22*(I169)))*(1+'参数'!$B$42*P169)/'参数'!$J$5+((Q169*'参数'!$B$43*(1+'参数'!$B$39*P169))^2/((Q169*'参数'!$B$43*(1+'参数'!$B$39*P169))+'参数'!$B$22*(I169)))/'参数'!$B$44))+(((R169*(1+'参数'!$B$39*P169))^2/((R169*(1+'参数'!$B$39*P169))+'参数'!$B$22*(I169)))*(1+'参数'!$B$42*P169)/'参数'!$J$6+((R169*'参数'!$B$45*(1+'参数'!$B$39*P169))^2/((R169*'参数'!$B$45*(1+'参数'!$B$39*P169))+'参数'!$B$22*(I169)))/'参数'!$B$46)+((S169*(1+'参数'!$B$39*P169))^2/((S169*(1+'参数'!$B$39*P169))+'参数'!$B$22*(I169)))*(1+'参数'!$B$42*P169)/'参数'!$J$7)*(1+'参数'!$B$37*('参数'!$B$38-1))*'参数'!$B$25</x:f>
        <x:v>17163.271862607475</x:v>
      </x:c>
      <x:c r="W169" s="19" t="n">
        <x:f>(('参数'!$K$5*(((Q169*(1+'参数'!$B$39*P169))^2/((Q169*(1+'参数'!$B$39*P169))+'参数'!$B$22*(M169)))*(1+'参数'!$B$42*P169)/'参数'!$J$5+((Q169*'参数'!$B$43*(1+'参数'!$B$39*P169))^2/((Q169*'参数'!$B$43*(1+'参数'!$B$39*P169))+'参数'!$B$22*(M169)))/'参数'!$B$44))+(((R169*(1+'参数'!$B$39*P169))^2/((R169*(1+'参数'!$B$39*P169))+'参数'!$B$22*(M169)))*(1+'参数'!$B$42*P169)/'参数'!$J$6+((R169*'参数'!$B$45*(1+'参数'!$B$39*P169))^2/((R169*'参数'!$B$45*(1+'参数'!$B$39*P169))+'参数'!$B$22*(M169)))/'参数'!$B$46)+((S169*(1+'参数'!$B$39*P169))^2/((S169*(1+'参数'!$B$39*P169))+'参数'!$B$22*(M169)))*(1+'参数'!$B$42*P169)/'参数'!$J$7)*(1+'参数'!$B$37*('参数'!$B$38-1))</x:f>
        <x:v>13219.266860645674</x:v>
      </x:c>
      <x:c r="X169" s="26" t="n">
        <x:f>('参数'!$B$26+'参数'!$B$27*(D169-1)/99)*'参数'!$K$27*AD169</x:f>
        <x:v>17.66666666666667</x:v>
      </x:c>
      <x:c r="Y169" s="26" t="n">
        <x:f>('参数'!$B$28+'参数'!$B$29*(D169-1)/99)*'参数'!$K$27*AD169*IF(AE169=1,'参数'!$B$51,1)</x:f>
        <x:v>47.88888888888889</x:v>
      </x:c>
      <x:c r="Z169" s="22" t="n">
        <x:f>MIN('参数'!$B$36,U169/(U169+'参数'!$B$35))</x:f>
        <x:v>0.28384210034229984</x:v>
      </x:c>
      <x:c r="AA169" s="19" t="n">
        <x:f>T169*'参数'!$B$30/('参数'!$B$32*'参数'!$B$33)/(1-Z169)*AC169</x:f>
        <x:v>1075.5329951276613</x:v>
      </x:c>
      <x:c r="AB169" s="19" t="n">
        <x:f>T169*'参数'!$B$31/'参数'!$B$34/(1-Z169)*AC169</x:f>
        <x:v>2151.0659902553225</x:v>
      </x:c>
      <x:c r="AC169" s="20" t="n">
        <x:f>'参数'!$L$27*1</x:f>
        <x:v>1.05</x:v>
      </x:c>
      <x:c r="AD169" s="20" t="n">
        <x:f>1</x:f>
        <x:v>1</x:v>
      </x:c>
      <x:c r="AE169" s="19" t="n">
        <x:f>IF(MOD(B169,12)=0,1,0)</x:f>
        <x:v>0</x:v>
      </x:c>
    </x:row>
    <x:row r="170" ht="22" customHeight="1">
      <x:c r="A170" s="18" t="str">
        <x:v>困难</x:v>
      </x:c>
      <x:c r="B170" s="18" t="n">
        <x:v>45</x:v>
      </x:c>
      <x:c r="C170" s="18" t="n">
        <x:f>ROUNDUP(B170/12,0)</x:f>
        <x:v>4</x:v>
      </x:c>
      <x:c r="D170" s="18" t="n">
        <x:f>ROUND(MAX('参数'!$G$27,E170)+(IF(C170&lt;10,INDEX('参数'!$G$35:$P$35,1,MIN(10,C170+1)),'参数'!$H$27)-MAX('参数'!$G$27,E170))*MOD(B170-1,12)/11,0)</x:f>
        <x:v>69</x:v>
      </x:c>
      <x:c r="E170" s="18" t="n">
        <x:f>INDEX('参数'!$G$35:$P$35,1,C170)</x:f>
        <x:v>65</x:v>
      </x:c>
      <x:c r="F170" s="15" t="n">
        <x:f>'参数'!$I$27</x:f>
        <x:v>1.1</x:v>
      </x:c>
      <x:c r="G170" s="18" t="n">
        <x:f>ROUND(V170*X170/'参数'!$B$56,0)</x:f>
        <x:v>67320</x:v>
      </x:c>
      <x:c r="H170" s="18" t="n">
        <x:f>ROUND((AA170+SQRT(AA170^2+4*AA170*'参数'!$B$22*U170))/2,0)</x:f>
        <x:v>2145</x:v>
      </x:c>
      <x:c r="I170" s="18" t="n">
        <x:f>ROUND(Q170*'参数'!$B$23/'参数'!$B$22,0)</x:f>
        <x:v>520</x:v>
      </x:c>
      <x:c r="J170" s="18" t="n">
        <x:f>ROUND(G170*'参数'!$B$50,0)</x:f>
        <x:v>201960</x:v>
      </x:c>
      <x:c r="K170" s="18" t="n">
        <x:f>ROUND(W170*Y170,0)</x:f>
        <x:v>647139</x:v>
      </x:c>
      <x:c r="L170" s="18" t="n">
        <x:f>ROUND((AB170+SQRT(AB170^2+4*AB170*'参数'!$B$22*U170))/2,0)</x:f>
        <x:v>3489</x:v>
      </x:c>
      <x:c r="M170" s="18" t="n">
        <x:f>ROUND(I170*'参数'!$B$24,0)</x:f>
        <x:v>650</x:v>
      </x:c>
      <x:c r="N170" s="18" t="n">
        <x:f>'参数'!$B$9*'参数'!$B$10^(D170-1)</x:f>
        <x:v>4477.983926169338</x:v>
      </x:c>
      <x:c r="O170" s="18" t="n">
        <x:f>'参数'!$B$18*'参数'!$B$19^(MIN(E170,MAX(1,5*INT(D170/5)))-1)*F170*'参数'!$J$27*P170</x:f>
        <x:v>421.2781495311122</x:v>
      </x:c>
      <x:c r="P170" s="21" t="n">
        <x:f>MIN(1,(D170-1)/19)</x:f>
        <x:v>1</x:v>
      </x:c>
      <x:c r="Q170" s="18" t="n">
        <x:f>INDEX('角色成长'!$F$6:$F$105,D170)+O170*'参数'!$K$21</x:f>
        <x:v>2600.64272616367</x:v>
      </x:c>
      <x:c r="R170" s="18" t="n">
        <x:f>INDEX('角色成长'!$I$6:$I$105,D170)+O170*'参数'!$K$21</x:f>
        <x:v>2208.64272616367</x:v>
      </x:c>
      <x:c r="S170" s="18" t="n">
        <x:f>INDEX('角色成长'!$L$6:$L$105,D170)+O170*'参数'!$K$21</x:f>
        <x:v>1984.6427261636697</x:v>
      </x:c>
      <x:c r="T170" s="18" t="n">
        <x:f>(INDEX('角色成长'!$J$6:$J$105,D170)+O170*'参数'!$L$21)*(1+'参数'!$B$40*P170)</x:f>
        <x:v>30028.212411549765</x:v>
      </x:c>
      <x:c r="U170" s="18" t="n">
        <x:f>(INDEX('角色成长'!$K$6:$K$105,D170)+O170*'参数'!$M$21)*(1+'参数'!$B$41*P170)</x:f>
        <x:v>1611.7604378473911</x:v>
      </x:c>
      <x:c r="V170" s="18" t="n">
        <x:f>(('参数'!$K$5*(((Q170*(1+'参数'!$B$39*P170))^2/((Q170*(1+'参数'!$B$39*P170))+'参数'!$B$22*(I170)))*(1+'参数'!$B$42*P170)/'参数'!$J$5+((Q170*'参数'!$B$43*(1+'参数'!$B$39*P170))^2/((Q170*'参数'!$B$43*(1+'参数'!$B$39*P170))+'参数'!$B$22*(I170)))/'参数'!$B$44))+(((R170*(1+'参数'!$B$39*P170))^2/((R170*(1+'参数'!$B$39*P170))+'参数'!$B$22*(I170)))*(1+'参数'!$B$42*P170)/'参数'!$J$6+((R170*'参数'!$B$45*(1+'参数'!$B$39*P170))^2/((R170*'参数'!$B$45*(1+'参数'!$B$39*P170))+'参数'!$B$22*(I170)))/'参数'!$B$46)+((S170*(1+'参数'!$B$39*P170))^2/((S170*(1+'参数'!$B$39*P170))+'参数'!$B$22*(I170)))*(1+'参数'!$B$42*P170)/'参数'!$J$7)*(1+'参数'!$B$37*('参数'!$B$38-1))*'参数'!$B$25</x:f>
        <x:v>17462.748547169096</x:v>
      </x:c>
      <x:c r="W170" s="18" t="n">
        <x:f>(('参数'!$K$5*(((Q170*(1+'参数'!$B$39*P170))^2/((Q170*(1+'参数'!$B$39*P170))+'参数'!$B$22*(M170)))*(1+'参数'!$B$42*P170)/'参数'!$J$5+((Q170*'参数'!$B$43*(1+'参数'!$B$39*P170))^2/((Q170*'参数'!$B$43*(1+'参数'!$B$39*P170))+'参数'!$B$22*(M170)))/'参数'!$B$44))+(((R170*(1+'参数'!$B$39*P170))^2/((R170*(1+'参数'!$B$39*P170))+'参数'!$B$22*(M170)))*(1+'参数'!$B$42*P170)/'参数'!$J$6+((R170*'参数'!$B$45*(1+'参数'!$B$39*P170))^2/((R170*'参数'!$B$45*(1+'参数'!$B$39*P170))+'参数'!$B$22*(M170)))/'参数'!$B$46)+((S170*(1+'参数'!$B$39*P170))^2/((S170*(1+'参数'!$B$39*P170))+'参数'!$B$22*(M170)))*(1+'参数'!$B$42*P170)/'参数'!$J$7)*(1+'参数'!$B$37*('参数'!$B$38-1))</x:f>
        <x:v>13450.928662319287</x:v>
      </x:c>
      <x:c r="X170" s="25" t="n">
        <x:f>('参数'!$B$26+'参数'!$B$27*(D170-1)/99)*'参数'!$K$27*AD170</x:f>
        <x:v>17.733333333333334</x:v>
      </x:c>
      <x:c r="Y170" s="25" t="n">
        <x:f>('参数'!$B$28+'参数'!$B$29*(D170-1)/99)*'参数'!$K$27*AD170*IF(AE170=1,'参数'!$B$51,1)</x:f>
        <x:v>48.111111111111114</x:v>
      </x:c>
      <x:c r="Z170" s="21" t="n">
        <x:f>MIN('参数'!$B$36,U170/(U170+'参数'!$B$35))</x:f>
        <x:v>0.2872111979294762</x:v>
      </x:c>
      <x:c r="AA170" s="18" t="n">
        <x:f>T170*'参数'!$B$30/('参数'!$B$32*'参数'!$B$33)/(1-Z170)*AC170</x:f>
        <x:v>1105.8543196995854</x:v>
      </x:c>
      <x:c r="AB170" s="18" t="n">
        <x:f>T170*'参数'!$B$31/'参数'!$B$34/(1-Z170)*AC170</x:f>
        <x:v>2211.708639399171</x:v>
      </x:c>
      <x:c r="AC170" s="15" t="n">
        <x:f>'参数'!$L$27*1</x:f>
        <x:v>1.05</x:v>
      </x:c>
      <x:c r="AD170" s="15" t="n">
        <x:f>1</x:f>
        <x:v>1</x:v>
      </x:c>
      <x:c r="AE170" s="18" t="n">
        <x:f>IF(MOD(B170,12)=0,1,0)</x:f>
        <x:v>0</x:v>
      </x:c>
    </x:row>
    <x:row r="171" ht="22" customHeight="1">
      <x:c r="A171" s="19" t="str">
        <x:v>困难</x:v>
      </x:c>
      <x:c r="B171" s="19" t="n">
        <x:v>46</x:v>
      </x:c>
      <x:c r="C171" s="19" t="n">
        <x:f>ROUNDUP(B171/12,0)</x:f>
        <x:v>4</x:v>
      </x:c>
      <x:c r="D171" s="19" t="n">
        <x:f>ROUND(MAX('参数'!$G$27,E171)+(IF(C171&lt;10,INDEX('参数'!$G$35:$P$35,1,MIN(10,C171+1)),'参数'!$H$27)-MAX('参数'!$G$27,E171))*MOD(B171-1,12)/11,0)</x:f>
        <x:v>69</x:v>
      </x:c>
      <x:c r="E171" s="19" t="n">
        <x:f>INDEX('参数'!$G$35:$P$35,1,C171)</x:f>
        <x:v>65</x:v>
      </x:c>
      <x:c r="F171" s="20" t="n">
        <x:f>'参数'!$I$27</x:f>
        <x:v>1.1</x:v>
      </x:c>
      <x:c r="G171" s="19" t="n">
        <x:f>ROUND(V171*X171/'参数'!$B$56,0)</x:f>
        <x:v>67320</x:v>
      </x:c>
      <x:c r="H171" s="19" t="n">
        <x:f>ROUND((AA171+SQRT(AA171^2+4*AA171*'参数'!$B$22*U171))/2,0)</x:f>
        <x:v>2145</x:v>
      </x:c>
      <x:c r="I171" s="19" t="n">
        <x:f>ROUND(Q171*'参数'!$B$23/'参数'!$B$22,0)</x:f>
        <x:v>520</x:v>
      </x:c>
      <x:c r="J171" s="19" t="n">
        <x:f>ROUND(G171*'参数'!$B$50,0)</x:f>
        <x:v>201960</x:v>
      </x:c>
      <x:c r="K171" s="19" t="n">
        <x:f>ROUND(W171*Y171,0)</x:f>
        <x:v>647139</x:v>
      </x:c>
      <x:c r="L171" s="19" t="n">
        <x:f>ROUND((AB171+SQRT(AB171^2+4*AB171*'参数'!$B$22*U171))/2,0)</x:f>
        <x:v>3489</x:v>
      </x:c>
      <x:c r="M171" s="19" t="n">
        <x:f>ROUND(I171*'参数'!$B$24,0)</x:f>
        <x:v>650</x:v>
      </x:c>
      <x:c r="N171" s="19" t="n">
        <x:f>'参数'!$B$9*'参数'!$B$10^(D171-1)</x:f>
        <x:v>4477.983926169338</x:v>
      </x:c>
      <x:c r="O171" s="19" t="n">
        <x:f>'参数'!$B$18*'参数'!$B$19^(MIN(E171,MAX(1,5*INT(D171/5)))-1)*F171*'参数'!$J$27*P171</x:f>
        <x:v>421.2781495311122</x:v>
      </x:c>
      <x:c r="P171" s="22" t="n">
        <x:f>MIN(1,(D171-1)/19)</x:f>
        <x:v>1</x:v>
      </x:c>
      <x:c r="Q171" s="19" t="n">
        <x:f>INDEX('角色成长'!$F$6:$F$105,D171)+O171*'参数'!$K$21</x:f>
        <x:v>2600.64272616367</x:v>
      </x:c>
      <x:c r="R171" s="19" t="n">
        <x:f>INDEX('角色成长'!$I$6:$I$105,D171)+O171*'参数'!$K$21</x:f>
        <x:v>2208.64272616367</x:v>
      </x:c>
      <x:c r="S171" s="19" t="n">
        <x:f>INDEX('角色成长'!$L$6:$L$105,D171)+O171*'参数'!$K$21</x:f>
        <x:v>1984.6427261636697</x:v>
      </x:c>
      <x:c r="T171" s="19" t="n">
        <x:f>(INDEX('角色成长'!$J$6:$J$105,D171)+O171*'参数'!$L$21)*(1+'参数'!$B$40*P171)</x:f>
        <x:v>30028.212411549765</x:v>
      </x:c>
      <x:c r="U171" s="19" t="n">
        <x:f>(INDEX('角色成长'!$K$6:$K$105,D171)+O171*'参数'!$M$21)*(1+'参数'!$B$41*P171)</x:f>
        <x:v>1611.7604378473911</x:v>
      </x:c>
      <x:c r="V171" s="19" t="n">
        <x:f>(('参数'!$K$5*(((Q171*(1+'参数'!$B$39*P171))^2/((Q171*(1+'参数'!$B$39*P171))+'参数'!$B$22*(I171)))*(1+'参数'!$B$42*P171)/'参数'!$J$5+((Q171*'参数'!$B$43*(1+'参数'!$B$39*P171))^2/((Q171*'参数'!$B$43*(1+'参数'!$B$39*P171))+'参数'!$B$22*(I171)))/'参数'!$B$44))+(((R171*(1+'参数'!$B$39*P171))^2/((R171*(1+'参数'!$B$39*P171))+'参数'!$B$22*(I171)))*(1+'参数'!$B$42*P171)/'参数'!$J$6+((R171*'参数'!$B$45*(1+'参数'!$B$39*P171))^2/((R171*'参数'!$B$45*(1+'参数'!$B$39*P171))+'参数'!$B$22*(I171)))/'参数'!$B$46)+((S171*(1+'参数'!$B$39*P171))^2/((S171*(1+'参数'!$B$39*P171))+'参数'!$B$22*(I171)))*(1+'参数'!$B$42*P171)/'参数'!$J$7)*(1+'参数'!$B$37*('参数'!$B$38-1))*'参数'!$B$25</x:f>
        <x:v>17462.748547169096</x:v>
      </x:c>
      <x:c r="W171" s="19" t="n">
        <x:f>(('参数'!$K$5*(((Q171*(1+'参数'!$B$39*P171))^2/((Q171*(1+'参数'!$B$39*P171))+'参数'!$B$22*(M171)))*(1+'参数'!$B$42*P171)/'参数'!$J$5+((Q171*'参数'!$B$43*(1+'参数'!$B$39*P171))^2/((Q171*'参数'!$B$43*(1+'参数'!$B$39*P171))+'参数'!$B$22*(M171)))/'参数'!$B$44))+(((R171*(1+'参数'!$B$39*P171))^2/((R171*(1+'参数'!$B$39*P171))+'参数'!$B$22*(M171)))*(1+'参数'!$B$42*P171)/'参数'!$J$6+((R171*'参数'!$B$45*(1+'参数'!$B$39*P171))^2/((R171*'参数'!$B$45*(1+'参数'!$B$39*P171))+'参数'!$B$22*(M171)))/'参数'!$B$46)+((S171*(1+'参数'!$B$39*P171))^2/((S171*(1+'参数'!$B$39*P171))+'参数'!$B$22*(M171)))*(1+'参数'!$B$42*P171)/'参数'!$J$7)*(1+'参数'!$B$37*('参数'!$B$38-1))</x:f>
        <x:v>13450.928662319287</x:v>
      </x:c>
      <x:c r="X171" s="26" t="n">
        <x:f>('参数'!$B$26+'参数'!$B$27*(D171-1)/99)*'参数'!$K$27*AD171</x:f>
        <x:v>17.733333333333334</x:v>
      </x:c>
      <x:c r="Y171" s="26" t="n">
        <x:f>('参数'!$B$28+'参数'!$B$29*(D171-1)/99)*'参数'!$K$27*AD171*IF(AE171=1,'参数'!$B$51,1)</x:f>
        <x:v>48.111111111111114</x:v>
      </x:c>
      <x:c r="Z171" s="22" t="n">
        <x:f>MIN('参数'!$B$36,U171/(U171+'参数'!$B$35))</x:f>
        <x:v>0.2872111979294762</x:v>
      </x:c>
      <x:c r="AA171" s="19" t="n">
        <x:f>T171*'参数'!$B$30/('参数'!$B$32*'参数'!$B$33)/(1-Z171)*AC171</x:f>
        <x:v>1105.8543196995854</x:v>
      </x:c>
      <x:c r="AB171" s="19" t="n">
        <x:f>T171*'参数'!$B$31/'参数'!$B$34/(1-Z171)*AC171</x:f>
        <x:v>2211.708639399171</x:v>
      </x:c>
      <x:c r="AC171" s="20" t="n">
        <x:f>'参数'!$L$27*1</x:f>
        <x:v>1.05</x:v>
      </x:c>
      <x:c r="AD171" s="20" t="n">
        <x:f>1</x:f>
        <x:v>1</x:v>
      </x:c>
      <x:c r="AE171" s="19" t="n">
        <x:f>IF(MOD(B171,12)=0,1,0)</x:f>
        <x:v>0</x:v>
      </x:c>
    </x:row>
    <x:row r="172" ht="22" customHeight="1">
      <x:c r="A172" s="18" t="str">
        <x:v>困难</x:v>
      </x:c>
      <x:c r="B172" s="18" t="n">
        <x:v>47</x:v>
      </x:c>
      <x:c r="C172" s="18" t="n">
        <x:f>ROUNDUP(B172/12,0)</x:f>
        <x:v>4</x:v>
      </x:c>
      <x:c r="D172" s="18" t="n">
        <x:f>ROUND(MAX('参数'!$G$27,E172)+(IF(C172&lt;10,INDEX('参数'!$G$35:$P$35,1,MIN(10,C172+1)),'参数'!$H$27)-MAX('参数'!$G$27,E172))*MOD(B172-1,12)/11,0)</x:f>
        <x:v>70</x:v>
      </x:c>
      <x:c r="E172" s="18" t="n">
        <x:f>INDEX('参数'!$G$35:$P$35,1,C172)</x:f>
        <x:v>65</x:v>
      </x:c>
      <x:c r="F172" s="15" t="n">
        <x:f>'参数'!$I$27</x:f>
        <x:v>1.1</x:v>
      </x:c>
      <x:c r="G172" s="18" t="n">
        <x:f>ROUND(V172*X172/'参数'!$B$56,0)</x:f>
        <x:v>68775</x:v>
      </x:c>
      <x:c r="H172" s="18" t="n">
        <x:f>ROUND((AA172+SQRT(AA172^2+4*AA172*'参数'!$B$22*U172))/2,0)</x:f>
        <x:v>2199</x:v>
      </x:c>
      <x:c r="I172" s="18" t="n">
        <x:f>ROUND(Q172*'参数'!$B$23/'参数'!$B$22,0)</x:f>
        <x:v>530</x:v>
      </x:c>
      <x:c r="J172" s="18" t="n">
        <x:f>ROUND(G172*'参数'!$B$50,0)</x:f>
        <x:v>206325</x:v>
      </x:c>
      <x:c r="K172" s="18" t="n">
        <x:f>ROUND(W172*Y172,0)</x:f>
        <x:v>661582</x:v>
      </x:c>
      <x:c r="L172" s="18" t="n">
        <x:f>ROUND((AB172+SQRT(AB172^2+4*AB172*'参数'!$B$22*U172))/2,0)</x:f>
        <x:v>3579</x:v>
      </x:c>
      <x:c r="M172" s="18" t="n">
        <x:f>ROUND(I172*'参数'!$B$24,0)</x:f>
        <x:v>663</x:v>
      </x:c>
      <x:c r="N172" s="18" t="n">
        <x:f>'参数'!$B$9*'参数'!$B$10^(D172-1)</x:f>
        <x:v>4612.3234439544185</x:v>
      </x:c>
      <x:c r="O172" s="18" t="n">
        <x:f>'参数'!$B$18*'参数'!$B$19^(MIN(E172,MAX(1,5*INT(D172/5)))-1)*F172*'参数'!$J$27*P172</x:f>
        <x:v>421.2781495311122</x:v>
      </x:c>
      <x:c r="P172" s="21" t="n">
        <x:f>MIN(1,(D172-1)/19)</x:f>
        <x:v>1</x:v>
      </x:c>
      <x:c r="Q172" s="18" t="n">
        <x:f>INDEX('角色成长'!$F$6:$F$105,D172)+O172*'参数'!$K$21</x:f>
        <x:v>2649.64272616367</x:v>
      </x:c>
      <x:c r="R172" s="18" t="n">
        <x:f>INDEX('角色成长'!$I$6:$I$105,D172)+O172*'参数'!$K$21</x:f>
        <x:v>2244.64272616367</x:v>
      </x:c>
      <x:c r="S172" s="18" t="n">
        <x:f>INDEX('角色成长'!$L$6:$L$105,D172)+O172*'参数'!$K$21</x:f>
        <x:v>2012.6427261636697</x:v>
      </x:c>
      <x:c r="T172" s="18" t="n">
        <x:f>(INDEX('角色成长'!$J$6:$J$105,D172)+O172*'参数'!$L$21)*(1+'参数'!$B$40*P172)</x:f>
        <x:v>30739.912411549765</x:v>
      </x:c>
      <x:c r="U172" s="18" t="n">
        <x:f>(INDEX('角色成长'!$K$6:$K$105,D172)+O172*'参数'!$M$21)*(1+'参数'!$B$41*P172)</x:f>
        <x:v>1640.360437847391</x:v>
      </x:c>
      <x:c r="V172" s="18" t="n">
        <x:f>(('参数'!$K$5*(((Q172*(1+'参数'!$B$39*P172))^2/((Q172*(1+'参数'!$B$39*P172))+'参数'!$B$22*(I172)))*(1+'参数'!$B$42*P172)/'参数'!$J$5+((Q172*'参数'!$B$43*(1+'参数'!$B$39*P172))^2/((Q172*'参数'!$B$43*(1+'参数'!$B$39*P172))+'参数'!$B$22*(I172)))/'参数'!$B$44))+(((R172*(1+'参数'!$B$39*P172))^2/((R172*(1+'参数'!$B$39*P172))+'参数'!$B$22*(I172)))*(1+'参数'!$B$42*P172)/'参数'!$J$6+((R172*'参数'!$B$45*(1+'参数'!$B$39*P172))^2/((R172*'参数'!$B$45*(1+'参数'!$B$39*P172))+'参数'!$B$22*(I172)))/'参数'!$B$46)+((S172*(1+'参数'!$B$39*P172))^2/((S172*(1+'参数'!$B$39*P172))+'参数'!$B$22*(I172)))*(1+'参数'!$B$42*P172)/'参数'!$J$7)*(1+'参数'!$B$37*('参数'!$B$38-1))*'参数'!$B$25</x:f>
        <x:v>17773.434648880335</x:v>
      </x:c>
      <x:c r="W172" s="18" t="n">
        <x:f>(('参数'!$K$5*(((Q172*(1+'参数'!$B$39*P172))^2/((Q172*(1+'参数'!$B$39*P172))+'参数'!$B$22*(M172)))*(1+'参数'!$B$42*P172)/'参数'!$J$5+((Q172*'参数'!$B$43*(1+'参数'!$B$39*P172))^2/((Q172*'参数'!$B$43*(1+'参数'!$B$39*P172))+'参数'!$B$22*(M172)))/'参数'!$B$44))+(((R172*(1+'参数'!$B$39*P172))^2/((R172*(1+'参数'!$B$39*P172))+'参数'!$B$22*(M172)))*(1+'参数'!$B$42*P172)/'参数'!$J$6+((R172*'参数'!$B$45*(1+'参数'!$B$39*P172))^2/((R172*'参数'!$B$45*(1+'参数'!$B$39*P172))+'参数'!$B$22*(M172)))/'参数'!$B$46)+((S172*(1+'参数'!$B$39*P172))^2/((S172*(1+'参数'!$B$39*P172))+'参数'!$B$22*(M172)))*(1+'参数'!$B$42*P172)/'参数'!$J$7)*(1+'参数'!$B$37*('参数'!$B$38-1))</x:f>
        <x:v>13687.896755316659</x:v>
      </x:c>
      <x:c r="X172" s="25" t="n">
        <x:f>('参数'!$B$26+'参数'!$B$27*(D172-1)/99)*'参数'!$K$27*AD172</x:f>
        <x:v>17.8</x:v>
      </x:c>
      <x:c r="Y172" s="25" t="n">
        <x:f>('参数'!$B$28+'参数'!$B$29*(D172-1)/99)*'参数'!$K$27*AD172*IF(AE172=1,'参数'!$B$51,1)</x:f>
        <x:v>48.333333333333336</x:v>
      </x:c>
      <x:c r="Z172" s="21" t="n">
        <x:f>MIN('参数'!$B$36,U172/(U172+'参数'!$B$35))</x:f>
        <x:v>0.2908254633587609</x:v>
      </x:c>
      <x:c r="AA172" s="18" t="n">
        <x:f>T172*'参数'!$B$30/('参数'!$B$32*'参数'!$B$33)/(1-Z172)*AC172</x:f>
        <x:v>1137.833719502808</x:v>
      </x:c>
      <x:c r="AB172" s="18" t="n">
        <x:f>T172*'参数'!$B$31/'参数'!$B$34/(1-Z172)*AC172</x:f>
        <x:v>2275.667439005616</x:v>
      </x:c>
      <x:c r="AC172" s="15" t="n">
        <x:f>'参数'!$L$27*1</x:f>
        <x:v>1.05</x:v>
      </x:c>
      <x:c r="AD172" s="15" t="n">
        <x:f>1</x:f>
        <x:v>1</x:v>
      </x:c>
      <x:c r="AE172" s="18" t="n">
        <x:f>IF(MOD(B172,12)=0,1,0)</x:f>
        <x:v>0</x:v>
      </x:c>
    </x:row>
    <x:row r="173" ht="22" customHeight="1">
      <x:c r="A173" s="19" t="str">
        <x:v>困难</x:v>
      </x:c>
      <x:c r="B173" s="19" t="n">
        <x:v>48</x:v>
      </x:c>
      <x:c r="C173" s="19" t="n">
        <x:f>ROUNDUP(B173/12,0)</x:f>
        <x:v>4</x:v>
      </x:c>
      <x:c r="D173" s="19" t="n">
        <x:f>ROUND(MAX('参数'!$G$27,E173)+(IF(C173&lt;10,INDEX('参数'!$G$35:$P$35,1,MIN(10,C173+1)),'参数'!$H$27)-MAX('参数'!$G$27,E173))*MOD(B173-1,12)/11,0)</x:f>
        <x:v>70</x:v>
      </x:c>
      <x:c r="E173" s="19" t="n">
        <x:f>INDEX('参数'!$G$35:$P$35,1,C173)</x:f>
        <x:v>65</x:v>
      </x:c>
      <x:c r="F173" s="20" t="n">
        <x:f>'参数'!$I$27</x:f>
        <x:v>1.1</x:v>
      </x:c>
      <x:c r="G173" s="19" t="n">
        <x:f>ROUND(V173*X173/'参数'!$B$56,0)</x:f>
        <x:v>68775</x:v>
      </x:c>
      <x:c r="H173" s="19" t="n">
        <x:f>ROUND((AA173+SQRT(AA173^2+4*AA173*'参数'!$B$22*U173))/2,0)</x:f>
        <x:v>2199</x:v>
      </x:c>
      <x:c r="I173" s="19" t="n">
        <x:f>ROUND(Q173*'参数'!$B$23/'参数'!$B$22,0)</x:f>
        <x:v>530</x:v>
      </x:c>
      <x:c r="J173" s="19" t="n">
        <x:f>ROUND(G173*'参数'!$B$50,0)</x:f>
        <x:v>206325</x:v>
      </x:c>
      <x:c r="K173" s="19" t="n">
        <x:f>ROUND(W173*Y173,0)</x:f>
        <x:v>760819</x:v>
      </x:c>
      <x:c r="L173" s="19" t="n">
        <x:f>ROUND((AB173+SQRT(AB173^2+4*AB173*'参数'!$B$22*U173))/2,0)</x:f>
        <x:v>3579</x:v>
      </x:c>
      <x:c r="M173" s="19" t="n">
        <x:f>ROUND(I173*'参数'!$B$24,0)</x:f>
        <x:v>663</x:v>
      </x:c>
      <x:c r="N173" s="19" t="n">
        <x:f>'参数'!$B$9*'参数'!$B$10^(D173-1)</x:f>
        <x:v>4612.3234439544185</x:v>
      </x:c>
      <x:c r="O173" s="19" t="n">
        <x:f>'参数'!$B$18*'参数'!$B$19^(MIN(E173,MAX(1,5*INT(D173/5)))-1)*F173*'参数'!$J$27*P173</x:f>
        <x:v>421.2781495311122</x:v>
      </x:c>
      <x:c r="P173" s="22" t="n">
        <x:f>MIN(1,(D173-1)/19)</x:f>
        <x:v>1</x:v>
      </x:c>
      <x:c r="Q173" s="19" t="n">
        <x:f>INDEX('角色成长'!$F$6:$F$105,D173)+O173*'参数'!$K$21</x:f>
        <x:v>2649.64272616367</x:v>
      </x:c>
      <x:c r="R173" s="19" t="n">
        <x:f>INDEX('角色成长'!$I$6:$I$105,D173)+O173*'参数'!$K$21</x:f>
        <x:v>2244.64272616367</x:v>
      </x:c>
      <x:c r="S173" s="19" t="n">
        <x:f>INDEX('角色成长'!$L$6:$L$105,D173)+O173*'参数'!$K$21</x:f>
        <x:v>2012.6427261636697</x:v>
      </x:c>
      <x:c r="T173" s="19" t="n">
        <x:f>(INDEX('角色成长'!$J$6:$J$105,D173)+O173*'参数'!$L$21)*(1+'参数'!$B$40*P173)</x:f>
        <x:v>30739.912411549765</x:v>
      </x:c>
      <x:c r="U173" s="19" t="n">
        <x:f>(INDEX('角色成长'!$K$6:$K$105,D173)+O173*'参数'!$M$21)*(1+'参数'!$B$41*P173)</x:f>
        <x:v>1640.360437847391</x:v>
      </x:c>
      <x:c r="V173" s="19" t="n">
        <x:f>(('参数'!$K$5*(((Q173*(1+'参数'!$B$39*P173))^2/((Q173*(1+'参数'!$B$39*P173))+'参数'!$B$22*(I173)))*(1+'参数'!$B$42*P173)/'参数'!$J$5+((Q173*'参数'!$B$43*(1+'参数'!$B$39*P173))^2/((Q173*'参数'!$B$43*(1+'参数'!$B$39*P173))+'参数'!$B$22*(I173)))/'参数'!$B$44))+(((R173*(1+'参数'!$B$39*P173))^2/((R173*(1+'参数'!$B$39*P173))+'参数'!$B$22*(I173)))*(1+'参数'!$B$42*P173)/'参数'!$J$6+((R173*'参数'!$B$45*(1+'参数'!$B$39*P173))^2/((R173*'参数'!$B$45*(1+'参数'!$B$39*P173))+'参数'!$B$22*(I173)))/'参数'!$B$46)+((S173*(1+'参数'!$B$39*P173))^2/((S173*(1+'参数'!$B$39*P173))+'参数'!$B$22*(I173)))*(1+'参数'!$B$42*P173)/'参数'!$J$7)*(1+'参数'!$B$37*('参数'!$B$38-1))*'参数'!$B$25</x:f>
        <x:v>17773.434648880335</x:v>
      </x:c>
      <x:c r="W173" s="19" t="n">
        <x:f>(('参数'!$K$5*(((Q173*(1+'参数'!$B$39*P173))^2/((Q173*(1+'参数'!$B$39*P173))+'参数'!$B$22*(M173)))*(1+'参数'!$B$42*P173)/'参数'!$J$5+((Q173*'参数'!$B$43*(1+'参数'!$B$39*P173))^2/((Q173*'参数'!$B$43*(1+'参数'!$B$39*P173))+'参数'!$B$22*(M173)))/'参数'!$B$44))+(((R173*(1+'参数'!$B$39*P173))^2/((R173*(1+'参数'!$B$39*P173))+'参数'!$B$22*(M173)))*(1+'参数'!$B$42*P173)/'参数'!$J$6+((R173*'参数'!$B$45*(1+'参数'!$B$39*P173))^2/((R173*'参数'!$B$45*(1+'参数'!$B$39*P173))+'参数'!$B$22*(M173)))/'参数'!$B$46)+((S173*(1+'参数'!$B$39*P173))^2/((S173*(1+'参数'!$B$39*P173))+'参数'!$B$22*(M173)))*(1+'参数'!$B$42*P173)/'参数'!$J$7)*(1+'参数'!$B$37*('参数'!$B$38-1))</x:f>
        <x:v>13687.896755316659</x:v>
      </x:c>
      <x:c r="X173" s="26" t="n">
        <x:f>('参数'!$B$26+'参数'!$B$27*(D173-1)/99)*'参数'!$K$27*AD173</x:f>
        <x:v>17.8</x:v>
      </x:c>
      <x:c r="Y173" s="26" t="n">
        <x:f>('参数'!$B$28+'参数'!$B$29*(D173-1)/99)*'参数'!$K$27*AD173*IF(AE173=1,'参数'!$B$51,1)</x:f>
        <x:v>55.58333333333333</x:v>
      </x:c>
      <x:c r="Z173" s="22" t="n">
        <x:f>MIN('参数'!$B$36,U173/(U173+'参数'!$B$35))</x:f>
        <x:v>0.2908254633587609</x:v>
      </x:c>
      <x:c r="AA173" s="19" t="n">
        <x:f>T173*'参数'!$B$30/('参数'!$B$32*'参数'!$B$33)/(1-Z173)*AC173</x:f>
        <x:v>1137.833719502808</x:v>
      </x:c>
      <x:c r="AB173" s="19" t="n">
        <x:f>T173*'参数'!$B$31/'参数'!$B$34/(1-Z173)*AC173</x:f>
        <x:v>2275.667439005616</x:v>
      </x:c>
      <x:c r="AC173" s="20" t="n">
        <x:f>'参数'!$L$27*1</x:f>
        <x:v>1.05</x:v>
      </x:c>
      <x:c r="AD173" s="20" t="n">
        <x:f>1</x:f>
        <x:v>1</x:v>
      </x:c>
      <x:c r="AE173" s="19" t="n">
        <x:f>IF(MOD(B173,12)=0,1,0)</x:f>
        <x:v>1</x:v>
      </x:c>
    </x:row>
    <x:row r="174" ht="22" customHeight="1">
      <x:c r="A174" s="18" t="str">
        <x:v>困难</x:v>
      </x:c>
      <x:c r="B174" s="18" t="n">
        <x:v>49</x:v>
      </x:c>
      <x:c r="C174" s="18" t="n">
        <x:f>ROUNDUP(B174/12,0)</x:f>
        <x:v>5</x:v>
      </x:c>
      <x:c r="D174" s="18" t="n">
        <x:f>ROUND(MAX('参数'!$G$27,E174)+(IF(C174&lt;10,INDEX('参数'!$G$35:$P$35,1,MIN(10,C174+1)),'参数'!$H$27)-MAX('参数'!$G$27,E174))*MOD(B174-1,12)/11,0)</x:f>
        <x:v>70</x:v>
      </x:c>
      <x:c r="E174" s="18" t="n">
        <x:f>INDEX('参数'!$G$35:$P$35,1,C174)</x:f>
        <x:v>70</x:v>
      </x:c>
      <x:c r="F174" s="15" t="n">
        <x:f>'参数'!$I$27</x:f>
        <x:v>1.1</x:v>
      </x:c>
      <x:c r="G174" s="18" t="n">
        <x:f>ROUND(V174*X174/'参数'!$B$56,0)</x:f>
        <x:v>75402</x:v>
      </x:c>
      <x:c r="H174" s="18" t="n">
        <x:f>ROUND((AA174+SQRT(AA174^2+4*AA174*'参数'!$B$22*U174))/2,0)</x:f>
        <x:v>2414</x:v>
      </x:c>
      <x:c r="I174" s="18" t="n">
        <x:f>ROUND(Q174*'参数'!$B$23/'参数'!$B$22,0)</x:f>
        <x:v>578</x:v>
      </x:c>
      <x:c r="J174" s="18" t="n">
        <x:f>ROUND(G174*'参数'!$B$50,0)</x:f>
        <x:v>226206</x:v>
      </x:c>
      <x:c r="K174" s="18" t="n">
        <x:f>ROUND(W174*Y174,0)</x:f>
        <x:v>725413</x:v>
      </x:c>
      <x:c r="L174" s="18" t="n">
        <x:f>ROUND((AB174+SQRT(AB174^2+4*AB174*'参数'!$B$22*U174))/2,0)</x:f>
        <x:v>3928</x:v>
      </x:c>
      <x:c r="M174" s="18" t="n">
        <x:f>ROUND(I174*'参数'!$B$24,0)</x:f>
        <x:v>723</x:v>
      </x:c>
      <x:c r="N174" s="18" t="n">
        <x:f>'参数'!$B$9*'参数'!$B$10^(D174-1)</x:f>
        <x:v>4612.3234439544185</x:v>
      </x:c>
      <x:c r="O174" s="18" t="n">
        <x:f>'参数'!$B$18*'参数'!$B$19^(MIN(E174,MAX(1,5*INT(D174/5)))-1)*F174*'参数'!$J$27*P174</x:f>
        <x:v>505.1992720110145</x:v>
      </x:c>
      <x:c r="P174" s="21" t="n">
        <x:f>MIN(1,(D174-1)/19)</x:f>
        <x:v>1</x:v>
      </x:c>
      <x:c r="Q174" s="18" t="n">
        <x:f>INDEX('角色成长'!$F$6:$F$105,D174)+O174*'参数'!$K$21</x:f>
        <x:v>2888.817925231391</x:v>
      </x:c>
      <x:c r="R174" s="18" t="n">
        <x:f>INDEX('角色成长'!$I$6:$I$105,D174)+O174*'参数'!$K$21</x:f>
        <x:v>2483.817925231391</x:v>
      </x:c>
      <x:c r="S174" s="18" t="n">
        <x:f>INDEX('角色成长'!$L$6:$L$105,D174)+O174*'参数'!$K$21</x:f>
        <x:v>2251.817925231391</x:v>
      </x:c>
      <x:c r="T174" s="18" t="n">
        <x:f>(INDEX('角色成长'!$J$6:$J$105,D174)+O174*'参数'!$L$21)*(1+'参数'!$B$40*P174)</x:f>
        <x:v>32789.26622250897</x:v>
      </x:c>
      <x:c r="U174" s="18" t="n">
        <x:f>(INDEX('角色成长'!$K$6:$K$105,D174)+O174*'参数'!$M$21)*(1+'参数'!$B$41*P174)</x:f>
        <x:v>1801.908598621203</x:v>
      </x:c>
      <x:c r="V174" s="18" t="n">
        <x:f>(('参数'!$K$5*(((Q174*(1+'参数'!$B$39*P174))^2/((Q174*(1+'参数'!$B$39*P174))+'参数'!$B$22*(I174)))*(1+'参数'!$B$42*P174)/'参数'!$J$5+((Q174*'参数'!$B$43*(1+'参数'!$B$39*P174))^2/((Q174*'参数'!$B$43*(1+'参数'!$B$39*P174))+'参数'!$B$22*(I174)))/'参数'!$B$44))+(((R174*(1+'参数'!$B$39*P174))^2/((R174*(1+'参数'!$B$39*P174))+'参数'!$B$22*(I174)))*(1+'参数'!$B$42*P174)/'参数'!$J$6+((R174*'参数'!$B$45*(1+'参数'!$B$39*P174))^2/((R174*'参数'!$B$45*(1+'参数'!$B$39*P174))+'参数'!$B$22*(I174)))/'参数'!$B$46)+((S174*(1+'参数'!$B$39*P174))^2/((S174*(1+'参数'!$B$39*P174))+'参数'!$B$22*(I174)))*(1+'参数'!$B$42*P174)/'参数'!$J$7)*(1+'参数'!$B$37*('参数'!$B$38-1))*'参数'!$B$25</x:f>
        <x:v>19485.950543165323</x:v>
      </x:c>
      <x:c r="W174" s="18" t="n">
        <x:f>(('参数'!$K$5*(((Q174*(1+'参数'!$B$39*P174))^2/((Q174*(1+'参数'!$B$39*P174))+'参数'!$B$22*(M174)))*(1+'参数'!$B$42*P174)/'参数'!$J$5+((Q174*'参数'!$B$43*(1+'参数'!$B$39*P174))^2/((Q174*'参数'!$B$43*(1+'参数'!$B$39*P174))+'参数'!$B$22*(M174)))/'参数'!$B$44))+(((R174*(1+'参数'!$B$39*P174))^2/((R174*(1+'参数'!$B$39*P174))+'参数'!$B$22*(M174)))*(1+'参数'!$B$42*P174)/'参数'!$J$6+((R174*'参数'!$B$45*(1+'参数'!$B$39*P174))^2/((R174*'参数'!$B$45*(1+'参数'!$B$39*P174))+'参数'!$B$22*(M174)))/'参数'!$B$46)+((S174*(1+'参数'!$B$39*P174))^2/((S174*(1+'参数'!$B$39*P174))+'参数'!$B$22*(M174)))*(1+'参数'!$B$42*P174)/'参数'!$J$7)*(1+'参数'!$B$37*('参数'!$B$38-1))</x:f>
        <x:v>15008.536958770226</x:v>
      </x:c>
      <x:c r="X174" s="25" t="n">
        <x:f>('参数'!$B$26+'参数'!$B$27*(D174-1)/99)*'参数'!$K$27*AD174</x:f>
        <x:v>17.8</x:v>
      </x:c>
      <x:c r="Y174" s="25" t="n">
        <x:f>('参数'!$B$28+'参数'!$B$29*(D174-1)/99)*'参数'!$K$27*AD174*IF(AE174=1,'参数'!$B$51,1)</x:f>
        <x:v>48.333333333333336</x:v>
      </x:c>
      <x:c r="Z174" s="21" t="n">
        <x:f>MIN('参数'!$B$36,U174/(U174+'参数'!$B$35))</x:f>
        <x:v>0.31057169688081926</x:v>
      </x:c>
      <x:c r="AA174" s="18" t="n">
        <x:f>T174*'参数'!$B$30/('参数'!$B$32*'参数'!$B$33)/(1-Z174)*AC174</x:f>
        <x:v>1248.4521370049831</x:v>
      </x:c>
      <x:c r="AB174" s="18" t="n">
        <x:f>T174*'参数'!$B$31/'参数'!$B$34/(1-Z174)*AC174</x:f>
        <x:v>2496.9042740099662</x:v>
      </x:c>
      <x:c r="AC174" s="15" t="n">
        <x:f>'参数'!$L$27*1</x:f>
        <x:v>1.05</x:v>
      </x:c>
      <x:c r="AD174" s="15" t="n">
        <x:f>1</x:f>
        <x:v>1</x:v>
      </x:c>
      <x:c r="AE174" s="18" t="n">
        <x:f>IF(MOD(B174,12)=0,1,0)</x:f>
        <x:v>0</x:v>
      </x:c>
    </x:row>
    <x:row r="175" ht="22" customHeight="1">
      <x:c r="A175" s="19" t="str">
        <x:v>困难</x:v>
      </x:c>
      <x:c r="B175" s="19" t="n">
        <x:v>50</x:v>
      </x:c>
      <x:c r="C175" s="19" t="n">
        <x:f>ROUNDUP(B175/12,0)</x:f>
        <x:v>5</x:v>
      </x:c>
      <x:c r="D175" s="19" t="n">
        <x:f>ROUND(MAX('参数'!$G$27,E175)+(IF(C175&lt;10,INDEX('参数'!$G$35:$P$35,1,MIN(10,C175+1)),'参数'!$H$27)-MAX('参数'!$G$27,E175))*MOD(B175-1,12)/11,0)</x:f>
        <x:v>70</x:v>
      </x:c>
      <x:c r="E175" s="19" t="n">
        <x:f>INDEX('参数'!$G$35:$P$35,1,C175)</x:f>
        <x:v>70</x:v>
      </x:c>
      <x:c r="F175" s="20" t="n">
        <x:f>'参数'!$I$27</x:f>
        <x:v>1.1</x:v>
      </x:c>
      <x:c r="G175" s="19" t="n">
        <x:f>ROUND(V175*X175/'参数'!$B$56,0)</x:f>
        <x:v>75402</x:v>
      </x:c>
      <x:c r="H175" s="19" t="n">
        <x:f>ROUND((AA175+SQRT(AA175^2+4*AA175*'参数'!$B$22*U175))/2,0)</x:f>
        <x:v>2414</x:v>
      </x:c>
      <x:c r="I175" s="19" t="n">
        <x:f>ROUND(Q175*'参数'!$B$23/'参数'!$B$22,0)</x:f>
        <x:v>578</x:v>
      </x:c>
      <x:c r="J175" s="19" t="n">
        <x:f>ROUND(G175*'参数'!$B$50,0)</x:f>
        <x:v>226206</x:v>
      </x:c>
      <x:c r="K175" s="19" t="n">
        <x:f>ROUND(W175*Y175,0)</x:f>
        <x:v>725413</x:v>
      </x:c>
      <x:c r="L175" s="19" t="n">
        <x:f>ROUND((AB175+SQRT(AB175^2+4*AB175*'参数'!$B$22*U175))/2,0)</x:f>
        <x:v>3928</x:v>
      </x:c>
      <x:c r="M175" s="19" t="n">
        <x:f>ROUND(I175*'参数'!$B$24,0)</x:f>
        <x:v>723</x:v>
      </x:c>
      <x:c r="N175" s="19" t="n">
        <x:f>'参数'!$B$9*'参数'!$B$10^(D175-1)</x:f>
        <x:v>4612.3234439544185</x:v>
      </x:c>
      <x:c r="O175" s="19" t="n">
        <x:f>'参数'!$B$18*'参数'!$B$19^(MIN(E175,MAX(1,5*INT(D175/5)))-1)*F175*'参数'!$J$27*P175</x:f>
        <x:v>505.1992720110145</x:v>
      </x:c>
      <x:c r="P175" s="22" t="n">
        <x:f>MIN(1,(D175-1)/19)</x:f>
        <x:v>1</x:v>
      </x:c>
      <x:c r="Q175" s="19" t="n">
        <x:f>INDEX('角色成长'!$F$6:$F$105,D175)+O175*'参数'!$K$21</x:f>
        <x:v>2888.817925231391</x:v>
      </x:c>
      <x:c r="R175" s="19" t="n">
        <x:f>INDEX('角色成长'!$I$6:$I$105,D175)+O175*'参数'!$K$21</x:f>
        <x:v>2483.817925231391</x:v>
      </x:c>
      <x:c r="S175" s="19" t="n">
        <x:f>INDEX('角色成长'!$L$6:$L$105,D175)+O175*'参数'!$K$21</x:f>
        <x:v>2251.817925231391</x:v>
      </x:c>
      <x:c r="T175" s="19" t="n">
        <x:f>(INDEX('角色成长'!$J$6:$J$105,D175)+O175*'参数'!$L$21)*(1+'参数'!$B$40*P175)</x:f>
        <x:v>32789.26622250897</x:v>
      </x:c>
      <x:c r="U175" s="19" t="n">
        <x:f>(INDEX('角色成长'!$K$6:$K$105,D175)+O175*'参数'!$M$21)*(1+'参数'!$B$41*P175)</x:f>
        <x:v>1801.908598621203</x:v>
      </x:c>
      <x:c r="V175" s="19" t="n">
        <x:f>(('参数'!$K$5*(((Q175*(1+'参数'!$B$39*P175))^2/((Q175*(1+'参数'!$B$39*P175))+'参数'!$B$22*(I175)))*(1+'参数'!$B$42*P175)/'参数'!$J$5+((Q175*'参数'!$B$43*(1+'参数'!$B$39*P175))^2/((Q175*'参数'!$B$43*(1+'参数'!$B$39*P175))+'参数'!$B$22*(I175)))/'参数'!$B$44))+(((R175*(1+'参数'!$B$39*P175))^2/((R175*(1+'参数'!$B$39*P175))+'参数'!$B$22*(I175)))*(1+'参数'!$B$42*P175)/'参数'!$J$6+((R175*'参数'!$B$45*(1+'参数'!$B$39*P175))^2/((R175*'参数'!$B$45*(1+'参数'!$B$39*P175))+'参数'!$B$22*(I175)))/'参数'!$B$46)+((S175*(1+'参数'!$B$39*P175))^2/((S175*(1+'参数'!$B$39*P175))+'参数'!$B$22*(I175)))*(1+'参数'!$B$42*P175)/'参数'!$J$7)*(1+'参数'!$B$37*('参数'!$B$38-1))*'参数'!$B$25</x:f>
        <x:v>19485.950543165323</x:v>
      </x:c>
      <x:c r="W175" s="19" t="n">
        <x:f>(('参数'!$K$5*(((Q175*(1+'参数'!$B$39*P175))^2/((Q175*(1+'参数'!$B$39*P175))+'参数'!$B$22*(M175)))*(1+'参数'!$B$42*P175)/'参数'!$J$5+((Q175*'参数'!$B$43*(1+'参数'!$B$39*P175))^2/((Q175*'参数'!$B$43*(1+'参数'!$B$39*P175))+'参数'!$B$22*(M175)))/'参数'!$B$44))+(((R175*(1+'参数'!$B$39*P175))^2/((R175*(1+'参数'!$B$39*P175))+'参数'!$B$22*(M175)))*(1+'参数'!$B$42*P175)/'参数'!$J$6+((R175*'参数'!$B$45*(1+'参数'!$B$39*P175))^2/((R175*'参数'!$B$45*(1+'参数'!$B$39*P175))+'参数'!$B$22*(M175)))/'参数'!$B$46)+((S175*(1+'参数'!$B$39*P175))^2/((S175*(1+'参数'!$B$39*P175))+'参数'!$B$22*(M175)))*(1+'参数'!$B$42*P175)/'参数'!$J$7)*(1+'参数'!$B$37*('参数'!$B$38-1))</x:f>
        <x:v>15008.536958770226</x:v>
      </x:c>
      <x:c r="X175" s="26" t="n">
        <x:f>('参数'!$B$26+'参数'!$B$27*(D175-1)/99)*'参数'!$K$27*AD175</x:f>
        <x:v>17.8</x:v>
      </x:c>
      <x:c r="Y175" s="26" t="n">
        <x:f>('参数'!$B$28+'参数'!$B$29*(D175-1)/99)*'参数'!$K$27*AD175*IF(AE175=1,'参数'!$B$51,1)</x:f>
        <x:v>48.333333333333336</x:v>
      </x:c>
      <x:c r="Z175" s="22" t="n">
        <x:f>MIN('参数'!$B$36,U175/(U175+'参数'!$B$35))</x:f>
        <x:v>0.31057169688081926</x:v>
      </x:c>
      <x:c r="AA175" s="19" t="n">
        <x:f>T175*'参数'!$B$30/('参数'!$B$32*'参数'!$B$33)/(1-Z175)*AC175</x:f>
        <x:v>1248.4521370049831</x:v>
      </x:c>
      <x:c r="AB175" s="19" t="n">
        <x:f>T175*'参数'!$B$31/'参数'!$B$34/(1-Z175)*AC175</x:f>
        <x:v>2496.9042740099662</x:v>
      </x:c>
      <x:c r="AC175" s="20" t="n">
        <x:f>'参数'!$L$27*1</x:f>
        <x:v>1.05</x:v>
      </x:c>
      <x:c r="AD175" s="20" t="n">
        <x:f>1</x:f>
        <x:v>1</x:v>
      </x:c>
      <x:c r="AE175" s="19" t="n">
        <x:f>IF(MOD(B175,12)=0,1,0)</x:f>
        <x:v>0</x:v>
      </x:c>
    </x:row>
    <x:row r="176" ht="22" customHeight="1">
      <x:c r="A176" s="18" t="str">
        <x:v>困难</x:v>
      </x:c>
      <x:c r="B176" s="18" t="n">
        <x:v>51</x:v>
      </x:c>
      <x:c r="C176" s="18" t="n">
        <x:f>ROUNDUP(B176/12,0)</x:f>
        <x:v>5</x:v>
      </x:c>
      <x:c r="D176" s="18" t="n">
        <x:f>ROUND(MAX('参数'!$G$27,E176)+(IF(C176&lt;10,INDEX('参数'!$G$35:$P$35,1,MIN(10,C176+1)),'参数'!$H$27)-MAX('参数'!$G$27,E176))*MOD(B176-1,12)/11,0)</x:f>
        <x:v>71</x:v>
      </x:c>
      <x:c r="E176" s="18" t="n">
        <x:f>INDEX('参数'!$G$35:$P$35,1,C176)</x:f>
        <x:v>70</x:v>
      </x:c>
      <x:c r="F176" s="15" t="n">
        <x:f>'参数'!$I$27</x:f>
        <x:v>1.1</x:v>
      </x:c>
      <x:c r="G176" s="18" t="n">
        <x:f>ROUND(V176*X176/'参数'!$B$56,0)</x:f>
        <x:v>76936</x:v>
      </x:c>
      <x:c r="H176" s="18" t="n">
        <x:f>ROUND((AA176+SQRT(AA176^2+4*AA176*'参数'!$B$22*U176))/2,0)</x:f>
        <x:v>2471</x:v>
      </x:c>
      <x:c r="I176" s="18" t="n">
        <x:f>ROUND(Q176*'参数'!$B$23/'参数'!$B$22,0)</x:f>
        <x:v>588</x:v>
      </x:c>
      <x:c r="J176" s="18" t="n">
        <x:f>ROUND(G176*'参数'!$B$50,0)</x:f>
        <x:v>230808</x:v>
      </x:c>
      <x:c r="K176" s="18" t="n">
        <x:f>ROUND(W176*Y176,0)</x:f>
        <x:v>740884</x:v>
      </x:c>
      <x:c r="L176" s="18" t="n">
        <x:f>ROUND((AB176+SQRT(AB176^2+4*AB176*'参数'!$B$22*U176))/2,0)</x:f>
        <x:v>4024</x:v>
      </x:c>
      <x:c r="M176" s="18" t="n">
        <x:f>ROUND(I176*'参数'!$B$24,0)</x:f>
        <x:v>735</x:v>
      </x:c>
      <x:c r="N176" s="18" t="n">
        <x:f>'参数'!$B$9*'参数'!$B$10^(D176-1)</x:f>
        <x:v>4750.69314727305</x:v>
      </x:c>
      <x:c r="O176" s="18" t="n">
        <x:f>'参数'!$B$18*'参数'!$B$19^(MIN(E176,MAX(1,5*INT(D176/5)))-1)*F176*'参数'!$J$27*P176</x:f>
        <x:v>505.1992720110145</x:v>
      </x:c>
      <x:c r="P176" s="21" t="n">
        <x:f>MIN(1,(D176-1)/19)</x:f>
        <x:v>1</x:v>
      </x:c>
      <x:c r="Q176" s="18" t="n">
        <x:f>INDEX('角色成长'!$F$6:$F$105,D176)+O176*'参数'!$K$21</x:f>
        <x:v>2939.817925231391</x:v>
      </x:c>
      <x:c r="R176" s="18" t="n">
        <x:f>INDEX('角色成长'!$I$6:$I$105,D176)+O176*'参数'!$K$21</x:f>
        <x:v>2519.817925231391</x:v>
      </x:c>
      <x:c r="S176" s="18" t="n">
        <x:f>INDEX('角色成长'!$L$6:$L$105,D176)+O176*'参数'!$K$21</x:f>
        <x:v>2279.817925231391</x:v>
      </x:c>
      <x:c r="T176" s="18" t="n">
        <x:f>(INDEX('角色成长'!$J$6:$J$105,D176)+O176*'参数'!$L$21)*(1+'参数'!$B$40*P176)</x:f>
        <x:v>33525.166222508975</x:v>
      </x:c>
      <x:c r="U176" s="18" t="n">
        <x:f>(INDEX('角色成长'!$K$6:$K$105,D176)+O176*'参数'!$M$21)*(1+'参数'!$B$41*P176)</x:f>
        <x:v>1830.508598621203</x:v>
      </x:c>
      <x:c r="V176" s="18" t="n">
        <x:f>(('参数'!$K$5*(((Q176*(1+'参数'!$B$39*P176))^2/((Q176*(1+'参数'!$B$39*P176))+'参数'!$B$22*(I176)))*(1+'参数'!$B$42*P176)/'参数'!$J$5+((Q176*'参数'!$B$43*(1+'参数'!$B$39*P176))^2/((Q176*'参数'!$B$43*(1+'参数'!$B$39*P176))+'参数'!$B$22*(I176)))/'参数'!$B$44))+(((R176*(1+'参数'!$B$39*P176))^2/((R176*(1+'参数'!$B$39*P176))+'参数'!$B$22*(I176)))*(1+'参数'!$B$42*P176)/'参数'!$J$6+((R176*'参数'!$B$45*(1+'参数'!$B$39*P176))^2/((R176*'参数'!$B$45*(1+'参数'!$B$39*P176))+'参数'!$B$22*(I176)))/'参数'!$B$46)+((S176*(1+'参数'!$B$39*P176))^2/((S176*(1+'参数'!$B$39*P176))+'参数'!$B$22*(I176)))*(1+'参数'!$B$42*P176)/'参数'!$J$7)*(1+'参数'!$B$37*('参数'!$B$38-1))*'参数'!$B$25</x:f>
        <x:v>19808.19683503544</x:v>
      </x:c>
      <x:c r="W176" s="18" t="n">
        <x:f>(('参数'!$K$5*(((Q176*(1+'参数'!$B$39*P176))^2/((Q176*(1+'参数'!$B$39*P176))+'参数'!$B$22*(M176)))*(1+'参数'!$B$42*P176)/'参数'!$J$5+((Q176*'参数'!$B$43*(1+'参数'!$B$39*P176))^2/((Q176*'参数'!$B$43*(1+'参数'!$B$39*P176))+'参数'!$B$22*(M176)))/'参数'!$B$44))+(((R176*(1+'参数'!$B$39*P176))^2/((R176*(1+'参数'!$B$39*P176))+'参数'!$B$22*(M176)))*(1+'参数'!$B$42*P176)/'参数'!$J$6+((R176*'参数'!$B$45*(1+'参数'!$B$39*P176))^2/((R176*'参数'!$B$45*(1+'参数'!$B$39*P176))+'参数'!$B$22*(M176)))/'参数'!$B$46)+((S176*(1+'参数'!$B$39*P176))^2/((S176*(1+'参数'!$B$39*P176))+'参数'!$B$22*(M176)))*(1+'参数'!$B$42*P176)/'参数'!$J$7)*(1+'参数'!$B$37*('参数'!$B$38-1))</x:f>
        <x:v>15258.487655748864</x:v>
      </x:c>
      <x:c r="X176" s="25" t="n">
        <x:f>('参数'!$B$26+'参数'!$B$27*(D176-1)/99)*'参数'!$K$27*AD176</x:f>
        <x:v>17.866666666666667</x:v>
      </x:c>
      <x:c r="Y176" s="25" t="n">
        <x:f>('参数'!$B$28+'参数'!$B$29*(D176-1)/99)*'参数'!$K$27*AD176*IF(AE176=1,'参数'!$B$51,1)</x:f>
        <x:v>48.555555555555564</x:v>
      </x:c>
      <x:c r="Z176" s="21" t="n">
        <x:f>MIN('参数'!$B$36,U176/(U176+'参数'!$B$35))</x:f>
        <x:v>0.31395350296783386</x:v>
      </x:c>
      <x:c r="AA176" s="18" t="n">
        <x:f>T176*'参数'!$B$30/('参数'!$B$32*'参数'!$B$33)/(1-Z176)*AC176</x:f>
        <x:v>1282.7638026691932</x:v>
      </x:c>
      <x:c r="AB176" s="18" t="n">
        <x:f>T176*'参数'!$B$31/'参数'!$B$34/(1-Z176)*AC176</x:f>
        <x:v>2565.527605338386</x:v>
      </x:c>
      <x:c r="AC176" s="15" t="n">
        <x:f>'参数'!$L$27*1</x:f>
        <x:v>1.05</x:v>
      </x:c>
      <x:c r="AD176" s="15" t="n">
        <x:f>1</x:f>
        <x:v>1</x:v>
      </x:c>
      <x:c r="AE176" s="18" t="n">
        <x:f>IF(MOD(B176,12)=0,1,0)</x:f>
        <x:v>0</x:v>
      </x:c>
    </x:row>
    <x:row r="177" ht="22" customHeight="1">
      <x:c r="A177" s="19" t="str">
        <x:v>困难</x:v>
      </x:c>
      <x:c r="B177" s="19" t="n">
        <x:v>52</x:v>
      </x:c>
      <x:c r="C177" s="19" t="n">
        <x:f>ROUNDUP(B177/12,0)</x:f>
        <x:v>5</x:v>
      </x:c>
      <x:c r="D177" s="19" t="n">
        <x:f>ROUND(MAX('参数'!$G$27,E177)+(IF(C177&lt;10,INDEX('参数'!$G$35:$P$35,1,MIN(10,C177+1)),'参数'!$H$27)-MAX('参数'!$G$27,E177))*MOD(B177-1,12)/11,0)</x:f>
        <x:v>71</x:v>
      </x:c>
      <x:c r="E177" s="19" t="n">
        <x:f>INDEX('参数'!$G$35:$P$35,1,C177)</x:f>
        <x:v>70</x:v>
      </x:c>
      <x:c r="F177" s="20" t="n">
        <x:f>'参数'!$I$27</x:f>
        <x:v>1.1</x:v>
      </x:c>
      <x:c r="G177" s="19" t="n">
        <x:f>ROUND(V177*X177/'参数'!$B$56,0)</x:f>
        <x:v>76936</x:v>
      </x:c>
      <x:c r="H177" s="19" t="n">
        <x:f>ROUND((AA177+SQRT(AA177^2+4*AA177*'参数'!$B$22*U177))/2,0)</x:f>
        <x:v>2471</x:v>
      </x:c>
      <x:c r="I177" s="19" t="n">
        <x:f>ROUND(Q177*'参数'!$B$23/'参数'!$B$22,0)</x:f>
        <x:v>588</x:v>
      </x:c>
      <x:c r="J177" s="19" t="n">
        <x:f>ROUND(G177*'参数'!$B$50,0)</x:f>
        <x:v>230808</x:v>
      </x:c>
      <x:c r="K177" s="19" t="n">
        <x:f>ROUND(W177*Y177,0)</x:f>
        <x:v>740884</x:v>
      </x:c>
      <x:c r="L177" s="19" t="n">
        <x:f>ROUND((AB177+SQRT(AB177^2+4*AB177*'参数'!$B$22*U177))/2,0)</x:f>
        <x:v>4024</x:v>
      </x:c>
      <x:c r="M177" s="19" t="n">
        <x:f>ROUND(I177*'参数'!$B$24,0)</x:f>
        <x:v>735</x:v>
      </x:c>
      <x:c r="N177" s="19" t="n">
        <x:f>'参数'!$B$9*'参数'!$B$10^(D177-1)</x:f>
        <x:v>4750.69314727305</x:v>
      </x:c>
      <x:c r="O177" s="19" t="n">
        <x:f>'参数'!$B$18*'参数'!$B$19^(MIN(E177,MAX(1,5*INT(D177/5)))-1)*F177*'参数'!$J$27*P177</x:f>
        <x:v>505.1992720110145</x:v>
      </x:c>
      <x:c r="P177" s="22" t="n">
        <x:f>MIN(1,(D177-1)/19)</x:f>
        <x:v>1</x:v>
      </x:c>
      <x:c r="Q177" s="19" t="n">
        <x:f>INDEX('角色成长'!$F$6:$F$105,D177)+O177*'参数'!$K$21</x:f>
        <x:v>2939.817925231391</x:v>
      </x:c>
      <x:c r="R177" s="19" t="n">
        <x:f>INDEX('角色成长'!$I$6:$I$105,D177)+O177*'参数'!$K$21</x:f>
        <x:v>2519.817925231391</x:v>
      </x:c>
      <x:c r="S177" s="19" t="n">
        <x:f>INDEX('角色成长'!$L$6:$L$105,D177)+O177*'参数'!$K$21</x:f>
        <x:v>2279.817925231391</x:v>
      </x:c>
      <x:c r="T177" s="19" t="n">
        <x:f>(INDEX('角色成长'!$J$6:$J$105,D177)+O177*'参数'!$L$21)*(1+'参数'!$B$40*P177)</x:f>
        <x:v>33525.166222508975</x:v>
      </x:c>
      <x:c r="U177" s="19" t="n">
        <x:f>(INDEX('角色成长'!$K$6:$K$105,D177)+O177*'参数'!$M$21)*(1+'参数'!$B$41*P177)</x:f>
        <x:v>1830.508598621203</x:v>
      </x:c>
      <x:c r="V177" s="19" t="n">
        <x:f>(('参数'!$K$5*(((Q177*(1+'参数'!$B$39*P177))^2/((Q177*(1+'参数'!$B$39*P177))+'参数'!$B$22*(I177)))*(1+'参数'!$B$42*P177)/'参数'!$J$5+((Q177*'参数'!$B$43*(1+'参数'!$B$39*P177))^2/((Q177*'参数'!$B$43*(1+'参数'!$B$39*P177))+'参数'!$B$22*(I177)))/'参数'!$B$44))+(((R177*(1+'参数'!$B$39*P177))^2/((R177*(1+'参数'!$B$39*P177))+'参数'!$B$22*(I177)))*(1+'参数'!$B$42*P177)/'参数'!$J$6+((R177*'参数'!$B$45*(1+'参数'!$B$39*P177))^2/((R177*'参数'!$B$45*(1+'参数'!$B$39*P177))+'参数'!$B$22*(I177)))/'参数'!$B$46)+((S177*(1+'参数'!$B$39*P177))^2/((S177*(1+'参数'!$B$39*P177))+'参数'!$B$22*(I177)))*(1+'参数'!$B$42*P177)/'参数'!$J$7)*(1+'参数'!$B$37*('参数'!$B$38-1))*'参数'!$B$25</x:f>
        <x:v>19808.19683503544</x:v>
      </x:c>
      <x:c r="W177" s="19" t="n">
        <x:f>(('参数'!$K$5*(((Q177*(1+'参数'!$B$39*P177))^2/((Q177*(1+'参数'!$B$39*P177))+'参数'!$B$22*(M177)))*(1+'参数'!$B$42*P177)/'参数'!$J$5+((Q177*'参数'!$B$43*(1+'参数'!$B$39*P177))^2/((Q177*'参数'!$B$43*(1+'参数'!$B$39*P177))+'参数'!$B$22*(M177)))/'参数'!$B$44))+(((R177*(1+'参数'!$B$39*P177))^2/((R177*(1+'参数'!$B$39*P177))+'参数'!$B$22*(M177)))*(1+'参数'!$B$42*P177)/'参数'!$J$6+((R177*'参数'!$B$45*(1+'参数'!$B$39*P177))^2/((R177*'参数'!$B$45*(1+'参数'!$B$39*P177))+'参数'!$B$22*(M177)))/'参数'!$B$46)+((S177*(1+'参数'!$B$39*P177))^2/((S177*(1+'参数'!$B$39*P177))+'参数'!$B$22*(M177)))*(1+'参数'!$B$42*P177)/'参数'!$J$7)*(1+'参数'!$B$37*('参数'!$B$38-1))</x:f>
        <x:v>15258.487655748864</x:v>
      </x:c>
      <x:c r="X177" s="26" t="n">
        <x:f>('参数'!$B$26+'参数'!$B$27*(D177-1)/99)*'参数'!$K$27*AD177</x:f>
        <x:v>17.866666666666667</x:v>
      </x:c>
      <x:c r="Y177" s="26" t="n">
        <x:f>('参数'!$B$28+'参数'!$B$29*(D177-1)/99)*'参数'!$K$27*AD177*IF(AE177=1,'参数'!$B$51,1)</x:f>
        <x:v>48.555555555555564</x:v>
      </x:c>
      <x:c r="Z177" s="22" t="n">
        <x:f>MIN('参数'!$B$36,U177/(U177+'参数'!$B$35))</x:f>
        <x:v>0.31395350296783386</x:v>
      </x:c>
      <x:c r="AA177" s="19" t="n">
        <x:f>T177*'参数'!$B$30/('参数'!$B$32*'参数'!$B$33)/(1-Z177)*AC177</x:f>
        <x:v>1282.7638026691932</x:v>
      </x:c>
      <x:c r="AB177" s="19" t="n">
        <x:f>T177*'参数'!$B$31/'参数'!$B$34/(1-Z177)*AC177</x:f>
        <x:v>2565.527605338386</x:v>
      </x:c>
      <x:c r="AC177" s="20" t="n">
        <x:f>'参数'!$L$27*1</x:f>
        <x:v>1.05</x:v>
      </x:c>
      <x:c r="AD177" s="20" t="n">
        <x:f>1</x:f>
        <x:v>1</x:v>
      </x:c>
      <x:c r="AE177" s="19" t="n">
        <x:f>IF(MOD(B177,12)=0,1,0)</x:f>
        <x:v>0</x:v>
      </x:c>
    </x:row>
    <x:row r="178" ht="22" customHeight="1">
      <x:c r="A178" s="18" t="str">
        <x:v>困难</x:v>
      </x:c>
      <x:c r="B178" s="18" t="n">
        <x:v>53</x:v>
      </x:c>
      <x:c r="C178" s="18" t="n">
        <x:f>ROUNDUP(B178/12,0)</x:f>
        <x:v>5</x:v>
      </x:c>
      <x:c r="D178" s="18" t="n">
        <x:f>ROUND(MAX('参数'!$G$27,E178)+(IF(C178&lt;10,INDEX('参数'!$G$35:$P$35,1,MIN(10,C178+1)),'参数'!$H$27)-MAX('参数'!$G$27,E178))*MOD(B178-1,12)/11,0)</x:f>
        <x:v>72</x:v>
      </x:c>
      <x:c r="E178" s="18" t="n">
        <x:f>INDEX('参数'!$G$35:$P$35,1,C178)</x:f>
        <x:v>70</x:v>
      </x:c>
      <x:c r="F178" s="15" t="n">
        <x:f>'参数'!$I$27</x:f>
        <x:v>1.1</x:v>
      </x:c>
      <x:c r="G178" s="18" t="n">
        <x:f>ROUND(V178*X178/'参数'!$B$56,0)</x:f>
        <x:v>78523</x:v>
      </x:c>
      <x:c r="H178" s="18" t="n">
        <x:f>ROUND((AA178+SQRT(AA178^2+4*AA178*'参数'!$B$22*U178))/2,0)</x:f>
        <x:v>2530</x:v>
      </x:c>
      <x:c r="I178" s="18" t="n">
        <x:f>ROUND(Q178*'参数'!$B$23/'参数'!$B$22,0)</x:f>
        <x:v>599</x:v>
      </x:c>
      <x:c r="J178" s="18" t="n">
        <x:f>ROUND(G178*'参数'!$B$50,0)</x:f>
        <x:v>235569</x:v>
      </x:c>
      <x:c r="K178" s="18" t="n">
        <x:f>ROUND(W178*Y178,0)</x:f>
        <x:v>756726</x:v>
      </x:c>
      <x:c r="L178" s="18" t="n">
        <x:f>ROUND((AB178+SQRT(AB178^2+4*AB178*'参数'!$B$22*U178))/2,0)</x:f>
        <x:v>4124</x:v>
      </x:c>
      <x:c r="M178" s="18" t="n">
        <x:f>ROUND(I178*'参数'!$B$24,0)</x:f>
        <x:v>749</x:v>
      </x:c>
      <x:c r="N178" s="18" t="n">
        <x:f>'参数'!$B$9*'参数'!$B$10^(D178-1)</x:f>
        <x:v>4893.213941691242</x:v>
      </x:c>
      <x:c r="O178" s="18" t="n">
        <x:f>'参数'!$B$18*'参数'!$B$19^(MIN(E178,MAX(1,5*INT(D178/5)))-1)*F178*'参数'!$J$27*P178</x:f>
        <x:v>505.1992720110145</x:v>
      </x:c>
      <x:c r="P178" s="21" t="n">
        <x:f>MIN(1,(D178-1)/19)</x:f>
        <x:v>1</x:v>
      </x:c>
      <x:c r="Q178" s="18" t="n">
        <x:f>INDEX('角色成长'!$F$6:$F$105,D178)+O178*'参数'!$K$21</x:f>
        <x:v>2992.817925231391</x:v>
      </x:c>
      <x:c r="R178" s="18" t="n">
        <x:f>INDEX('角色成长'!$I$6:$I$105,D178)+O178*'参数'!$K$21</x:f>
        <x:v>2557.817925231391</x:v>
      </x:c>
      <x:c r="S178" s="18" t="n">
        <x:f>INDEX('角色成长'!$L$6:$L$105,D178)+O178*'参数'!$K$21</x:f>
        <x:v>2309.817925231391</x:v>
      </x:c>
      <x:c r="T178" s="18" t="n">
        <x:f>(INDEX('角色成长'!$J$6:$J$105,D178)+O178*'参数'!$L$21)*(1+'参数'!$B$40*P178)</x:f>
        <x:v>34287.46622250898</x:v>
      </x:c>
      <x:c r="U178" s="18" t="n">
        <x:f>(INDEX('角色成长'!$K$6:$K$105,D178)+O178*'参数'!$M$21)*(1+'参数'!$B$41*P178)</x:f>
        <x:v>1860.208598621203</x:v>
      </x:c>
      <x:c r="V178" s="18" t="n">
        <x:f>(('参数'!$K$5*(((Q178*(1+'参数'!$B$39*P178))^2/((Q178*(1+'参数'!$B$39*P178))+'参数'!$B$22*(I178)))*(1+'参数'!$B$42*P178)/'参数'!$J$5+((Q178*'参数'!$B$43*(1+'参数'!$B$39*P178))^2/((Q178*'参数'!$B$43*(1+'参数'!$B$39*P178))+'参数'!$B$22*(I178)))/'参数'!$B$44))+(((R178*(1+'参数'!$B$39*P178))^2/((R178*(1+'参数'!$B$39*P178))+'参数'!$B$22*(I178)))*(1+'参数'!$B$42*P178)/'参数'!$J$6+((R178*'参数'!$B$45*(1+'参数'!$B$39*P178))^2/((R178*'参数'!$B$45*(1+'参数'!$B$39*P178))+'参数'!$B$22*(I178)))/'参数'!$B$46)+((S178*(1+'参数'!$B$39*P178))^2/((S178*(1+'参数'!$B$39*P178))+'参数'!$B$22*(I178)))*(1+'参数'!$B$42*P178)/'参数'!$J$7)*(1+'参数'!$B$37*('参数'!$B$38-1))*'参数'!$B$25</x:f>
        <x:v>20141.65106386733</x:v>
      </x:c>
      <x:c r="W178" s="18" t="n">
        <x:f>(('参数'!$K$5*(((Q178*(1+'参数'!$B$39*P178))^2/((Q178*(1+'参数'!$B$39*P178))+'参数'!$B$22*(M178)))*(1+'参数'!$B$42*P178)/'参数'!$J$5+((Q178*'参数'!$B$43*(1+'参数'!$B$39*P178))^2/((Q178*'参数'!$B$43*(1+'参数'!$B$39*P178))+'参数'!$B$22*(M178)))/'参数'!$B$44))+(((R178*(1+'参数'!$B$39*P178))^2/((R178*(1+'参数'!$B$39*P178))+'参数'!$B$22*(M178)))*(1+'参数'!$B$42*P178)/'参数'!$J$6+((R178*'参数'!$B$45*(1+'参数'!$B$39*P178))^2/((R178*'参数'!$B$45*(1+'参数'!$B$39*P178))+'参数'!$B$22*(M178)))/'参数'!$B$46)+((S178*(1+'参数'!$B$39*P178))^2/((S178*(1+'参数'!$B$39*P178))+'参数'!$B$22*(M178)))*(1+'参数'!$B$42*P178)/'参数'!$J$7)*(1+'参数'!$B$37*('参数'!$B$38-1))</x:f>
        <x:v>15513.737212639751</x:v>
      </x:c>
      <x:c r="X178" s="25" t="n">
        <x:f>('参数'!$B$26+'参数'!$B$27*(D178-1)/99)*'参数'!$K$27*AD178</x:f>
        <x:v>17.933333333333337</x:v>
      </x:c>
      <x:c r="Y178" s="25" t="n">
        <x:f>('参数'!$B$28+'参数'!$B$29*(D178-1)/99)*'参数'!$K$27*AD178*IF(AE178=1,'参数'!$B$51,1)</x:f>
        <x:v>48.777777777777786</x:v>
      </x:c>
      <x:c r="Z178" s="21" t="n">
        <x:f>MIN('参数'!$B$36,U178/(U178+'参数'!$B$35))</x:f>
        <x:v>0.3174304407967449</x:v>
      </x:c>
      <x:c r="AA178" s="18" t="n">
        <x:f>T178*'参数'!$B$30/('参数'!$B$32*'参数'!$B$33)/(1-Z178)*AC178</x:f>
        <x:v>1318.6143100074075</x:v>
      </x:c>
      <x:c r="AB178" s="18" t="n">
        <x:f>T178*'参数'!$B$31/'参数'!$B$34/(1-Z178)*AC178</x:f>
        <x:v>2637.2286200148155</x:v>
      </x:c>
      <x:c r="AC178" s="15" t="n">
        <x:f>'参数'!$L$27*1</x:f>
        <x:v>1.05</x:v>
      </x:c>
      <x:c r="AD178" s="15" t="n">
        <x:f>1</x:f>
        <x:v>1</x:v>
      </x:c>
      <x:c r="AE178" s="18" t="n">
        <x:f>IF(MOD(B178,12)=0,1,0)</x:f>
        <x:v>0</x:v>
      </x:c>
    </x:row>
    <x:row r="179" ht="22" customHeight="1">
      <x:c r="A179" s="19" t="str">
        <x:v>困难</x:v>
      </x:c>
      <x:c r="B179" s="19" t="n">
        <x:v>54</x:v>
      </x:c>
      <x:c r="C179" s="19" t="n">
        <x:f>ROUNDUP(B179/12,0)</x:f>
        <x:v>5</x:v>
      </x:c>
      <x:c r="D179" s="19" t="n">
        <x:f>ROUND(MAX('参数'!$G$27,E179)+(IF(C179&lt;10,INDEX('参数'!$G$35:$P$35,1,MIN(10,C179+1)),'参数'!$H$27)-MAX('参数'!$G$27,E179))*MOD(B179-1,12)/11,0)</x:f>
        <x:v>72</x:v>
      </x:c>
      <x:c r="E179" s="19" t="n">
        <x:f>INDEX('参数'!$G$35:$P$35,1,C179)</x:f>
        <x:v>70</x:v>
      </x:c>
      <x:c r="F179" s="20" t="n">
        <x:f>'参数'!$I$27</x:f>
        <x:v>1.1</x:v>
      </x:c>
      <x:c r="G179" s="19" t="n">
        <x:f>ROUND(V179*X179/'参数'!$B$56,0)</x:f>
        <x:v>78523</x:v>
      </x:c>
      <x:c r="H179" s="19" t="n">
        <x:f>ROUND((AA179+SQRT(AA179^2+4*AA179*'参数'!$B$22*U179))/2,0)</x:f>
        <x:v>2530</x:v>
      </x:c>
      <x:c r="I179" s="19" t="n">
        <x:f>ROUND(Q179*'参数'!$B$23/'参数'!$B$22,0)</x:f>
        <x:v>599</x:v>
      </x:c>
      <x:c r="J179" s="19" t="n">
        <x:f>ROUND(G179*'参数'!$B$50,0)</x:f>
        <x:v>235569</x:v>
      </x:c>
      <x:c r="K179" s="19" t="n">
        <x:f>ROUND(W179*Y179,0)</x:f>
        <x:v>756726</x:v>
      </x:c>
      <x:c r="L179" s="19" t="n">
        <x:f>ROUND((AB179+SQRT(AB179^2+4*AB179*'参数'!$B$22*U179))/2,0)</x:f>
        <x:v>4124</x:v>
      </x:c>
      <x:c r="M179" s="19" t="n">
        <x:f>ROUND(I179*'参数'!$B$24,0)</x:f>
        <x:v>749</x:v>
      </x:c>
      <x:c r="N179" s="19" t="n">
        <x:f>'参数'!$B$9*'参数'!$B$10^(D179-1)</x:f>
        <x:v>4893.213941691242</x:v>
      </x:c>
      <x:c r="O179" s="19" t="n">
        <x:f>'参数'!$B$18*'参数'!$B$19^(MIN(E179,MAX(1,5*INT(D179/5)))-1)*F179*'参数'!$J$27*P179</x:f>
        <x:v>505.1992720110145</x:v>
      </x:c>
      <x:c r="P179" s="22" t="n">
        <x:f>MIN(1,(D179-1)/19)</x:f>
        <x:v>1</x:v>
      </x:c>
      <x:c r="Q179" s="19" t="n">
        <x:f>INDEX('角色成长'!$F$6:$F$105,D179)+O179*'参数'!$K$21</x:f>
        <x:v>2992.817925231391</x:v>
      </x:c>
      <x:c r="R179" s="19" t="n">
        <x:f>INDEX('角色成长'!$I$6:$I$105,D179)+O179*'参数'!$K$21</x:f>
        <x:v>2557.817925231391</x:v>
      </x:c>
      <x:c r="S179" s="19" t="n">
        <x:f>INDEX('角色成长'!$L$6:$L$105,D179)+O179*'参数'!$K$21</x:f>
        <x:v>2309.817925231391</x:v>
      </x:c>
      <x:c r="T179" s="19" t="n">
        <x:f>(INDEX('角色成长'!$J$6:$J$105,D179)+O179*'参数'!$L$21)*(1+'参数'!$B$40*P179)</x:f>
        <x:v>34287.46622250898</x:v>
      </x:c>
      <x:c r="U179" s="19" t="n">
        <x:f>(INDEX('角色成长'!$K$6:$K$105,D179)+O179*'参数'!$M$21)*(1+'参数'!$B$41*P179)</x:f>
        <x:v>1860.208598621203</x:v>
      </x:c>
      <x:c r="V179" s="19" t="n">
        <x:f>(('参数'!$K$5*(((Q179*(1+'参数'!$B$39*P179))^2/((Q179*(1+'参数'!$B$39*P179))+'参数'!$B$22*(I179)))*(1+'参数'!$B$42*P179)/'参数'!$J$5+((Q179*'参数'!$B$43*(1+'参数'!$B$39*P179))^2/((Q179*'参数'!$B$43*(1+'参数'!$B$39*P179))+'参数'!$B$22*(I179)))/'参数'!$B$44))+(((R179*(1+'参数'!$B$39*P179))^2/((R179*(1+'参数'!$B$39*P179))+'参数'!$B$22*(I179)))*(1+'参数'!$B$42*P179)/'参数'!$J$6+((R179*'参数'!$B$45*(1+'参数'!$B$39*P179))^2/((R179*'参数'!$B$45*(1+'参数'!$B$39*P179))+'参数'!$B$22*(I179)))/'参数'!$B$46)+((S179*(1+'参数'!$B$39*P179))^2/((S179*(1+'参数'!$B$39*P179))+'参数'!$B$22*(I179)))*(1+'参数'!$B$42*P179)/'参数'!$J$7)*(1+'参数'!$B$37*('参数'!$B$38-1))*'参数'!$B$25</x:f>
        <x:v>20141.65106386733</x:v>
      </x:c>
      <x:c r="W179" s="19" t="n">
        <x:f>(('参数'!$K$5*(((Q179*(1+'参数'!$B$39*P179))^2/((Q179*(1+'参数'!$B$39*P179))+'参数'!$B$22*(M179)))*(1+'参数'!$B$42*P179)/'参数'!$J$5+((Q179*'参数'!$B$43*(1+'参数'!$B$39*P179))^2/((Q179*'参数'!$B$43*(1+'参数'!$B$39*P179))+'参数'!$B$22*(M179)))/'参数'!$B$44))+(((R179*(1+'参数'!$B$39*P179))^2/((R179*(1+'参数'!$B$39*P179))+'参数'!$B$22*(M179)))*(1+'参数'!$B$42*P179)/'参数'!$J$6+((R179*'参数'!$B$45*(1+'参数'!$B$39*P179))^2/((R179*'参数'!$B$45*(1+'参数'!$B$39*P179))+'参数'!$B$22*(M179)))/'参数'!$B$46)+((S179*(1+'参数'!$B$39*P179))^2/((S179*(1+'参数'!$B$39*P179))+'参数'!$B$22*(M179)))*(1+'参数'!$B$42*P179)/'参数'!$J$7)*(1+'参数'!$B$37*('参数'!$B$38-1))</x:f>
        <x:v>15513.737212639751</x:v>
      </x:c>
      <x:c r="X179" s="26" t="n">
        <x:f>('参数'!$B$26+'参数'!$B$27*(D179-1)/99)*'参数'!$K$27*AD179</x:f>
        <x:v>17.933333333333337</x:v>
      </x:c>
      <x:c r="Y179" s="26" t="n">
        <x:f>('参数'!$B$28+'参数'!$B$29*(D179-1)/99)*'参数'!$K$27*AD179*IF(AE179=1,'参数'!$B$51,1)</x:f>
        <x:v>48.777777777777786</x:v>
      </x:c>
      <x:c r="Z179" s="22" t="n">
        <x:f>MIN('参数'!$B$36,U179/(U179+'参数'!$B$35))</x:f>
        <x:v>0.3174304407967449</x:v>
      </x:c>
      <x:c r="AA179" s="19" t="n">
        <x:f>T179*'参数'!$B$30/('参数'!$B$32*'参数'!$B$33)/(1-Z179)*AC179</x:f>
        <x:v>1318.6143100074075</x:v>
      </x:c>
      <x:c r="AB179" s="19" t="n">
        <x:f>T179*'参数'!$B$31/'参数'!$B$34/(1-Z179)*AC179</x:f>
        <x:v>2637.2286200148155</x:v>
      </x:c>
      <x:c r="AC179" s="20" t="n">
        <x:f>'参数'!$L$27*1</x:f>
        <x:v>1.05</x:v>
      </x:c>
      <x:c r="AD179" s="20" t="n">
        <x:f>1</x:f>
        <x:v>1</x:v>
      </x:c>
      <x:c r="AE179" s="19" t="n">
        <x:f>IF(MOD(B179,12)=0,1,0)</x:f>
        <x:v>0</x:v>
      </x:c>
    </x:row>
    <x:row r="180" ht="22" customHeight="1">
      <x:c r="A180" s="18" t="str">
        <x:v>困难</x:v>
      </x:c>
      <x:c r="B180" s="18" t="n">
        <x:v>55</x:v>
      </x:c>
      <x:c r="C180" s="18" t="n">
        <x:f>ROUNDUP(B180/12,0)</x:f>
        <x:v>5</x:v>
      </x:c>
      <x:c r="D180" s="18" t="n">
        <x:f>ROUND(MAX('参数'!$G$27,E180)+(IF(C180&lt;10,INDEX('参数'!$G$35:$P$35,1,MIN(10,C180+1)),'参数'!$H$27)-MAX('参数'!$G$27,E180))*MOD(B180-1,12)/11,0)</x:f>
        <x:v>73</x:v>
      </x:c>
      <x:c r="E180" s="18" t="n">
        <x:f>INDEX('参数'!$G$35:$P$35,1,C180)</x:f>
        <x:v>70</x:v>
      </x:c>
      <x:c r="F180" s="15" t="n">
        <x:f>'参数'!$I$27</x:f>
        <x:v>1.1</x:v>
      </x:c>
      <x:c r="G180" s="18" t="n">
        <x:f>ROUND(V180*X180/'参数'!$B$56,0)</x:f>
        <x:v>80169</x:v>
      </x:c>
      <x:c r="H180" s="18" t="n">
        <x:f>ROUND((AA180+SQRT(AA180^2+4*AA180*'参数'!$B$22*U180))/2,0)</x:f>
        <x:v>2593</x:v>
      </x:c>
      <x:c r="I180" s="18" t="n">
        <x:f>ROUND(Q180*'参数'!$B$23/'参数'!$B$22,0)</x:f>
        <x:v>609</x:v>
      </x:c>
      <x:c r="J180" s="18" t="n">
        <x:f>ROUND(G180*'参数'!$B$50,0)</x:f>
        <x:v>240507</x:v>
      </x:c>
      <x:c r="K180" s="18" t="n">
        <x:f>ROUND(W180*Y180,0)</x:f>
        <x:v>773336</x:v>
      </x:c>
      <x:c r="L180" s="18" t="n">
        <x:f>ROUND((AB180+SQRT(AB180^2+4*AB180*'参数'!$B$22*U180))/2,0)</x:f>
        <x:v>4230</x:v>
      </x:c>
      <x:c r="M180" s="18" t="n">
        <x:f>ROUND(I180*'参数'!$B$24,0)</x:f>
        <x:v>761</x:v>
      </x:c>
      <x:c r="N180" s="18" t="n">
        <x:f>'参数'!$B$9*'参数'!$B$10^(D180-1)</x:f>
        <x:v>5040.01035994198</x:v>
      </x:c>
      <x:c r="O180" s="18" t="n">
        <x:f>'参数'!$B$18*'参数'!$B$19^(MIN(E180,MAX(1,5*INT(D180/5)))-1)*F180*'参数'!$J$27*P180</x:f>
        <x:v>505.1992720110145</x:v>
      </x:c>
      <x:c r="P180" s="21" t="n">
        <x:f>MIN(1,(D180-1)/19)</x:f>
        <x:v>1</x:v>
      </x:c>
      <x:c r="Q180" s="18" t="n">
        <x:f>INDEX('角色成长'!$F$6:$F$105,D180)+O180*'参数'!$K$21</x:f>
        <x:v>3046.817925231391</x:v>
      </x:c>
      <x:c r="R180" s="18" t="n">
        <x:f>INDEX('角色成长'!$I$6:$I$105,D180)+O180*'参数'!$K$21</x:f>
        <x:v>2596.817925231391</x:v>
      </x:c>
      <x:c r="S180" s="18" t="n">
        <x:f>INDEX('角色成长'!$L$6:$L$105,D180)+O180*'参数'!$K$21</x:f>
        <x:v>2339.817925231391</x:v>
      </x:c>
      <x:c r="T180" s="18" t="n">
        <x:f>(INDEX('角色成长'!$J$6:$J$105,D180)+O180*'参数'!$L$21)*(1+'参数'!$B$40*P180)</x:f>
        <x:v>35078.36622250898</x:v>
      </x:c>
      <x:c r="U180" s="18" t="n">
        <x:f>(INDEX('角色成长'!$K$6:$K$105,D180)+O180*'参数'!$M$21)*(1+'参数'!$B$41*P180)</x:f>
        <x:v>1892.108598621203</x:v>
      </x:c>
      <x:c r="V180" s="18" t="n">
        <x:f>(('参数'!$K$5*(((Q180*(1+'参数'!$B$39*P180))^2/((Q180*(1+'参数'!$B$39*P180))+'参数'!$B$22*(I180)))*(1+'参数'!$B$42*P180)/'参数'!$J$5+((Q180*'参数'!$B$43*(1+'参数'!$B$39*P180))^2/((Q180*'参数'!$B$43*(1+'参数'!$B$39*P180))+'参数'!$B$22*(I180)))/'参数'!$B$44))+(((R180*(1+'参数'!$B$39*P180))^2/((R180*(1+'参数'!$B$39*P180))+'参数'!$B$22*(I180)))*(1+'参数'!$B$42*P180)/'参数'!$J$6+((R180*'参数'!$B$45*(1+'参数'!$B$39*P180))^2/((R180*'参数'!$B$45*(1+'参数'!$B$39*P180))+'参数'!$B$22*(I180)))/'参数'!$B$46)+((S180*(1+'参数'!$B$39*P180))^2/((S180*(1+'参数'!$B$39*P180))+'参数'!$B$22*(I180)))*(1+'参数'!$B$42*P180)/'参数'!$J$7)*(1+'参数'!$B$37*('参数'!$B$38-1))*'参数'!$B$25</x:f>
        <x:v>20487.532898469195</x:v>
      </x:c>
      <x:c r="W180" s="18" t="n">
        <x:f>(('参数'!$K$5*(((Q180*(1+'参数'!$B$39*P180))^2/((Q180*(1+'参数'!$B$39*P180))+'参数'!$B$22*(M180)))*(1+'参数'!$B$42*P180)/'参数'!$J$5+((Q180*'参数'!$B$43*(1+'参数'!$B$39*P180))^2/((Q180*'参数'!$B$43*(1+'参数'!$B$39*P180))+'参数'!$B$22*(M180)))/'参数'!$B$44))+(((R180*(1+'参数'!$B$39*P180))^2/((R180*(1+'参数'!$B$39*P180))+'参数'!$B$22*(M180)))*(1+'参数'!$B$42*P180)/'参数'!$J$6+((R180*'参数'!$B$45*(1+'参数'!$B$39*P180))^2/((R180*'参数'!$B$45*(1+'参数'!$B$39*P180))+'参数'!$B$22*(M180)))/'参数'!$B$46)+((S180*(1+'参数'!$B$39*P180))^2/((S180*(1+'参数'!$B$39*P180))+'参数'!$B$22*(M180)))*(1+'参数'!$B$42*P180)/'参数'!$J$7)*(1+'参数'!$B$37*('参数'!$B$38-1))</x:f>
        <x:v>15782.372361881857</x:v>
      </x:c>
      <x:c r="X180" s="25" t="n">
        <x:f>('参数'!$B$26+'参数'!$B$27*(D180-1)/99)*'参数'!$K$27*AD180</x:f>
        <x:v>18</x:v>
      </x:c>
      <x:c r="Y180" s="25" t="n">
        <x:f>('参数'!$B$28+'参数'!$B$29*(D180-1)/99)*'参数'!$K$27*AD180*IF(AE180=1,'参数'!$B$51,1)</x:f>
        <x:v>49.00000000000001</x:v>
      </x:c>
      <x:c r="Z180" s="21" t="n">
        <x:f>MIN('参数'!$B$36,U180/(U180+'参数'!$B$35))</x:f>
        <x:v>0.32112588676046644</x:v>
      </x:c>
      <x:c r="AA180" s="18" t="n">
        <x:f>T180*'参数'!$B$30/('参数'!$B$32*'参数'!$B$33)/(1-Z180)*AC180</x:f>
        <x:v>1356.373877546814</x:v>
      </x:c>
      <x:c r="AB180" s="18" t="n">
        <x:f>T180*'参数'!$B$31/'参数'!$B$34/(1-Z180)*AC180</x:f>
        <x:v>2712.747755093628</x:v>
      </x:c>
      <x:c r="AC180" s="15" t="n">
        <x:f>'参数'!$L$27*1</x:f>
        <x:v>1.05</x:v>
      </x:c>
      <x:c r="AD180" s="15" t="n">
        <x:f>1</x:f>
        <x:v>1</x:v>
      </x:c>
      <x:c r="AE180" s="18" t="n">
        <x:f>IF(MOD(B180,12)=0,1,0)</x:f>
        <x:v>0</x:v>
      </x:c>
    </x:row>
    <x:row r="181" ht="22" customHeight="1">
      <x:c r="A181" s="19" t="str">
        <x:v>困难</x:v>
      </x:c>
      <x:c r="B181" s="19" t="n">
        <x:v>56</x:v>
      </x:c>
      <x:c r="C181" s="19" t="n">
        <x:f>ROUNDUP(B181/12,0)</x:f>
        <x:v>5</x:v>
      </x:c>
      <x:c r="D181" s="19" t="n">
        <x:f>ROUND(MAX('参数'!$G$27,E181)+(IF(C181&lt;10,INDEX('参数'!$G$35:$P$35,1,MIN(10,C181+1)),'参数'!$H$27)-MAX('参数'!$G$27,E181))*MOD(B181-1,12)/11,0)</x:f>
        <x:v>73</x:v>
      </x:c>
      <x:c r="E181" s="19" t="n">
        <x:f>INDEX('参数'!$G$35:$P$35,1,C181)</x:f>
        <x:v>70</x:v>
      </x:c>
      <x:c r="F181" s="20" t="n">
        <x:f>'参数'!$I$27</x:f>
        <x:v>1.1</x:v>
      </x:c>
      <x:c r="G181" s="19" t="n">
        <x:f>ROUND(V181*X181/'参数'!$B$56,0)</x:f>
        <x:v>80169</x:v>
      </x:c>
      <x:c r="H181" s="19" t="n">
        <x:f>ROUND((AA181+SQRT(AA181^2+4*AA181*'参数'!$B$22*U181))/2,0)</x:f>
        <x:v>2593</x:v>
      </x:c>
      <x:c r="I181" s="19" t="n">
        <x:f>ROUND(Q181*'参数'!$B$23/'参数'!$B$22,0)</x:f>
        <x:v>609</x:v>
      </x:c>
      <x:c r="J181" s="19" t="n">
        <x:f>ROUND(G181*'参数'!$B$50,0)</x:f>
        <x:v>240507</x:v>
      </x:c>
      <x:c r="K181" s="19" t="n">
        <x:f>ROUND(W181*Y181,0)</x:f>
        <x:v>773336</x:v>
      </x:c>
      <x:c r="L181" s="19" t="n">
        <x:f>ROUND((AB181+SQRT(AB181^2+4*AB181*'参数'!$B$22*U181))/2,0)</x:f>
        <x:v>4230</x:v>
      </x:c>
      <x:c r="M181" s="19" t="n">
        <x:f>ROUND(I181*'参数'!$B$24,0)</x:f>
        <x:v>761</x:v>
      </x:c>
      <x:c r="N181" s="19" t="n">
        <x:f>'参数'!$B$9*'参数'!$B$10^(D181-1)</x:f>
        <x:v>5040.01035994198</x:v>
      </x:c>
      <x:c r="O181" s="19" t="n">
        <x:f>'参数'!$B$18*'参数'!$B$19^(MIN(E181,MAX(1,5*INT(D181/5)))-1)*F181*'参数'!$J$27*P181</x:f>
        <x:v>505.1992720110145</x:v>
      </x:c>
      <x:c r="P181" s="22" t="n">
        <x:f>MIN(1,(D181-1)/19)</x:f>
        <x:v>1</x:v>
      </x:c>
      <x:c r="Q181" s="19" t="n">
        <x:f>INDEX('角色成长'!$F$6:$F$105,D181)+O181*'参数'!$K$21</x:f>
        <x:v>3046.817925231391</x:v>
      </x:c>
      <x:c r="R181" s="19" t="n">
        <x:f>INDEX('角色成长'!$I$6:$I$105,D181)+O181*'参数'!$K$21</x:f>
        <x:v>2596.817925231391</x:v>
      </x:c>
      <x:c r="S181" s="19" t="n">
        <x:f>INDEX('角色成长'!$L$6:$L$105,D181)+O181*'参数'!$K$21</x:f>
        <x:v>2339.817925231391</x:v>
      </x:c>
      <x:c r="T181" s="19" t="n">
        <x:f>(INDEX('角色成长'!$J$6:$J$105,D181)+O181*'参数'!$L$21)*(1+'参数'!$B$40*P181)</x:f>
        <x:v>35078.36622250898</x:v>
      </x:c>
      <x:c r="U181" s="19" t="n">
        <x:f>(INDEX('角色成长'!$K$6:$K$105,D181)+O181*'参数'!$M$21)*(1+'参数'!$B$41*P181)</x:f>
        <x:v>1892.108598621203</x:v>
      </x:c>
      <x:c r="V181" s="19" t="n">
        <x:f>(('参数'!$K$5*(((Q181*(1+'参数'!$B$39*P181))^2/((Q181*(1+'参数'!$B$39*P181))+'参数'!$B$22*(I181)))*(1+'参数'!$B$42*P181)/'参数'!$J$5+((Q181*'参数'!$B$43*(1+'参数'!$B$39*P181))^2/((Q181*'参数'!$B$43*(1+'参数'!$B$39*P181))+'参数'!$B$22*(I181)))/'参数'!$B$44))+(((R181*(1+'参数'!$B$39*P181))^2/((R181*(1+'参数'!$B$39*P181))+'参数'!$B$22*(I181)))*(1+'参数'!$B$42*P181)/'参数'!$J$6+((R181*'参数'!$B$45*(1+'参数'!$B$39*P181))^2/((R181*'参数'!$B$45*(1+'参数'!$B$39*P181))+'参数'!$B$22*(I181)))/'参数'!$B$46)+((S181*(1+'参数'!$B$39*P181))^2/((S181*(1+'参数'!$B$39*P181))+'参数'!$B$22*(I181)))*(1+'参数'!$B$42*P181)/'参数'!$J$7)*(1+'参数'!$B$37*('参数'!$B$38-1))*'参数'!$B$25</x:f>
        <x:v>20487.532898469195</x:v>
      </x:c>
      <x:c r="W181" s="19" t="n">
        <x:f>(('参数'!$K$5*(((Q181*(1+'参数'!$B$39*P181))^2/((Q181*(1+'参数'!$B$39*P181))+'参数'!$B$22*(M181)))*(1+'参数'!$B$42*P181)/'参数'!$J$5+((Q181*'参数'!$B$43*(1+'参数'!$B$39*P181))^2/((Q181*'参数'!$B$43*(1+'参数'!$B$39*P181))+'参数'!$B$22*(M181)))/'参数'!$B$44))+(((R181*(1+'参数'!$B$39*P181))^2/((R181*(1+'参数'!$B$39*P181))+'参数'!$B$22*(M181)))*(1+'参数'!$B$42*P181)/'参数'!$J$6+((R181*'参数'!$B$45*(1+'参数'!$B$39*P181))^2/((R181*'参数'!$B$45*(1+'参数'!$B$39*P181))+'参数'!$B$22*(M181)))/'参数'!$B$46)+((S181*(1+'参数'!$B$39*P181))^2/((S181*(1+'参数'!$B$39*P181))+'参数'!$B$22*(M181)))*(1+'参数'!$B$42*P181)/'参数'!$J$7)*(1+'参数'!$B$37*('参数'!$B$38-1))</x:f>
        <x:v>15782.372361881857</x:v>
      </x:c>
      <x:c r="X181" s="26" t="n">
        <x:f>('参数'!$B$26+'参数'!$B$27*(D181-1)/99)*'参数'!$K$27*AD181</x:f>
        <x:v>18</x:v>
      </x:c>
      <x:c r="Y181" s="26" t="n">
        <x:f>('参数'!$B$28+'参数'!$B$29*(D181-1)/99)*'参数'!$K$27*AD181*IF(AE181=1,'参数'!$B$51,1)</x:f>
        <x:v>49.00000000000001</x:v>
      </x:c>
      <x:c r="Z181" s="22" t="n">
        <x:f>MIN('参数'!$B$36,U181/(U181+'参数'!$B$35))</x:f>
        <x:v>0.32112588676046644</x:v>
      </x:c>
      <x:c r="AA181" s="19" t="n">
        <x:f>T181*'参数'!$B$30/('参数'!$B$32*'参数'!$B$33)/(1-Z181)*AC181</x:f>
        <x:v>1356.373877546814</x:v>
      </x:c>
      <x:c r="AB181" s="19" t="n">
        <x:f>T181*'参数'!$B$31/'参数'!$B$34/(1-Z181)*AC181</x:f>
        <x:v>2712.747755093628</x:v>
      </x:c>
      <x:c r="AC181" s="20" t="n">
        <x:f>'参数'!$L$27*1</x:f>
        <x:v>1.05</x:v>
      </x:c>
      <x:c r="AD181" s="20" t="n">
        <x:f>1</x:f>
        <x:v>1</x:v>
      </x:c>
      <x:c r="AE181" s="19" t="n">
        <x:f>IF(MOD(B181,12)=0,1,0)</x:f>
        <x:v>0</x:v>
      </x:c>
    </x:row>
    <x:row r="182" ht="22" customHeight="1">
      <x:c r="A182" s="18" t="str">
        <x:v>困难</x:v>
      </x:c>
      <x:c r="B182" s="18" t="n">
        <x:v>57</x:v>
      </x:c>
      <x:c r="C182" s="18" t="n">
        <x:f>ROUNDUP(B182/12,0)</x:f>
        <x:v>5</x:v>
      </x:c>
      <x:c r="D182" s="18" t="n">
        <x:f>ROUND(MAX('参数'!$G$27,E182)+(IF(C182&lt;10,INDEX('参数'!$G$35:$P$35,1,MIN(10,C182+1)),'参数'!$H$27)-MAX('参数'!$G$27,E182))*MOD(B182-1,12)/11,0)</x:f>
        <x:v>74</x:v>
      </x:c>
      <x:c r="E182" s="18" t="n">
        <x:f>INDEX('参数'!$G$35:$P$35,1,C182)</x:f>
        <x:v>70</x:v>
      </x:c>
      <x:c r="F182" s="15" t="n">
        <x:f>'参数'!$I$27</x:f>
        <x:v>1.1</x:v>
      </x:c>
      <x:c r="G182" s="18" t="n">
        <x:f>ROUND(V182*X182/'参数'!$B$56,0)</x:f>
        <x:v>81844</x:v>
      </x:c>
      <x:c r="H182" s="18" t="n">
        <x:f>ROUND((AA182+SQRT(AA182^2+4*AA182*'参数'!$B$22*U182))/2,0)</x:f>
        <x:v>2658</x:v>
      </x:c>
      <x:c r="I182" s="18" t="n">
        <x:f>ROUND(Q182*'参数'!$B$23/'参数'!$B$22,0)</x:f>
        <x:v>621</x:v>
      </x:c>
      <x:c r="J182" s="18" t="n">
        <x:f>ROUND(G182*'参数'!$B$50,0)</x:f>
        <x:v>245532</x:v>
      </x:c>
      <x:c r="K182" s="18" t="n">
        <x:f>ROUND(W182*Y182,0)</x:f>
        <x:v>790100</x:v>
      </x:c>
      <x:c r="L182" s="18" t="n">
        <x:f>ROUND((AB182+SQRT(AB182^2+4*AB182*'参数'!$B$22*U182))/2,0)</x:f>
        <x:v>4338</x:v>
      </x:c>
      <x:c r="M182" s="18" t="n">
        <x:f>ROUND(I182*'参数'!$B$24,0)</x:f>
        <x:v>776</x:v>
      </x:c>
      <x:c r="N182" s="18" t="n">
        <x:f>'参数'!$B$9*'参数'!$B$10^(D182-1)</x:f>
        <x:v>5191.210670740239</x:v>
      </x:c>
      <x:c r="O182" s="18" t="n">
        <x:f>'参数'!$B$18*'参数'!$B$19^(MIN(E182,MAX(1,5*INT(D182/5)))-1)*F182*'参数'!$J$27*P182</x:f>
        <x:v>505.1992720110145</x:v>
      </x:c>
      <x:c r="P182" s="21" t="n">
        <x:f>MIN(1,(D182-1)/19)</x:f>
        <x:v>1</x:v>
      </x:c>
      <x:c r="Q182" s="18" t="n">
        <x:f>INDEX('角色成长'!$F$6:$F$105,D182)+O182*'参数'!$K$21</x:f>
        <x:v>3102.817925231391</x:v>
      </x:c>
      <x:c r="R182" s="18" t="n">
        <x:f>INDEX('角色成长'!$I$6:$I$105,D182)+O182*'参数'!$K$21</x:f>
        <x:v>2637.817925231391</x:v>
      </x:c>
      <x:c r="S182" s="18" t="n">
        <x:f>INDEX('角色成长'!$L$6:$L$105,D182)+O182*'参数'!$K$21</x:f>
        <x:v>2370.817925231391</x:v>
      </x:c>
      <x:c r="T182" s="18" t="n">
        <x:f>(INDEX('角色成长'!$J$6:$J$105,D182)+O182*'参数'!$L$21)*(1+'参数'!$B$40*P182)</x:f>
        <x:v>35896.76622250897</x:v>
      </x:c>
      <x:c r="U182" s="18" t="n">
        <x:f>(INDEX('角色成长'!$K$6:$K$105,D182)+O182*'参数'!$M$21)*(1+'参数'!$B$41*P182)</x:f>
        <x:v>1924.008598621203</x:v>
      </x:c>
      <x:c r="V182" s="18" t="n">
        <x:f>(('参数'!$K$5*(((Q182*(1+'参数'!$B$39*P182))^2/((Q182*(1+'参数'!$B$39*P182))+'参数'!$B$22*(I182)))*(1+'参数'!$B$42*P182)/'参数'!$J$5+((Q182*'参数'!$B$43*(1+'参数'!$B$39*P182))^2/((Q182*'参数'!$B$43*(1+'参数'!$B$39*P182))+'参数'!$B$22*(I182)))/'参数'!$B$44))+(((R182*(1+'参数'!$B$39*P182))^2/((R182*(1+'参数'!$B$39*P182))+'参数'!$B$22*(I182)))*(1+'参数'!$B$42*P182)/'参数'!$J$6+((R182*'参数'!$B$45*(1+'参数'!$B$39*P182))^2/((R182*'参数'!$B$45*(1+'参数'!$B$39*P182))+'参数'!$B$22*(I182)))/'参数'!$B$46)+((S182*(1+'参数'!$B$39*P182))^2/((S182*(1+'参数'!$B$39*P182))+'参数'!$B$22*(I182)))*(1+'参数'!$B$42*P182)/'参数'!$J$7)*(1+'参数'!$B$37*('参数'!$B$38-1))*'参数'!$B$25</x:f>
        <x:v>20838.42753950179</x:v>
      </x:c>
      <x:c r="W182" s="18" t="n">
        <x:f>(('参数'!$K$5*(((Q182*(1+'参数'!$B$39*P182))^2/((Q182*(1+'参数'!$B$39*P182))+'参数'!$B$22*(M182)))*(1+'参数'!$B$42*P182)/'参数'!$J$5+((Q182*'参数'!$B$43*(1+'参数'!$B$39*P182))^2/((Q182*'参数'!$B$43*(1+'参数'!$B$39*P182))+'参数'!$B$22*(M182)))/'参数'!$B$44))+(((R182*(1+'参数'!$B$39*P182))^2/((R182*(1+'参数'!$B$39*P182))+'参数'!$B$22*(M182)))*(1+'参数'!$B$42*P182)/'参数'!$J$6+((R182*'参数'!$B$45*(1+'参数'!$B$39*P182))^2/((R182*'参数'!$B$45*(1+'参数'!$B$39*P182))+'参数'!$B$22*(M182)))/'参数'!$B$46)+((S182*(1+'参数'!$B$39*P182))^2/((S182*(1+'参数'!$B$39*P182))+'参数'!$B$22*(M182)))*(1+'参数'!$B$42*P182)/'参数'!$J$7)*(1+'参数'!$B$37*('参数'!$B$38-1))</x:f>
        <x:v>16051.697086567003</x:v>
      </x:c>
      <x:c r="X182" s="25" t="n">
        <x:f>('参数'!$B$26+'参数'!$B$27*(D182-1)/99)*'参数'!$K$27*AD182</x:f>
        <x:v>18.066666666666666</x:v>
      </x:c>
      <x:c r="Y182" s="25" t="n">
        <x:f>('参数'!$B$28+'参数'!$B$29*(D182-1)/99)*'参数'!$K$27*AD182*IF(AE182=1,'参数'!$B$51,1)</x:f>
        <x:v>49.22222222222223</x:v>
      </x:c>
      <x:c r="Z182" s="21" t="n">
        <x:f>MIN('参数'!$B$36,U182/(U182+'参数'!$B$35))</x:f>
        <x:v>0.3247815337521641</x:v>
      </x:c>
      <x:c r="AA182" s="18" t="n">
        <x:f>T182*'参数'!$B$30/('参数'!$B$32*'参数'!$B$33)/(1-Z182)*AC182</x:f>
        <x:v>1395.5336834567513</x:v>
      </x:c>
      <x:c r="AB182" s="18" t="n">
        <x:f>T182*'参数'!$B$31/'参数'!$B$34/(1-Z182)*AC182</x:f>
        <x:v>2791.0673669135026</x:v>
      </x:c>
      <x:c r="AC182" s="15" t="n">
        <x:f>'参数'!$L$27*1</x:f>
        <x:v>1.05</x:v>
      </x:c>
      <x:c r="AD182" s="15" t="n">
        <x:f>1</x:f>
        <x:v>1</x:v>
      </x:c>
      <x:c r="AE182" s="18" t="n">
        <x:f>IF(MOD(B182,12)=0,1,0)</x:f>
        <x:v>0</x:v>
      </x:c>
    </x:row>
    <x:row r="183" ht="22" customHeight="1">
      <x:c r="A183" s="19" t="str">
        <x:v>困难</x:v>
      </x:c>
      <x:c r="B183" s="19" t="n">
        <x:v>58</x:v>
      </x:c>
      <x:c r="C183" s="19" t="n">
        <x:f>ROUNDUP(B183/12,0)</x:f>
        <x:v>5</x:v>
      </x:c>
      <x:c r="D183" s="19" t="n">
        <x:f>ROUND(MAX('参数'!$G$27,E183)+(IF(C183&lt;10,INDEX('参数'!$G$35:$P$35,1,MIN(10,C183+1)),'参数'!$H$27)-MAX('参数'!$G$27,E183))*MOD(B183-1,12)/11,0)</x:f>
        <x:v>74</x:v>
      </x:c>
      <x:c r="E183" s="19" t="n">
        <x:f>INDEX('参数'!$G$35:$P$35,1,C183)</x:f>
        <x:v>70</x:v>
      </x:c>
      <x:c r="F183" s="20" t="n">
        <x:f>'参数'!$I$27</x:f>
        <x:v>1.1</x:v>
      </x:c>
      <x:c r="G183" s="19" t="n">
        <x:f>ROUND(V183*X183/'参数'!$B$56,0)</x:f>
        <x:v>81844</x:v>
      </x:c>
      <x:c r="H183" s="19" t="n">
        <x:f>ROUND((AA183+SQRT(AA183^2+4*AA183*'参数'!$B$22*U183))/2,0)</x:f>
        <x:v>2658</x:v>
      </x:c>
      <x:c r="I183" s="19" t="n">
        <x:f>ROUND(Q183*'参数'!$B$23/'参数'!$B$22,0)</x:f>
        <x:v>621</x:v>
      </x:c>
      <x:c r="J183" s="19" t="n">
        <x:f>ROUND(G183*'参数'!$B$50,0)</x:f>
        <x:v>245532</x:v>
      </x:c>
      <x:c r="K183" s="19" t="n">
        <x:f>ROUND(W183*Y183,0)</x:f>
        <x:v>790100</x:v>
      </x:c>
      <x:c r="L183" s="19" t="n">
        <x:f>ROUND((AB183+SQRT(AB183^2+4*AB183*'参数'!$B$22*U183))/2,0)</x:f>
        <x:v>4338</x:v>
      </x:c>
      <x:c r="M183" s="19" t="n">
        <x:f>ROUND(I183*'参数'!$B$24,0)</x:f>
        <x:v>776</x:v>
      </x:c>
      <x:c r="N183" s="19" t="n">
        <x:f>'参数'!$B$9*'参数'!$B$10^(D183-1)</x:f>
        <x:v>5191.210670740239</x:v>
      </x:c>
      <x:c r="O183" s="19" t="n">
        <x:f>'参数'!$B$18*'参数'!$B$19^(MIN(E183,MAX(1,5*INT(D183/5)))-1)*F183*'参数'!$J$27*P183</x:f>
        <x:v>505.1992720110145</x:v>
      </x:c>
      <x:c r="P183" s="22" t="n">
        <x:f>MIN(1,(D183-1)/19)</x:f>
        <x:v>1</x:v>
      </x:c>
      <x:c r="Q183" s="19" t="n">
        <x:f>INDEX('角色成长'!$F$6:$F$105,D183)+O183*'参数'!$K$21</x:f>
        <x:v>3102.817925231391</x:v>
      </x:c>
      <x:c r="R183" s="19" t="n">
        <x:f>INDEX('角色成长'!$I$6:$I$105,D183)+O183*'参数'!$K$21</x:f>
        <x:v>2637.817925231391</x:v>
      </x:c>
      <x:c r="S183" s="19" t="n">
        <x:f>INDEX('角色成长'!$L$6:$L$105,D183)+O183*'参数'!$K$21</x:f>
        <x:v>2370.817925231391</x:v>
      </x:c>
      <x:c r="T183" s="19" t="n">
        <x:f>(INDEX('角色成长'!$J$6:$J$105,D183)+O183*'参数'!$L$21)*(1+'参数'!$B$40*P183)</x:f>
        <x:v>35896.76622250897</x:v>
      </x:c>
      <x:c r="U183" s="19" t="n">
        <x:f>(INDEX('角色成长'!$K$6:$K$105,D183)+O183*'参数'!$M$21)*(1+'参数'!$B$41*P183)</x:f>
        <x:v>1924.008598621203</x:v>
      </x:c>
      <x:c r="V183" s="19" t="n">
        <x:f>(('参数'!$K$5*(((Q183*(1+'参数'!$B$39*P183))^2/((Q183*(1+'参数'!$B$39*P183))+'参数'!$B$22*(I183)))*(1+'参数'!$B$42*P183)/'参数'!$J$5+((Q183*'参数'!$B$43*(1+'参数'!$B$39*P183))^2/((Q183*'参数'!$B$43*(1+'参数'!$B$39*P183))+'参数'!$B$22*(I183)))/'参数'!$B$44))+(((R183*(1+'参数'!$B$39*P183))^2/((R183*(1+'参数'!$B$39*P183))+'参数'!$B$22*(I183)))*(1+'参数'!$B$42*P183)/'参数'!$J$6+((R183*'参数'!$B$45*(1+'参数'!$B$39*P183))^2/((R183*'参数'!$B$45*(1+'参数'!$B$39*P183))+'参数'!$B$22*(I183)))/'参数'!$B$46)+((S183*(1+'参数'!$B$39*P183))^2/((S183*(1+'参数'!$B$39*P183))+'参数'!$B$22*(I183)))*(1+'参数'!$B$42*P183)/'参数'!$J$7)*(1+'参数'!$B$37*('参数'!$B$38-1))*'参数'!$B$25</x:f>
        <x:v>20838.42753950179</x:v>
      </x:c>
      <x:c r="W183" s="19" t="n">
        <x:f>(('参数'!$K$5*(((Q183*(1+'参数'!$B$39*P183))^2/((Q183*(1+'参数'!$B$39*P183))+'参数'!$B$22*(M183)))*(1+'参数'!$B$42*P183)/'参数'!$J$5+((Q183*'参数'!$B$43*(1+'参数'!$B$39*P183))^2/((Q183*'参数'!$B$43*(1+'参数'!$B$39*P183))+'参数'!$B$22*(M183)))/'参数'!$B$44))+(((R183*(1+'参数'!$B$39*P183))^2/((R183*(1+'参数'!$B$39*P183))+'参数'!$B$22*(M183)))*(1+'参数'!$B$42*P183)/'参数'!$J$6+((R183*'参数'!$B$45*(1+'参数'!$B$39*P183))^2/((R183*'参数'!$B$45*(1+'参数'!$B$39*P183))+'参数'!$B$22*(M183)))/'参数'!$B$46)+((S183*(1+'参数'!$B$39*P183))^2/((S183*(1+'参数'!$B$39*P183))+'参数'!$B$22*(M183)))*(1+'参数'!$B$42*P183)/'参数'!$J$7)*(1+'参数'!$B$37*('参数'!$B$38-1))</x:f>
        <x:v>16051.697086567003</x:v>
      </x:c>
      <x:c r="X183" s="26" t="n">
        <x:f>('参数'!$B$26+'参数'!$B$27*(D183-1)/99)*'参数'!$K$27*AD183</x:f>
        <x:v>18.066666666666666</x:v>
      </x:c>
      <x:c r="Y183" s="26" t="n">
        <x:f>('参数'!$B$28+'参数'!$B$29*(D183-1)/99)*'参数'!$K$27*AD183*IF(AE183=1,'参数'!$B$51,1)</x:f>
        <x:v>49.22222222222223</x:v>
      </x:c>
      <x:c r="Z183" s="22" t="n">
        <x:f>MIN('参数'!$B$36,U183/(U183+'参数'!$B$35))</x:f>
        <x:v>0.3247815337521641</x:v>
      </x:c>
      <x:c r="AA183" s="19" t="n">
        <x:f>T183*'参数'!$B$30/('参数'!$B$32*'参数'!$B$33)/(1-Z183)*AC183</x:f>
        <x:v>1395.5336834567513</x:v>
      </x:c>
      <x:c r="AB183" s="19" t="n">
        <x:f>T183*'参数'!$B$31/'参数'!$B$34/(1-Z183)*AC183</x:f>
        <x:v>2791.0673669135026</x:v>
      </x:c>
      <x:c r="AC183" s="20" t="n">
        <x:f>'参数'!$L$27*1</x:f>
        <x:v>1.05</x:v>
      </x:c>
      <x:c r="AD183" s="20" t="n">
        <x:f>1</x:f>
        <x:v>1</x:v>
      </x:c>
      <x:c r="AE183" s="19" t="n">
        <x:f>IF(MOD(B183,12)=0,1,0)</x:f>
        <x:v>0</x:v>
      </x:c>
    </x:row>
    <x:row r="184" ht="22" customHeight="1">
      <x:c r="A184" s="18" t="str">
        <x:v>困难</x:v>
      </x:c>
      <x:c r="B184" s="18" t="n">
        <x:v>59</x:v>
      </x:c>
      <x:c r="C184" s="18" t="n">
        <x:f>ROUNDUP(B184/12,0)</x:f>
        <x:v>5</x:v>
      </x:c>
      <x:c r="D184" s="18" t="n">
        <x:f>ROUND(MAX('参数'!$G$27,E184)+(IF(C184&lt;10,INDEX('参数'!$G$35:$P$35,1,MIN(10,C184+1)),'参数'!$H$27)-MAX('参数'!$G$27,E184))*MOD(B184-1,12)/11,0)</x:f>
        <x:v>75</x:v>
      </x:c>
      <x:c r="E184" s="18" t="n">
        <x:f>INDEX('参数'!$G$35:$P$35,1,C184)</x:f>
        <x:v>70</x:v>
      </x:c>
      <x:c r="F184" s="15" t="n">
        <x:f>'参数'!$I$27</x:f>
        <x:v>1.1</x:v>
      </x:c>
      <x:c r="G184" s="18" t="n">
        <x:f>ROUND(V184*X184/'参数'!$B$56,0)</x:f>
        <x:v>83631</x:v>
      </x:c>
      <x:c r="H184" s="18" t="n">
        <x:f>ROUND((AA184+SQRT(AA184^2+4*AA184*'参数'!$B$22*U184))/2,0)</x:f>
        <x:v>2726</x:v>
      </x:c>
      <x:c r="I184" s="18" t="n">
        <x:f>ROUND(Q184*'参数'!$B$23/'参数'!$B$22,0)</x:f>
        <x:v>632</x:v>
      </x:c>
      <x:c r="J184" s="18" t="n">
        <x:f>ROUND(G184*'参数'!$B$50,0)</x:f>
        <x:v>250893</x:v>
      </x:c>
      <x:c r="K184" s="18" t="n">
        <x:f>ROUND(W184*Y184,0)</x:f>
        <x:v>807986</x:v>
      </x:c>
      <x:c r="L184" s="18" t="n">
        <x:f>ROUND((AB184+SQRT(AB184^2+4*AB184*'参数'!$B$22*U184))/2,0)</x:f>
        <x:v>4452</x:v>
      </x:c>
      <x:c r="M184" s="18" t="n">
        <x:f>ROUND(I184*'参数'!$B$24,0)</x:f>
        <x:v>790</x:v>
      </x:c>
      <x:c r="N184" s="18" t="n">
        <x:f>'参数'!$B$9*'参数'!$B$10^(D184-1)</x:f>
        <x:v>5346.946990862446</x:v>
      </x:c>
      <x:c r="O184" s="18" t="n">
        <x:f>'参数'!$B$18*'参数'!$B$19^(MIN(E184,MAX(1,5*INT(D184/5)))-1)*F184*'参数'!$J$27*P184</x:f>
        <x:v>505.1992720110145</x:v>
      </x:c>
      <x:c r="P184" s="21" t="n">
        <x:f>MIN(1,(D184-1)/19)</x:f>
        <x:v>1</x:v>
      </x:c>
      <x:c r="Q184" s="18" t="n">
        <x:f>INDEX('角色成长'!$F$6:$F$105,D184)+O184*'参数'!$K$21</x:f>
        <x:v>3161.817925231391</x:v>
      </x:c>
      <x:c r="R184" s="18" t="n">
        <x:f>INDEX('角色成长'!$I$6:$I$105,D184)+O184*'参数'!$K$21</x:f>
        <x:v>2679.817925231391</x:v>
      </x:c>
      <x:c r="S184" s="18" t="n">
        <x:f>INDEX('角色成长'!$L$6:$L$105,D184)+O184*'参数'!$K$21</x:f>
        <x:v>2403.817925231391</x:v>
      </x:c>
      <x:c r="T184" s="18" t="n">
        <x:f>(INDEX('角色成长'!$J$6:$J$105,D184)+O184*'参数'!$L$21)*(1+'参数'!$B$40*P184)</x:f>
        <x:v>36744.86622250898</x:v>
      </x:c>
      <x:c r="U184" s="18" t="n">
        <x:f>(INDEX('角色成长'!$K$6:$K$105,D184)+O184*'参数'!$M$21)*(1+'参数'!$B$41*P184)</x:f>
        <x:v>1957.008598621203</x:v>
      </x:c>
      <x:c r="V184" s="18" t="n">
        <x:f>(('参数'!$K$5*(((Q184*(1+'参数'!$B$39*P184))^2/((Q184*(1+'参数'!$B$39*P184))+'参数'!$B$22*(I184)))*(1+'参数'!$B$42*P184)/'参数'!$J$5+((Q184*'参数'!$B$43*(1+'参数'!$B$39*P184))^2/((Q184*'参数'!$B$43*(1+'参数'!$B$39*P184))+'参数'!$B$22*(I184)))/'参数'!$B$44))+(((R184*(1+'参数'!$B$39*P184))^2/((R184*(1+'参数'!$B$39*P184))+'参数'!$B$22*(I184)))*(1+'参数'!$B$42*P184)/'参数'!$J$6+((R184*'参数'!$B$45*(1+'参数'!$B$39*P184))^2/((R184*'参数'!$B$45*(1+'参数'!$B$39*P184))+'参数'!$B$22*(I184)))/'参数'!$B$46)+((S184*(1+'参数'!$B$39*P184))^2/((S184*(1+'参数'!$B$39*P184))+'参数'!$B$22*(I184)))*(1+'参数'!$B$42*P184)/'参数'!$J$7)*(1+'参数'!$B$37*('参数'!$B$38-1))*'参数'!$B$25</x:f>
        <x:v>21215.309298329477</x:v>
      </x:c>
      <x:c r="W184" s="18" t="n">
        <x:f>(('参数'!$K$5*(((Q184*(1+'参数'!$B$39*P184))^2/((Q184*(1+'参数'!$B$39*P184))+'参数'!$B$22*(M184)))*(1+'参数'!$B$42*P184)/'参数'!$J$5+((Q184*'参数'!$B$43*(1+'参数'!$B$39*P184))^2/((Q184*'参数'!$B$43*(1+'参数'!$B$39*P184))+'参数'!$B$22*(M184)))/'参数'!$B$44))+(((R184*(1+'参数'!$B$39*P184))^2/((R184*(1+'参数'!$B$39*P184))+'参数'!$B$22*(M184)))*(1+'参数'!$B$42*P184)/'参数'!$J$6+((R184*'参数'!$B$45*(1+'参数'!$B$39*P184))^2/((R184*'参数'!$B$45*(1+'参数'!$B$39*P184))+'参数'!$B$22*(M184)))/'参数'!$B$46)+((S184*(1+'参数'!$B$39*P184))^2/((S184*(1+'参数'!$B$39*P184))+'参数'!$B$22*(M184)))*(1+'参数'!$B$42*P184)/'参数'!$J$7)*(1+'参数'!$B$37*('参数'!$B$38-1))</x:f>
        <x:v>16341.294150551852</x:v>
      </x:c>
      <x:c r="X184" s="25" t="n">
        <x:f>('参数'!$B$26+'参数'!$B$27*(D184-1)/99)*'参数'!$K$27*AD184</x:f>
        <x:v>18.133333333333333</x:v>
      </x:c>
      <x:c r="Y184" s="25" t="n">
        <x:f>('参数'!$B$28+'参数'!$B$29*(D184-1)/99)*'参数'!$K$27*AD184*IF(AE184=1,'参数'!$B$51,1)</x:f>
        <x:v>49.44444444444445</x:v>
      </x:c>
      <x:c r="Z184" s="21" t="n">
        <x:f>MIN('参数'!$B$36,U184/(U184+'参数'!$B$35))</x:f>
        <x:v>0.32852203689519066</x:v>
      </x:c>
      <x:c r="AA184" s="18" t="n">
        <x:f>T184*'参数'!$B$30/('参数'!$B$32*'参数'!$B$33)/(1-Z184)*AC184</x:f>
        <x:v>1436.4622390300337</x:v>
      </x:c>
      <x:c r="AB184" s="18" t="n">
        <x:f>T184*'参数'!$B$31/'参数'!$B$34/(1-Z184)*AC184</x:f>
        <x:v>2872.9244780600675</x:v>
      </x:c>
      <x:c r="AC184" s="15" t="n">
        <x:f>'参数'!$L$27*1</x:f>
        <x:v>1.05</x:v>
      </x:c>
      <x:c r="AD184" s="15" t="n">
        <x:f>1</x:f>
        <x:v>1</x:v>
      </x:c>
      <x:c r="AE184" s="18" t="n">
        <x:f>IF(MOD(B184,12)=0,1,0)</x:f>
        <x:v>0</x:v>
      </x:c>
    </x:row>
    <x:row r="185" ht="22" customHeight="1">
      <x:c r="A185" s="19" t="str">
        <x:v>困难</x:v>
      </x:c>
      <x:c r="B185" s="19" t="n">
        <x:v>60</x:v>
      </x:c>
      <x:c r="C185" s="19" t="n">
        <x:f>ROUNDUP(B185/12,0)</x:f>
        <x:v>5</x:v>
      </x:c>
      <x:c r="D185" s="19" t="n">
        <x:f>ROUND(MAX('参数'!$G$27,E185)+(IF(C185&lt;10,INDEX('参数'!$G$35:$P$35,1,MIN(10,C185+1)),'参数'!$H$27)-MAX('参数'!$G$27,E185))*MOD(B185-1,12)/11,0)</x:f>
        <x:v>75</x:v>
      </x:c>
      <x:c r="E185" s="19" t="n">
        <x:f>INDEX('参数'!$G$35:$P$35,1,C185)</x:f>
        <x:v>70</x:v>
      </x:c>
      <x:c r="F185" s="20" t="n">
        <x:f>'参数'!$I$27</x:f>
        <x:v>1.1</x:v>
      </x:c>
      <x:c r="G185" s="19" t="n">
        <x:f>ROUND(V185*X185/'参数'!$B$56,0)</x:f>
        <x:v>83631</x:v>
      </x:c>
      <x:c r="H185" s="19" t="n">
        <x:f>ROUND((AA185+SQRT(AA185^2+4*AA185*'参数'!$B$22*U185))/2,0)</x:f>
        <x:v>2726</x:v>
      </x:c>
      <x:c r="I185" s="19" t="n">
        <x:f>ROUND(Q185*'参数'!$B$23/'参数'!$B$22,0)</x:f>
        <x:v>632</x:v>
      </x:c>
      <x:c r="J185" s="19" t="n">
        <x:f>ROUND(G185*'参数'!$B$50,0)</x:f>
        <x:v>250893</x:v>
      </x:c>
      <x:c r="K185" s="19" t="n">
        <x:f>ROUND(W185*Y185,0)</x:f>
        <x:v>929184</x:v>
      </x:c>
      <x:c r="L185" s="19" t="n">
        <x:f>ROUND((AB185+SQRT(AB185^2+4*AB185*'参数'!$B$22*U185))/2,0)</x:f>
        <x:v>4452</x:v>
      </x:c>
      <x:c r="M185" s="19" t="n">
        <x:f>ROUND(I185*'参数'!$B$24,0)</x:f>
        <x:v>790</x:v>
      </x:c>
      <x:c r="N185" s="19" t="n">
        <x:f>'参数'!$B$9*'参数'!$B$10^(D185-1)</x:f>
        <x:v>5346.946990862446</x:v>
      </x:c>
      <x:c r="O185" s="19" t="n">
        <x:f>'参数'!$B$18*'参数'!$B$19^(MIN(E185,MAX(1,5*INT(D185/5)))-1)*F185*'参数'!$J$27*P185</x:f>
        <x:v>505.1992720110145</x:v>
      </x:c>
      <x:c r="P185" s="22" t="n">
        <x:f>MIN(1,(D185-1)/19)</x:f>
        <x:v>1</x:v>
      </x:c>
      <x:c r="Q185" s="19" t="n">
        <x:f>INDEX('角色成长'!$F$6:$F$105,D185)+O185*'参数'!$K$21</x:f>
        <x:v>3161.817925231391</x:v>
      </x:c>
      <x:c r="R185" s="19" t="n">
        <x:f>INDEX('角色成长'!$I$6:$I$105,D185)+O185*'参数'!$K$21</x:f>
        <x:v>2679.817925231391</x:v>
      </x:c>
      <x:c r="S185" s="19" t="n">
        <x:f>INDEX('角色成长'!$L$6:$L$105,D185)+O185*'参数'!$K$21</x:f>
        <x:v>2403.817925231391</x:v>
      </x:c>
      <x:c r="T185" s="19" t="n">
        <x:f>(INDEX('角色成长'!$J$6:$J$105,D185)+O185*'参数'!$L$21)*(1+'参数'!$B$40*P185)</x:f>
        <x:v>36744.86622250898</x:v>
      </x:c>
      <x:c r="U185" s="19" t="n">
        <x:f>(INDEX('角色成长'!$K$6:$K$105,D185)+O185*'参数'!$M$21)*(1+'参数'!$B$41*P185)</x:f>
        <x:v>1957.008598621203</x:v>
      </x:c>
      <x:c r="V185" s="19" t="n">
        <x:f>(('参数'!$K$5*(((Q185*(1+'参数'!$B$39*P185))^2/((Q185*(1+'参数'!$B$39*P185))+'参数'!$B$22*(I185)))*(1+'参数'!$B$42*P185)/'参数'!$J$5+((Q185*'参数'!$B$43*(1+'参数'!$B$39*P185))^2/((Q185*'参数'!$B$43*(1+'参数'!$B$39*P185))+'参数'!$B$22*(I185)))/'参数'!$B$44))+(((R185*(1+'参数'!$B$39*P185))^2/((R185*(1+'参数'!$B$39*P185))+'参数'!$B$22*(I185)))*(1+'参数'!$B$42*P185)/'参数'!$J$6+((R185*'参数'!$B$45*(1+'参数'!$B$39*P185))^2/((R185*'参数'!$B$45*(1+'参数'!$B$39*P185))+'参数'!$B$22*(I185)))/'参数'!$B$46)+((S185*(1+'参数'!$B$39*P185))^2/((S185*(1+'参数'!$B$39*P185))+'参数'!$B$22*(I185)))*(1+'参数'!$B$42*P185)/'参数'!$J$7)*(1+'参数'!$B$37*('参数'!$B$38-1))*'参数'!$B$25</x:f>
        <x:v>21215.309298329477</x:v>
      </x:c>
      <x:c r="W185" s="19" t="n">
        <x:f>(('参数'!$K$5*(((Q185*(1+'参数'!$B$39*P185))^2/((Q185*(1+'参数'!$B$39*P185))+'参数'!$B$22*(M185)))*(1+'参数'!$B$42*P185)/'参数'!$J$5+((Q185*'参数'!$B$43*(1+'参数'!$B$39*P185))^2/((Q185*'参数'!$B$43*(1+'参数'!$B$39*P185))+'参数'!$B$22*(M185)))/'参数'!$B$44))+(((R185*(1+'参数'!$B$39*P185))^2/((R185*(1+'参数'!$B$39*P185))+'参数'!$B$22*(M185)))*(1+'参数'!$B$42*P185)/'参数'!$J$6+((R185*'参数'!$B$45*(1+'参数'!$B$39*P185))^2/((R185*'参数'!$B$45*(1+'参数'!$B$39*P185))+'参数'!$B$22*(M185)))/'参数'!$B$46)+((S185*(1+'参数'!$B$39*P185))^2/((S185*(1+'参数'!$B$39*P185))+'参数'!$B$22*(M185)))*(1+'参数'!$B$42*P185)/'参数'!$J$7)*(1+'参数'!$B$37*('参数'!$B$38-1))</x:f>
        <x:v>16341.294150551852</x:v>
      </x:c>
      <x:c r="X185" s="26" t="n">
        <x:f>('参数'!$B$26+'参数'!$B$27*(D185-1)/99)*'参数'!$K$27*AD185</x:f>
        <x:v>18.133333333333333</x:v>
      </x:c>
      <x:c r="Y185" s="26" t="n">
        <x:f>('参数'!$B$28+'参数'!$B$29*(D185-1)/99)*'参数'!$K$27*AD185*IF(AE185=1,'参数'!$B$51,1)</x:f>
        <x:v>56.861111111111114</x:v>
      </x:c>
      <x:c r="Z185" s="22" t="n">
        <x:f>MIN('参数'!$B$36,U185/(U185+'参数'!$B$35))</x:f>
        <x:v>0.32852203689519066</x:v>
      </x:c>
      <x:c r="AA185" s="19" t="n">
        <x:f>T185*'参数'!$B$30/('参数'!$B$32*'参数'!$B$33)/(1-Z185)*AC185</x:f>
        <x:v>1436.4622390300337</x:v>
      </x:c>
      <x:c r="AB185" s="19" t="n">
        <x:f>T185*'参数'!$B$31/'参数'!$B$34/(1-Z185)*AC185</x:f>
        <x:v>2872.9244780600675</x:v>
      </x:c>
      <x:c r="AC185" s="20" t="n">
        <x:f>'参数'!$L$27*1</x:f>
        <x:v>1.05</x:v>
      </x:c>
      <x:c r="AD185" s="20" t="n">
        <x:f>1</x:f>
        <x:v>1</x:v>
      </x:c>
      <x:c r="AE185" s="19" t="n">
        <x:f>IF(MOD(B185,12)=0,1,0)</x:f>
        <x:v>1</x:v>
      </x:c>
    </x:row>
    <x:row r="186" ht="22" customHeight="1">
      <x:c r="A186" s="18" t="str">
        <x:v>困难</x:v>
      </x:c>
      <x:c r="B186" s="18" t="n">
        <x:v>61</x:v>
      </x:c>
      <x:c r="C186" s="18" t="n">
        <x:f>ROUNDUP(B186/12,0)</x:f>
        <x:v>6</x:v>
      </x:c>
      <x:c r="D186" s="18" t="n">
        <x:f>ROUND(MAX('参数'!$G$27,E186)+(IF(C186&lt;10,INDEX('参数'!$G$35:$P$35,1,MIN(10,C186+1)),'参数'!$H$27)-MAX('参数'!$G$27,E186))*MOD(B186-1,12)/11,0)</x:f>
        <x:v>75</x:v>
      </x:c>
      <x:c r="E186" s="18" t="n">
        <x:f>INDEX('参数'!$G$35:$P$35,1,C186)</x:f>
        <x:v>75</x:v>
      </x:c>
      <x:c r="F186" s="15" t="n">
        <x:f>'参数'!$I$27</x:f>
        <x:v>1.1</x:v>
      </x:c>
      <x:c r="G186" s="18" t="n">
        <x:f>ROUND(V186*X186/'参数'!$B$56,0)</x:f>
        <x:v>91718</x:v>
      </x:c>
      <x:c r="H186" s="18" t="n">
        <x:f>ROUND((AA186+SQRT(AA186^2+4*AA186*'参数'!$B$22*U186))/2,0)</x:f>
        <x:v>3000</x:v>
      </x:c>
      <x:c r="I186" s="18" t="n">
        <x:f>ROUND(Q186*'参数'!$B$23/'参数'!$B$22,0)</x:f>
        <x:v>690</x:v>
      </x:c>
      <x:c r="J186" s="18" t="n">
        <x:f>ROUND(G186*'参数'!$B$50,0)</x:f>
        <x:v>275154</x:v>
      </x:c>
      <x:c r="K186" s="18" t="n">
        <x:f>ROUND(W186*Y186,0)</x:f>
        <x:v>886094</x:v>
      </x:c>
      <x:c r="L186" s="18" t="n">
        <x:f>ROUND((AB186+SQRT(AB186^2+4*AB186*'参数'!$B$22*U186))/2,0)</x:f>
        <x:v>4901</x:v>
      </x:c>
      <x:c r="M186" s="18" t="n">
        <x:f>ROUND(I186*'参数'!$B$24,0)</x:f>
        <x:v>863</x:v>
      </x:c>
      <x:c r="N186" s="18" t="n">
        <x:f>'参数'!$B$9*'参数'!$B$10^(D186-1)</x:f>
        <x:v>5346.946990862446</x:v>
      </x:c>
      <x:c r="O186" s="18" t="n">
        <x:f>'参数'!$B$18*'参数'!$B$19^(MIN(E186,MAX(1,5*INT(D186/5)))-1)*F186*'参数'!$J$27*P186</x:f>
        <x:v>605.8379831105153</x:v>
      </x:c>
      <x:c r="P186" s="21" t="n">
        <x:f>MIN(1,(D186-1)/19)</x:f>
        <x:v>1</x:v>
      </x:c>
      <x:c r="Q186" s="18" t="n">
        <x:f>INDEX('角色成长'!$F$6:$F$105,D186)+O186*'参数'!$K$21</x:f>
        <x:v>3448.638251864969</x:v>
      </x:c>
      <x:c r="R186" s="18" t="n">
        <x:f>INDEX('角色成长'!$I$6:$I$105,D186)+O186*'参数'!$K$21</x:f>
        <x:v>2966.638251864969</x:v>
      </x:c>
      <x:c r="S186" s="18" t="n">
        <x:f>INDEX('角色成长'!$L$6:$L$105,D186)+O186*'参数'!$K$21</x:f>
        <x:v>2690.638251864969</x:v>
      </x:c>
      <x:c r="T186" s="18" t="n">
        <x:f>(INDEX('角色成长'!$J$6:$J$105,D186)+O186*'参数'!$L$21)*(1+'参数'!$B$40*P186)</x:f>
        <x:v>39202.463547558786</x:v>
      </x:c>
      <x:c r="U186" s="18" t="n">
        <x:f>(INDEX('角色成长'!$K$6:$K$105,D186)+O186*'参数'!$M$21)*(1+'参数'!$B$41*P186)</x:f>
        <x:v>2150.738117487742</x:v>
      </x:c>
      <x:c r="V186" s="18" t="n">
        <x:f>(('参数'!$K$5*(((Q186*(1+'参数'!$B$39*P186))^2/((Q186*(1+'参数'!$B$39*P186))+'参数'!$B$22*(I186)))*(1+'参数'!$B$42*P186)/'参数'!$J$5+((Q186*'参数'!$B$43*(1+'参数'!$B$39*P186))^2/((Q186*'参数'!$B$43*(1+'参数'!$B$39*P186))+'参数'!$B$22*(I186)))/'参数'!$B$44))+(((R186*(1+'参数'!$B$39*P186))^2/((R186*(1+'参数'!$B$39*P186))+'参数'!$B$22*(I186)))*(1+'参数'!$B$42*P186)/'参数'!$J$6+((R186*'参数'!$B$45*(1+'参数'!$B$39*P186))^2/((R186*'参数'!$B$45*(1+'参数'!$B$39*P186))+'参数'!$B$22*(I186)))/'参数'!$B$46)+((S186*(1+'参数'!$B$39*P186))^2/((S186*(1+'参数'!$B$39*P186))+'参数'!$B$22*(I186)))*(1+'参数'!$B$42*P186)/'参数'!$J$7)*(1+'参数'!$B$37*('参数'!$B$38-1))*'参数'!$B$25</x:f>
        <x:v>23266.695779201054</x:v>
      </x:c>
      <x:c r="W186" s="18" t="n">
        <x:f>(('参数'!$K$5*(((Q186*(1+'参数'!$B$39*P186))^2/((Q186*(1+'参数'!$B$39*P186))+'参数'!$B$22*(M186)))*(1+'参数'!$B$42*P186)/'参数'!$J$5+((Q186*'参数'!$B$43*(1+'参数'!$B$39*P186))^2/((Q186*'参数'!$B$43*(1+'参数'!$B$39*P186))+'参数'!$B$22*(M186)))/'参数'!$B$44))+(((R186*(1+'参数'!$B$39*P186))^2/((R186*(1+'参数'!$B$39*P186))+'参数'!$B$22*(M186)))*(1+'参数'!$B$42*P186)/'参数'!$J$6+((R186*'参数'!$B$45*(1+'参数'!$B$39*P186))^2/((R186*'参数'!$B$45*(1+'参数'!$B$39*P186))+'参数'!$B$22*(M186)))/'参数'!$B$46)+((S186*(1+'参数'!$B$39*P186))^2/((S186*(1+'参数'!$B$39*P186))+'参数'!$B$22*(M186)))*(1+'参数'!$B$42*P186)/'参数'!$J$7)*(1+'参数'!$B$37*('参数'!$B$38-1))</x:f>
        <x:v>17921.007930789554</x:v>
      </x:c>
      <x:c r="X186" s="25" t="n">
        <x:f>('参数'!$B$26+'参数'!$B$27*(D186-1)/99)*'参数'!$K$27*AD186</x:f>
        <x:v>18.133333333333333</x:v>
      </x:c>
      <x:c r="Y186" s="25" t="n">
        <x:f>('参数'!$B$28+'参数'!$B$29*(D186-1)/99)*'参数'!$K$27*AD186*IF(AE186=1,'参数'!$B$51,1)</x:f>
        <x:v>49.44444444444445</x:v>
      </x:c>
      <x:c r="Z186" s="21" t="n">
        <x:f>MIN('参数'!$B$36,U186/(U186+'参数'!$B$35))</x:f>
        <x:v>0.3496715477729049</x:v>
      </x:c>
      <x:c r="AA186" s="18" t="n">
        <x:f>T186*'参数'!$B$30/('参数'!$B$32*'参数'!$B$33)/(1-Z186)*AC186</x:f>
        <x:v>1582.3768198966452</x:v>
      </x:c>
      <x:c r="AB186" s="18" t="n">
        <x:f>T186*'参数'!$B$31/'参数'!$B$34/(1-Z186)*AC186</x:f>
        <x:v>3164.7536397932904</x:v>
      </x:c>
      <x:c r="AC186" s="15" t="n">
        <x:f>'参数'!$L$27*1</x:f>
        <x:v>1.05</x:v>
      </x:c>
      <x:c r="AD186" s="15" t="n">
        <x:f>1</x:f>
        <x:v>1</x:v>
      </x:c>
      <x:c r="AE186" s="18" t="n">
        <x:f>IF(MOD(B186,12)=0,1,0)</x:f>
        <x:v>0</x:v>
      </x:c>
    </x:row>
    <x:row r="187" ht="22" customHeight="1">
      <x:c r="A187" s="19" t="str">
        <x:v>困难</x:v>
      </x:c>
      <x:c r="B187" s="19" t="n">
        <x:v>62</x:v>
      </x:c>
      <x:c r="C187" s="19" t="n">
        <x:f>ROUNDUP(B187/12,0)</x:f>
        <x:v>6</x:v>
      </x:c>
      <x:c r="D187" s="19" t="n">
        <x:f>ROUND(MAX('参数'!$G$27,E187)+(IF(C187&lt;10,INDEX('参数'!$G$35:$P$35,1,MIN(10,C187+1)),'参数'!$H$27)-MAX('参数'!$G$27,E187))*MOD(B187-1,12)/11,0)</x:f>
        <x:v>75</x:v>
      </x:c>
      <x:c r="E187" s="19" t="n">
        <x:f>INDEX('参数'!$G$35:$P$35,1,C187)</x:f>
        <x:v>75</x:v>
      </x:c>
      <x:c r="F187" s="20" t="n">
        <x:f>'参数'!$I$27</x:f>
        <x:v>1.1</x:v>
      </x:c>
      <x:c r="G187" s="19" t="n">
        <x:f>ROUND(V187*X187/'参数'!$B$56,0)</x:f>
        <x:v>91718</x:v>
      </x:c>
      <x:c r="H187" s="19" t="n">
        <x:f>ROUND((AA187+SQRT(AA187^2+4*AA187*'参数'!$B$22*U187))/2,0)</x:f>
        <x:v>3000</x:v>
      </x:c>
      <x:c r="I187" s="19" t="n">
        <x:f>ROUND(Q187*'参数'!$B$23/'参数'!$B$22,0)</x:f>
        <x:v>690</x:v>
      </x:c>
      <x:c r="J187" s="19" t="n">
        <x:f>ROUND(G187*'参数'!$B$50,0)</x:f>
        <x:v>275154</x:v>
      </x:c>
      <x:c r="K187" s="19" t="n">
        <x:f>ROUND(W187*Y187,0)</x:f>
        <x:v>886094</x:v>
      </x:c>
      <x:c r="L187" s="19" t="n">
        <x:f>ROUND((AB187+SQRT(AB187^2+4*AB187*'参数'!$B$22*U187))/2,0)</x:f>
        <x:v>4901</x:v>
      </x:c>
      <x:c r="M187" s="19" t="n">
        <x:f>ROUND(I187*'参数'!$B$24,0)</x:f>
        <x:v>863</x:v>
      </x:c>
      <x:c r="N187" s="19" t="n">
        <x:f>'参数'!$B$9*'参数'!$B$10^(D187-1)</x:f>
        <x:v>5346.946990862446</x:v>
      </x:c>
      <x:c r="O187" s="19" t="n">
        <x:f>'参数'!$B$18*'参数'!$B$19^(MIN(E187,MAX(1,5*INT(D187/5)))-1)*F187*'参数'!$J$27*P187</x:f>
        <x:v>605.8379831105153</x:v>
      </x:c>
      <x:c r="P187" s="22" t="n">
        <x:f>MIN(1,(D187-1)/19)</x:f>
        <x:v>1</x:v>
      </x:c>
      <x:c r="Q187" s="19" t="n">
        <x:f>INDEX('角色成长'!$F$6:$F$105,D187)+O187*'参数'!$K$21</x:f>
        <x:v>3448.638251864969</x:v>
      </x:c>
      <x:c r="R187" s="19" t="n">
        <x:f>INDEX('角色成长'!$I$6:$I$105,D187)+O187*'参数'!$K$21</x:f>
        <x:v>2966.638251864969</x:v>
      </x:c>
      <x:c r="S187" s="19" t="n">
        <x:f>INDEX('角色成长'!$L$6:$L$105,D187)+O187*'参数'!$K$21</x:f>
        <x:v>2690.638251864969</x:v>
      </x:c>
      <x:c r="T187" s="19" t="n">
        <x:f>(INDEX('角色成长'!$J$6:$J$105,D187)+O187*'参数'!$L$21)*(1+'参数'!$B$40*P187)</x:f>
        <x:v>39202.463547558786</x:v>
      </x:c>
      <x:c r="U187" s="19" t="n">
        <x:f>(INDEX('角色成长'!$K$6:$K$105,D187)+O187*'参数'!$M$21)*(1+'参数'!$B$41*P187)</x:f>
        <x:v>2150.738117487742</x:v>
      </x:c>
      <x:c r="V187" s="19" t="n">
        <x:f>(('参数'!$K$5*(((Q187*(1+'参数'!$B$39*P187))^2/((Q187*(1+'参数'!$B$39*P187))+'参数'!$B$22*(I187)))*(1+'参数'!$B$42*P187)/'参数'!$J$5+((Q187*'参数'!$B$43*(1+'参数'!$B$39*P187))^2/((Q187*'参数'!$B$43*(1+'参数'!$B$39*P187))+'参数'!$B$22*(I187)))/'参数'!$B$44))+(((R187*(1+'参数'!$B$39*P187))^2/((R187*(1+'参数'!$B$39*P187))+'参数'!$B$22*(I187)))*(1+'参数'!$B$42*P187)/'参数'!$J$6+((R187*'参数'!$B$45*(1+'参数'!$B$39*P187))^2/((R187*'参数'!$B$45*(1+'参数'!$B$39*P187))+'参数'!$B$22*(I187)))/'参数'!$B$46)+((S187*(1+'参数'!$B$39*P187))^2/((S187*(1+'参数'!$B$39*P187))+'参数'!$B$22*(I187)))*(1+'参数'!$B$42*P187)/'参数'!$J$7)*(1+'参数'!$B$37*('参数'!$B$38-1))*'参数'!$B$25</x:f>
        <x:v>23266.695779201054</x:v>
      </x:c>
      <x:c r="W187" s="19" t="n">
        <x:f>(('参数'!$K$5*(((Q187*(1+'参数'!$B$39*P187))^2/((Q187*(1+'参数'!$B$39*P187))+'参数'!$B$22*(M187)))*(1+'参数'!$B$42*P187)/'参数'!$J$5+((Q187*'参数'!$B$43*(1+'参数'!$B$39*P187))^2/((Q187*'参数'!$B$43*(1+'参数'!$B$39*P187))+'参数'!$B$22*(M187)))/'参数'!$B$44))+(((R187*(1+'参数'!$B$39*P187))^2/((R187*(1+'参数'!$B$39*P187))+'参数'!$B$22*(M187)))*(1+'参数'!$B$42*P187)/'参数'!$J$6+((R187*'参数'!$B$45*(1+'参数'!$B$39*P187))^2/((R187*'参数'!$B$45*(1+'参数'!$B$39*P187))+'参数'!$B$22*(M187)))/'参数'!$B$46)+((S187*(1+'参数'!$B$39*P187))^2/((S187*(1+'参数'!$B$39*P187))+'参数'!$B$22*(M187)))*(1+'参数'!$B$42*P187)/'参数'!$J$7)*(1+'参数'!$B$37*('参数'!$B$38-1))</x:f>
        <x:v>17921.007930789554</x:v>
      </x:c>
      <x:c r="X187" s="26" t="n">
        <x:f>('参数'!$B$26+'参数'!$B$27*(D187-1)/99)*'参数'!$K$27*AD187</x:f>
        <x:v>18.133333333333333</x:v>
      </x:c>
      <x:c r="Y187" s="26" t="n">
        <x:f>('参数'!$B$28+'参数'!$B$29*(D187-1)/99)*'参数'!$K$27*AD187*IF(AE187=1,'参数'!$B$51,1)</x:f>
        <x:v>49.44444444444445</x:v>
      </x:c>
      <x:c r="Z187" s="22" t="n">
        <x:f>MIN('参数'!$B$36,U187/(U187+'参数'!$B$35))</x:f>
        <x:v>0.3496715477729049</x:v>
      </x:c>
      <x:c r="AA187" s="19" t="n">
        <x:f>T187*'参数'!$B$30/('参数'!$B$32*'参数'!$B$33)/(1-Z187)*AC187</x:f>
        <x:v>1582.3768198966452</x:v>
      </x:c>
      <x:c r="AB187" s="19" t="n">
        <x:f>T187*'参数'!$B$31/'参数'!$B$34/(1-Z187)*AC187</x:f>
        <x:v>3164.7536397932904</x:v>
      </x:c>
      <x:c r="AC187" s="20" t="n">
        <x:f>'参数'!$L$27*1</x:f>
        <x:v>1.05</x:v>
      </x:c>
      <x:c r="AD187" s="20" t="n">
        <x:f>1</x:f>
        <x:v>1</x:v>
      </x:c>
      <x:c r="AE187" s="19" t="n">
        <x:f>IF(MOD(B187,12)=0,1,0)</x:f>
        <x:v>0</x:v>
      </x:c>
    </x:row>
    <x:row r="188" ht="22" customHeight="1">
      <x:c r="A188" s="18" t="str">
        <x:v>困难</x:v>
      </x:c>
      <x:c r="B188" s="18" t="n">
        <x:v>63</x:v>
      </x:c>
      <x:c r="C188" s="18" t="n">
        <x:f>ROUNDUP(B188/12,0)</x:f>
        <x:v>6</x:v>
      </x:c>
      <x:c r="D188" s="18" t="n">
        <x:f>ROUND(MAX('参数'!$G$27,E188)+(IF(C188&lt;10,INDEX('参数'!$G$35:$P$35,1,MIN(10,C188+1)),'参数'!$H$27)-MAX('参数'!$G$27,E188))*MOD(B188-1,12)/11,0)</x:f>
        <x:v>76</x:v>
      </x:c>
      <x:c r="E188" s="18" t="n">
        <x:f>INDEX('参数'!$G$35:$P$35,1,C188)</x:f>
        <x:v>75</x:v>
      </x:c>
      <x:c r="F188" s="15" t="n">
        <x:f>'参数'!$I$27</x:f>
        <x:v>1.1</x:v>
      </x:c>
      <x:c r="G188" s="18" t="n">
        <x:f>ROUND(V188*X188/'参数'!$B$56,0)</x:f>
        <x:v>93558</x:v>
      </x:c>
      <x:c r="H188" s="18" t="n">
        <x:f>ROUND((AA188+SQRT(AA188^2+4*AA188*'参数'!$B$22*U188))/2,0)</x:f>
        <x:v>3074</x:v>
      </x:c>
      <x:c r="I188" s="18" t="n">
        <x:f>ROUND(Q188*'参数'!$B$23/'参数'!$B$22,0)</x:f>
        <x:v>702</x:v>
      </x:c>
      <x:c r="J188" s="18" t="n">
        <x:f>ROUND(G188*'参数'!$B$50,0)</x:f>
        <x:v>280674</x:v>
      </x:c>
      <x:c r="K188" s="18" t="n">
        <x:f>ROUND(W188*Y188,0)</x:f>
        <x:v>904590</x:v>
      </x:c>
      <x:c r="L188" s="18" t="n">
        <x:f>ROUND((AB188+SQRT(AB188^2+4*AB188*'参数'!$B$22*U188))/2,0)</x:f>
        <x:v>5024</x:v>
      </x:c>
      <x:c r="M188" s="18" t="n">
        <x:f>ROUND(I188*'参数'!$B$24,0)</x:f>
        <x:v>878</x:v>
      </x:c>
      <x:c r="N188" s="18" t="n">
        <x:f>'参数'!$B$9*'参数'!$B$10^(D188-1)</x:f>
        <x:v>5507.35540058832</x:v>
      </x:c>
      <x:c r="O188" s="18" t="n">
        <x:f>'参数'!$B$18*'参数'!$B$19^(MIN(E188,MAX(1,5*INT(D188/5)))-1)*F188*'参数'!$J$27*P188</x:f>
        <x:v>605.8379831105153</x:v>
      </x:c>
      <x:c r="P188" s="21" t="n">
        <x:f>MIN(1,(D188-1)/19)</x:f>
        <x:v>1</x:v>
      </x:c>
      <x:c r="Q188" s="18" t="n">
        <x:f>INDEX('角色成长'!$F$6:$F$105,D188)+O188*'参数'!$K$21</x:f>
        <x:v>3508.638251864969</x:v>
      </x:c>
      <x:c r="R188" s="18" t="n">
        <x:f>INDEX('角色成长'!$I$6:$I$105,D188)+O188*'参数'!$K$21</x:f>
        <x:v>3009.638251864969</x:v>
      </x:c>
      <x:c r="S188" s="18" t="n">
        <x:f>INDEX('角色成长'!$L$6:$L$105,D188)+O188*'参数'!$K$21</x:f>
        <x:v>2724.638251864969</x:v>
      </x:c>
      <x:c r="T188" s="18" t="n">
        <x:f>(INDEX('角色成长'!$J$6:$J$105,D188)+O188*'参数'!$L$21)*(1+'参数'!$B$40*P188)</x:f>
        <x:v>40081.36354755879</x:v>
      </x:c>
      <x:c r="U188" s="18" t="n">
        <x:f>(INDEX('角色成长'!$K$6:$K$105,D188)+O188*'参数'!$M$21)*(1+'参数'!$B$41*P188)</x:f>
        <x:v>2185.938117487742</x:v>
      </x:c>
      <x:c r="V188" s="18" t="n">
        <x:f>(('参数'!$K$5*(((Q188*(1+'参数'!$B$39*P188))^2/((Q188*(1+'参数'!$B$39*P188))+'参数'!$B$22*(I188)))*(1+'参数'!$B$42*P188)/'参数'!$J$5+((Q188*'参数'!$B$43*(1+'参数'!$B$39*P188))^2/((Q188*'参数'!$B$43*(1+'参数'!$B$39*P188))+'参数'!$B$22*(I188)))/'参数'!$B$44))+(((R188*(1+'参数'!$B$39*P188))^2/((R188*(1+'参数'!$B$39*P188))+'参数'!$B$22*(I188)))*(1+'参数'!$B$42*P188)/'参数'!$J$6+((R188*'参数'!$B$45*(1+'参数'!$B$39*P188))^2/((R188*'参数'!$B$45*(1+'参数'!$B$39*P188))+'参数'!$B$22*(I188)))/'参数'!$B$46)+((S188*(1+'参数'!$B$39*P188))^2/((S188*(1+'参数'!$B$39*P188))+'参数'!$B$22*(I188)))*(1+'参数'!$B$42*P188)/'参数'!$J$7)*(1+'参数'!$B$37*('参数'!$B$38-1))*'参数'!$B$25</x:f>
        <x:v>23646.552366383115</x:v>
      </x:c>
      <x:c r="W188" s="18" t="n">
        <x:f>(('参数'!$K$5*(((Q188*(1+'参数'!$B$39*P188))^2/((Q188*(1+'参数'!$B$39*P188))+'参数'!$B$22*(M188)))*(1+'参数'!$B$42*P188)/'参数'!$J$5+((Q188*'参数'!$B$43*(1+'参数'!$B$39*P188))^2/((Q188*'参数'!$B$43*(1+'参数'!$B$39*P188))+'参数'!$B$22*(M188)))/'参数'!$B$44))+(((R188*(1+'参数'!$B$39*P188))^2/((R188*(1+'参数'!$B$39*P188))+'参数'!$B$22*(M188)))*(1+'参数'!$B$42*P188)/'参数'!$J$6+((R188*'参数'!$B$45*(1+'参数'!$B$39*P188))^2/((R188*'参数'!$B$45*(1+'参数'!$B$39*P188))+'参数'!$B$22*(M188)))/'参数'!$B$46)+((S188*(1+'参数'!$B$39*P188))^2/((S188*(1+'参数'!$B$39*P188))+'参数'!$B$22*(M188)))*(1+'参数'!$B$42*P188)/'参数'!$J$7)*(1+'参数'!$B$37*('参数'!$B$38-1))</x:f>
        <x:v>18213.22810031688</x:v>
      </x:c>
      <x:c r="X188" s="25" t="n">
        <x:f>('参数'!$B$26+'参数'!$B$27*(D188-1)/99)*'参数'!$K$27*AD188</x:f>
        <x:v>18.200000000000003</x:v>
      </x:c>
      <x:c r="Y188" s="25" t="n">
        <x:f>('参数'!$B$28+'参数'!$B$29*(D188-1)/99)*'参数'!$K$27*AD188*IF(AE188=1,'参数'!$B$51,1)</x:f>
        <x:v>49.66666666666668</x:v>
      </x:c>
      <x:c r="Z188" s="21" t="n">
        <x:f>MIN('参数'!$B$36,U188/(U188+'参数'!$B$35))</x:f>
        <x:v>0.35337212819961156</x:v>
      </x:c>
      <x:c r="AA188" s="18" t="n">
        <x:f>T188*'参数'!$B$30/('参数'!$B$32*'参数'!$B$33)/(1-Z188)*AC188</x:f>
        <x:v>1627.111726863838</x:v>
      </x:c>
      <x:c r="AB188" s="18" t="n">
        <x:f>T188*'参数'!$B$31/'参数'!$B$34/(1-Z188)*AC188</x:f>
        <x:v>3254.2234537276754</x:v>
      </x:c>
      <x:c r="AC188" s="15" t="n">
        <x:f>'参数'!$L$27*1</x:f>
        <x:v>1.05</x:v>
      </x:c>
      <x:c r="AD188" s="15" t="n">
        <x:f>1</x:f>
        <x:v>1</x:v>
      </x:c>
      <x:c r="AE188" s="18" t="n">
        <x:f>IF(MOD(B188,12)=0,1,0)</x:f>
        <x:v>0</x:v>
      </x:c>
    </x:row>
    <x:row r="189" ht="22" customHeight="1">
      <x:c r="A189" s="19" t="str">
        <x:v>困难</x:v>
      </x:c>
      <x:c r="B189" s="19" t="n">
        <x:v>64</x:v>
      </x:c>
      <x:c r="C189" s="19" t="n">
        <x:f>ROUNDUP(B189/12,0)</x:f>
        <x:v>6</x:v>
      </x:c>
      <x:c r="D189" s="19" t="n">
        <x:f>ROUND(MAX('参数'!$G$27,E189)+(IF(C189&lt;10,INDEX('参数'!$G$35:$P$35,1,MIN(10,C189+1)),'参数'!$H$27)-MAX('参数'!$G$27,E189))*MOD(B189-1,12)/11,0)</x:f>
        <x:v>76</x:v>
      </x:c>
      <x:c r="E189" s="19" t="n">
        <x:f>INDEX('参数'!$G$35:$P$35,1,C189)</x:f>
        <x:v>75</x:v>
      </x:c>
      <x:c r="F189" s="20" t="n">
        <x:f>'参数'!$I$27</x:f>
        <x:v>1.1</x:v>
      </x:c>
      <x:c r="G189" s="19" t="n">
        <x:f>ROUND(V189*X189/'参数'!$B$56,0)</x:f>
        <x:v>93558</x:v>
      </x:c>
      <x:c r="H189" s="19" t="n">
        <x:f>ROUND((AA189+SQRT(AA189^2+4*AA189*'参数'!$B$22*U189))/2,0)</x:f>
        <x:v>3074</x:v>
      </x:c>
      <x:c r="I189" s="19" t="n">
        <x:f>ROUND(Q189*'参数'!$B$23/'参数'!$B$22,0)</x:f>
        <x:v>702</x:v>
      </x:c>
      <x:c r="J189" s="19" t="n">
        <x:f>ROUND(G189*'参数'!$B$50,0)</x:f>
        <x:v>280674</x:v>
      </x:c>
      <x:c r="K189" s="19" t="n">
        <x:f>ROUND(W189*Y189,0)</x:f>
        <x:v>904590</x:v>
      </x:c>
      <x:c r="L189" s="19" t="n">
        <x:f>ROUND((AB189+SQRT(AB189^2+4*AB189*'参数'!$B$22*U189))/2,0)</x:f>
        <x:v>5024</x:v>
      </x:c>
      <x:c r="M189" s="19" t="n">
        <x:f>ROUND(I189*'参数'!$B$24,0)</x:f>
        <x:v>878</x:v>
      </x:c>
      <x:c r="N189" s="19" t="n">
        <x:f>'参数'!$B$9*'参数'!$B$10^(D189-1)</x:f>
        <x:v>5507.35540058832</x:v>
      </x:c>
      <x:c r="O189" s="19" t="n">
        <x:f>'参数'!$B$18*'参数'!$B$19^(MIN(E189,MAX(1,5*INT(D189/5)))-1)*F189*'参数'!$J$27*P189</x:f>
        <x:v>605.8379831105153</x:v>
      </x:c>
      <x:c r="P189" s="22" t="n">
        <x:f>MIN(1,(D189-1)/19)</x:f>
        <x:v>1</x:v>
      </x:c>
      <x:c r="Q189" s="19" t="n">
        <x:f>INDEX('角色成长'!$F$6:$F$105,D189)+O189*'参数'!$K$21</x:f>
        <x:v>3508.638251864969</x:v>
      </x:c>
      <x:c r="R189" s="19" t="n">
        <x:f>INDEX('角色成长'!$I$6:$I$105,D189)+O189*'参数'!$K$21</x:f>
        <x:v>3009.638251864969</x:v>
      </x:c>
      <x:c r="S189" s="19" t="n">
        <x:f>INDEX('角色成长'!$L$6:$L$105,D189)+O189*'参数'!$K$21</x:f>
        <x:v>2724.638251864969</x:v>
      </x:c>
      <x:c r="T189" s="19" t="n">
        <x:f>(INDEX('角色成长'!$J$6:$J$105,D189)+O189*'参数'!$L$21)*(1+'参数'!$B$40*P189)</x:f>
        <x:v>40081.36354755879</x:v>
      </x:c>
      <x:c r="U189" s="19" t="n">
        <x:f>(INDEX('角色成长'!$K$6:$K$105,D189)+O189*'参数'!$M$21)*(1+'参数'!$B$41*P189)</x:f>
        <x:v>2185.938117487742</x:v>
      </x:c>
      <x:c r="V189" s="19" t="n">
        <x:f>(('参数'!$K$5*(((Q189*(1+'参数'!$B$39*P189))^2/((Q189*(1+'参数'!$B$39*P189))+'参数'!$B$22*(I189)))*(1+'参数'!$B$42*P189)/'参数'!$J$5+((Q189*'参数'!$B$43*(1+'参数'!$B$39*P189))^2/((Q189*'参数'!$B$43*(1+'参数'!$B$39*P189))+'参数'!$B$22*(I189)))/'参数'!$B$44))+(((R189*(1+'参数'!$B$39*P189))^2/((R189*(1+'参数'!$B$39*P189))+'参数'!$B$22*(I189)))*(1+'参数'!$B$42*P189)/'参数'!$J$6+((R189*'参数'!$B$45*(1+'参数'!$B$39*P189))^2/((R189*'参数'!$B$45*(1+'参数'!$B$39*P189))+'参数'!$B$22*(I189)))/'参数'!$B$46)+((S189*(1+'参数'!$B$39*P189))^2/((S189*(1+'参数'!$B$39*P189))+'参数'!$B$22*(I189)))*(1+'参数'!$B$42*P189)/'参数'!$J$7)*(1+'参数'!$B$37*('参数'!$B$38-1))*'参数'!$B$25</x:f>
        <x:v>23646.552366383115</x:v>
      </x:c>
      <x:c r="W189" s="19" t="n">
        <x:f>(('参数'!$K$5*(((Q189*(1+'参数'!$B$39*P189))^2/((Q189*(1+'参数'!$B$39*P189))+'参数'!$B$22*(M189)))*(1+'参数'!$B$42*P189)/'参数'!$J$5+((Q189*'参数'!$B$43*(1+'参数'!$B$39*P189))^2/((Q189*'参数'!$B$43*(1+'参数'!$B$39*P189))+'参数'!$B$22*(M189)))/'参数'!$B$44))+(((R189*(1+'参数'!$B$39*P189))^2/((R189*(1+'参数'!$B$39*P189))+'参数'!$B$22*(M189)))*(1+'参数'!$B$42*P189)/'参数'!$J$6+((R189*'参数'!$B$45*(1+'参数'!$B$39*P189))^2/((R189*'参数'!$B$45*(1+'参数'!$B$39*P189))+'参数'!$B$22*(M189)))/'参数'!$B$46)+((S189*(1+'参数'!$B$39*P189))^2/((S189*(1+'参数'!$B$39*P189))+'参数'!$B$22*(M189)))*(1+'参数'!$B$42*P189)/'参数'!$J$7)*(1+'参数'!$B$37*('参数'!$B$38-1))</x:f>
        <x:v>18213.22810031688</x:v>
      </x:c>
      <x:c r="X189" s="26" t="n">
        <x:f>('参数'!$B$26+'参数'!$B$27*(D189-1)/99)*'参数'!$K$27*AD189</x:f>
        <x:v>18.200000000000003</x:v>
      </x:c>
      <x:c r="Y189" s="26" t="n">
        <x:f>('参数'!$B$28+'参数'!$B$29*(D189-1)/99)*'参数'!$K$27*AD189*IF(AE189=1,'参数'!$B$51,1)</x:f>
        <x:v>49.66666666666668</x:v>
      </x:c>
      <x:c r="Z189" s="22" t="n">
        <x:f>MIN('参数'!$B$36,U189/(U189+'参数'!$B$35))</x:f>
        <x:v>0.35337212819961156</x:v>
      </x:c>
      <x:c r="AA189" s="19" t="n">
        <x:f>T189*'参数'!$B$30/('参数'!$B$32*'参数'!$B$33)/(1-Z189)*AC189</x:f>
        <x:v>1627.111726863838</x:v>
      </x:c>
      <x:c r="AB189" s="19" t="n">
        <x:f>T189*'参数'!$B$31/'参数'!$B$34/(1-Z189)*AC189</x:f>
        <x:v>3254.2234537276754</x:v>
      </x:c>
      <x:c r="AC189" s="20" t="n">
        <x:f>'参数'!$L$27*1</x:f>
        <x:v>1.05</x:v>
      </x:c>
      <x:c r="AD189" s="20" t="n">
        <x:f>1</x:f>
        <x:v>1</x:v>
      </x:c>
      <x:c r="AE189" s="19" t="n">
        <x:f>IF(MOD(B189,12)=0,1,0)</x:f>
        <x:v>0</x:v>
      </x:c>
    </x:row>
    <x:row r="190" ht="22" customHeight="1">
      <x:c r="A190" s="18" t="str">
        <x:v>困难</x:v>
      </x:c>
      <x:c r="B190" s="18" t="n">
        <x:v>65</x:v>
      </x:c>
      <x:c r="C190" s="18" t="n">
        <x:f>ROUNDUP(B190/12,0)</x:f>
        <x:v>6</x:v>
      </x:c>
      <x:c r="D190" s="18" t="n">
        <x:f>ROUND(MAX('参数'!$G$27,E190)+(IF(C190&lt;10,INDEX('参数'!$G$35:$P$35,1,MIN(10,C190+1)),'参数'!$H$27)-MAX('参数'!$G$27,E190))*MOD(B190-1,12)/11,0)</x:f>
        <x:v>77</x:v>
      </x:c>
      <x:c r="E190" s="18" t="n">
        <x:f>INDEX('参数'!$G$35:$P$35,1,C190)</x:f>
        <x:v>75</x:v>
      </x:c>
      <x:c r="F190" s="15" t="n">
        <x:f>'参数'!$I$27</x:f>
        <x:v>1.1</x:v>
      </x:c>
      <x:c r="G190" s="18" t="n">
        <x:f>ROUND(V190*X190/'参数'!$B$56,0)</x:f>
        <x:v>95470</x:v>
      </x:c>
      <x:c r="H190" s="18" t="n">
        <x:f>ROUND((AA190+SQRT(AA190^2+4*AA190*'参数'!$B$22*U190))/2,0)</x:f>
        <x:v>3149</x:v>
      </x:c>
      <x:c r="I190" s="18" t="n">
        <x:f>ROUND(Q190*'参数'!$B$23/'参数'!$B$22,0)</x:f>
        <x:v>714</x:v>
      </x:c>
      <x:c r="J190" s="18" t="n">
        <x:f>ROUND(G190*'参数'!$B$50,0)</x:f>
        <x:v>286410</x:v>
      </x:c>
      <x:c r="K190" s="18" t="n">
        <x:f>ROUND(W190*Y190,0)</x:f>
        <x:v>923825</x:v>
      </x:c>
      <x:c r="L190" s="18" t="n">
        <x:f>ROUND((AB190+SQRT(AB190^2+4*AB190*'参数'!$B$22*U190))/2,0)</x:f>
        <x:v>5151</x:v>
      </x:c>
      <x:c r="M190" s="18" t="n">
        <x:f>ROUND(I190*'参数'!$B$24,0)</x:f>
        <x:v>893</x:v>
      </x:c>
      <x:c r="N190" s="18" t="n">
        <x:f>'参数'!$B$9*'参数'!$B$10^(D190-1)</x:f>
        <x:v>5672.57606260597</x:v>
      </x:c>
      <x:c r="O190" s="18" t="n">
        <x:f>'参数'!$B$18*'参数'!$B$19^(MIN(E190,MAX(1,5*INT(D190/5)))-1)*F190*'参数'!$J$27*P190</x:f>
        <x:v>605.8379831105153</x:v>
      </x:c>
      <x:c r="P190" s="21" t="n">
        <x:f>MIN(1,(D190-1)/19)</x:f>
        <x:v>1</x:v>
      </x:c>
      <x:c r="Q190" s="18" t="n">
        <x:f>INDEX('角色成长'!$F$6:$F$105,D190)+O190*'参数'!$K$21</x:f>
        <x:v>3570.638251864969</x:v>
      </x:c>
      <x:c r="R190" s="18" t="n">
        <x:f>INDEX('角色成长'!$I$6:$I$105,D190)+O190*'参数'!$K$21</x:f>
        <x:v>3054.638251864969</x:v>
      </x:c>
      <x:c r="S190" s="18" t="n">
        <x:f>INDEX('角色成长'!$L$6:$L$105,D190)+O190*'参数'!$K$21</x:f>
        <x:v>2759.638251864969</x:v>
      </x:c>
      <x:c r="T190" s="18" t="n">
        <x:f>(INDEX('角色成长'!$J$6:$J$105,D190)+O190*'参数'!$L$21)*(1+'参数'!$B$40*P190)</x:f>
        <x:v>40991.06354755879</x:v>
      </x:c>
      <x:c r="U190" s="18" t="n">
        <x:f>(INDEX('角色成长'!$K$6:$K$105,D190)+O190*'参数'!$M$21)*(1+'参数'!$B$41*P190)</x:f>
        <x:v>2221.138117487742</x:v>
      </x:c>
      <x:c r="V190" s="18" t="n">
        <x:f>(('参数'!$K$5*(((Q190*(1+'参数'!$B$39*P190))^2/((Q190*(1+'参数'!$B$39*P190))+'参数'!$B$22*(I190)))*(1+'参数'!$B$42*P190)/'参数'!$J$5+((Q190*'参数'!$B$43*(1+'参数'!$B$39*P190))^2/((Q190*'参数'!$B$43*(1+'参数'!$B$39*P190))+'参数'!$B$22*(I190)))/'参数'!$B$44))+(((R190*(1+'参数'!$B$39*P190))^2/((R190*(1+'参数'!$B$39*P190))+'参数'!$B$22*(I190)))*(1+'参数'!$B$42*P190)/'参数'!$J$6+((R190*'参数'!$B$45*(1+'参数'!$B$39*P190))^2/((R190*'参数'!$B$45*(1+'参数'!$B$39*P190))+'参数'!$B$22*(I190)))/'参数'!$B$46)+((S190*(1+'参数'!$B$39*P190))^2/((S190*(1+'参数'!$B$39*P190))+'参数'!$B$22*(I190)))*(1+'参数'!$B$42*P190)/'参数'!$J$7)*(1+'参数'!$B$37*('参数'!$B$38-1))*'参数'!$B$25</x:f>
        <x:v>24041.83538090239</x:v>
      </x:c>
      <x:c r="W190" s="18" t="n">
        <x:f>(('参数'!$K$5*(((Q190*(1+'参数'!$B$39*P190))^2/((Q190*(1+'参数'!$B$39*P190))+'参数'!$B$22*(M190)))*(1+'参数'!$B$42*P190)/'参数'!$J$5+((Q190*'参数'!$B$43*(1+'参数'!$B$39*P190))^2/((Q190*'参数'!$B$43*(1+'参数'!$B$39*P190))+'参数'!$B$22*(M190)))/'参数'!$B$44))+(((R190*(1+'参数'!$B$39*P190))^2/((R190*(1+'参数'!$B$39*P190))+'参数'!$B$22*(M190)))*(1+'参数'!$B$42*P190)/'参数'!$J$6+((R190*'参数'!$B$45*(1+'参数'!$B$39*P190))^2/((R190*'参数'!$B$45*(1+'参数'!$B$39*P190))+'参数'!$B$22*(M190)))/'参数'!$B$46)+((S190*(1+'参数'!$B$39*P190))^2/((S190*(1+'参数'!$B$39*P190))+'参数'!$B$22*(M190)))*(1+'参数'!$B$42*P190)/'参数'!$J$7)*(1+'参数'!$B$37*('参数'!$B$38-1))</x:f>
        <x:v>18517.64609003951</x:v>
      </x:c>
      <x:c r="X190" s="25" t="n">
        <x:f>('参数'!$B$26+'参数'!$B$27*(D190-1)/99)*'参数'!$K$27*AD190</x:f>
        <x:v>18.26666666666667</x:v>
      </x:c>
      <x:c r="Y190" s="25" t="n">
        <x:f>('参数'!$B$28+'参数'!$B$29*(D190-1)/99)*'参数'!$K$27*AD190*IF(AE190=1,'参数'!$B$51,1)</x:f>
        <x:v>49.888888888888886</x:v>
      </x:c>
      <x:c r="Z190" s="21" t="n">
        <x:f>MIN('参数'!$B$36,U190/(U190+'参数'!$B$35))</x:f>
        <x:v>0.3570308319058339</x:v>
      </x:c>
      <x:c r="AA190" s="18" t="n">
        <x:f>T190*'参数'!$B$30/('参数'!$B$32*'参数'!$B$33)/(1-Z190)*AC190</x:f>
        <x:v>1673.510133173027</x:v>
      </x:c>
      <x:c r="AB190" s="18" t="n">
        <x:f>T190*'参数'!$B$31/'参数'!$B$34/(1-Z190)*AC190</x:f>
        <x:v>3347.020266346054</x:v>
      </x:c>
      <x:c r="AC190" s="15" t="n">
        <x:f>'参数'!$L$27*1</x:f>
        <x:v>1.05</x:v>
      </x:c>
      <x:c r="AD190" s="15" t="n">
        <x:f>1</x:f>
        <x:v>1</x:v>
      </x:c>
      <x:c r="AE190" s="18" t="n">
        <x:f>IF(MOD(B190,12)=0,1,0)</x:f>
        <x:v>0</x:v>
      </x:c>
    </x:row>
    <x:row r="191" ht="22" customHeight="1">
      <x:c r="A191" s="19" t="str">
        <x:v>困难</x:v>
      </x:c>
      <x:c r="B191" s="19" t="n">
        <x:v>66</x:v>
      </x:c>
      <x:c r="C191" s="19" t="n">
        <x:f>ROUNDUP(B191/12,0)</x:f>
        <x:v>6</x:v>
      </x:c>
      <x:c r="D191" s="19" t="n">
        <x:f>ROUND(MAX('参数'!$G$27,E191)+(IF(C191&lt;10,INDEX('参数'!$G$35:$P$35,1,MIN(10,C191+1)),'参数'!$H$27)-MAX('参数'!$G$27,E191))*MOD(B191-1,12)/11,0)</x:f>
        <x:v>77</x:v>
      </x:c>
      <x:c r="E191" s="19" t="n">
        <x:f>INDEX('参数'!$G$35:$P$35,1,C191)</x:f>
        <x:v>75</x:v>
      </x:c>
      <x:c r="F191" s="20" t="n">
        <x:f>'参数'!$I$27</x:f>
        <x:v>1.1</x:v>
      </x:c>
      <x:c r="G191" s="19" t="n">
        <x:f>ROUND(V191*X191/'参数'!$B$56,0)</x:f>
        <x:v>95470</x:v>
      </x:c>
      <x:c r="H191" s="19" t="n">
        <x:f>ROUND((AA191+SQRT(AA191^2+4*AA191*'参数'!$B$22*U191))/2,0)</x:f>
        <x:v>3149</x:v>
      </x:c>
      <x:c r="I191" s="19" t="n">
        <x:f>ROUND(Q191*'参数'!$B$23/'参数'!$B$22,0)</x:f>
        <x:v>714</x:v>
      </x:c>
      <x:c r="J191" s="19" t="n">
        <x:f>ROUND(G191*'参数'!$B$50,0)</x:f>
        <x:v>286410</x:v>
      </x:c>
      <x:c r="K191" s="19" t="n">
        <x:f>ROUND(W191*Y191,0)</x:f>
        <x:v>923825</x:v>
      </x:c>
      <x:c r="L191" s="19" t="n">
        <x:f>ROUND((AB191+SQRT(AB191^2+4*AB191*'参数'!$B$22*U191))/2,0)</x:f>
        <x:v>5151</x:v>
      </x:c>
      <x:c r="M191" s="19" t="n">
        <x:f>ROUND(I191*'参数'!$B$24,0)</x:f>
        <x:v>893</x:v>
      </x:c>
      <x:c r="N191" s="19" t="n">
        <x:f>'参数'!$B$9*'参数'!$B$10^(D191-1)</x:f>
        <x:v>5672.57606260597</x:v>
      </x:c>
      <x:c r="O191" s="19" t="n">
        <x:f>'参数'!$B$18*'参数'!$B$19^(MIN(E191,MAX(1,5*INT(D191/5)))-1)*F191*'参数'!$J$27*P191</x:f>
        <x:v>605.8379831105153</x:v>
      </x:c>
      <x:c r="P191" s="22" t="n">
        <x:f>MIN(1,(D191-1)/19)</x:f>
        <x:v>1</x:v>
      </x:c>
      <x:c r="Q191" s="19" t="n">
        <x:f>INDEX('角色成长'!$F$6:$F$105,D191)+O191*'参数'!$K$21</x:f>
        <x:v>3570.638251864969</x:v>
      </x:c>
      <x:c r="R191" s="19" t="n">
        <x:f>INDEX('角色成长'!$I$6:$I$105,D191)+O191*'参数'!$K$21</x:f>
        <x:v>3054.638251864969</x:v>
      </x:c>
      <x:c r="S191" s="19" t="n">
        <x:f>INDEX('角色成长'!$L$6:$L$105,D191)+O191*'参数'!$K$21</x:f>
        <x:v>2759.638251864969</x:v>
      </x:c>
      <x:c r="T191" s="19" t="n">
        <x:f>(INDEX('角色成长'!$J$6:$J$105,D191)+O191*'参数'!$L$21)*(1+'参数'!$B$40*P191)</x:f>
        <x:v>40991.06354755879</x:v>
      </x:c>
      <x:c r="U191" s="19" t="n">
        <x:f>(INDEX('角色成长'!$K$6:$K$105,D191)+O191*'参数'!$M$21)*(1+'参数'!$B$41*P191)</x:f>
        <x:v>2221.138117487742</x:v>
      </x:c>
      <x:c r="V191" s="19" t="n">
        <x:f>(('参数'!$K$5*(((Q191*(1+'参数'!$B$39*P191))^2/((Q191*(1+'参数'!$B$39*P191))+'参数'!$B$22*(I191)))*(1+'参数'!$B$42*P191)/'参数'!$J$5+((Q191*'参数'!$B$43*(1+'参数'!$B$39*P191))^2/((Q191*'参数'!$B$43*(1+'参数'!$B$39*P191))+'参数'!$B$22*(I191)))/'参数'!$B$44))+(((R191*(1+'参数'!$B$39*P191))^2/((R191*(1+'参数'!$B$39*P191))+'参数'!$B$22*(I191)))*(1+'参数'!$B$42*P191)/'参数'!$J$6+((R191*'参数'!$B$45*(1+'参数'!$B$39*P191))^2/((R191*'参数'!$B$45*(1+'参数'!$B$39*P191))+'参数'!$B$22*(I191)))/'参数'!$B$46)+((S191*(1+'参数'!$B$39*P191))^2/((S191*(1+'参数'!$B$39*P191))+'参数'!$B$22*(I191)))*(1+'参数'!$B$42*P191)/'参数'!$J$7)*(1+'参数'!$B$37*('参数'!$B$38-1))*'参数'!$B$25</x:f>
        <x:v>24041.83538090239</x:v>
      </x:c>
      <x:c r="W191" s="19" t="n">
        <x:f>(('参数'!$K$5*(((Q191*(1+'参数'!$B$39*P191))^2/((Q191*(1+'参数'!$B$39*P191))+'参数'!$B$22*(M191)))*(1+'参数'!$B$42*P191)/'参数'!$J$5+((Q191*'参数'!$B$43*(1+'参数'!$B$39*P191))^2/((Q191*'参数'!$B$43*(1+'参数'!$B$39*P191))+'参数'!$B$22*(M191)))/'参数'!$B$44))+(((R191*(1+'参数'!$B$39*P191))^2/((R191*(1+'参数'!$B$39*P191))+'参数'!$B$22*(M191)))*(1+'参数'!$B$42*P191)/'参数'!$J$6+((R191*'参数'!$B$45*(1+'参数'!$B$39*P191))^2/((R191*'参数'!$B$45*(1+'参数'!$B$39*P191))+'参数'!$B$22*(M191)))/'参数'!$B$46)+((S191*(1+'参数'!$B$39*P191))^2/((S191*(1+'参数'!$B$39*P191))+'参数'!$B$22*(M191)))*(1+'参数'!$B$42*P191)/'参数'!$J$7)*(1+'参数'!$B$37*('参数'!$B$38-1))</x:f>
        <x:v>18517.64609003951</x:v>
      </x:c>
      <x:c r="X191" s="26" t="n">
        <x:f>('参数'!$B$26+'参数'!$B$27*(D191-1)/99)*'参数'!$K$27*AD191</x:f>
        <x:v>18.26666666666667</x:v>
      </x:c>
      <x:c r="Y191" s="26" t="n">
        <x:f>('参数'!$B$28+'参数'!$B$29*(D191-1)/99)*'参数'!$K$27*AD191*IF(AE191=1,'参数'!$B$51,1)</x:f>
        <x:v>49.888888888888886</x:v>
      </x:c>
      <x:c r="Z191" s="22" t="n">
        <x:f>MIN('参数'!$B$36,U191/(U191+'参数'!$B$35))</x:f>
        <x:v>0.3570308319058339</x:v>
      </x:c>
      <x:c r="AA191" s="19" t="n">
        <x:f>T191*'参数'!$B$30/('参数'!$B$32*'参数'!$B$33)/(1-Z191)*AC191</x:f>
        <x:v>1673.510133173027</x:v>
      </x:c>
      <x:c r="AB191" s="19" t="n">
        <x:f>T191*'参数'!$B$31/'参数'!$B$34/(1-Z191)*AC191</x:f>
        <x:v>3347.020266346054</x:v>
      </x:c>
      <x:c r="AC191" s="20" t="n">
        <x:f>'参数'!$L$27*1</x:f>
        <x:v>1.05</x:v>
      </x:c>
      <x:c r="AD191" s="20" t="n">
        <x:f>1</x:f>
        <x:v>1</x:v>
      </x:c>
      <x:c r="AE191" s="19" t="n">
        <x:f>IF(MOD(B191,12)=0,1,0)</x:f>
        <x:v>0</x:v>
      </x:c>
    </x:row>
    <x:row r="192" ht="22" customHeight="1">
      <x:c r="A192" s="18" t="str">
        <x:v>困难</x:v>
      </x:c>
      <x:c r="B192" s="18" t="n">
        <x:v>67</x:v>
      </x:c>
      <x:c r="C192" s="18" t="n">
        <x:f>ROUNDUP(B192/12,0)</x:f>
        <x:v>6</x:v>
      </x:c>
      <x:c r="D192" s="18" t="n">
        <x:f>ROUND(MAX('参数'!$G$27,E192)+(IF(C192&lt;10,INDEX('参数'!$G$35:$P$35,1,MIN(10,C192+1)),'参数'!$H$27)-MAX('参数'!$G$27,E192))*MOD(B192-1,12)/11,0)</x:f>
        <x:v>78</x:v>
      </x:c>
      <x:c r="E192" s="18" t="n">
        <x:f>INDEX('参数'!$G$35:$P$35,1,C192)</x:f>
        <x:v>75</x:v>
      </x:c>
      <x:c r="F192" s="15" t="n">
        <x:f>'参数'!$I$27</x:f>
        <x:v>1.1</x:v>
      </x:c>
      <x:c r="G192" s="18" t="n">
        <x:f>ROUND(V192*X192/'参数'!$B$56,0)</x:f>
        <x:v>97452</x:v>
      </x:c>
      <x:c r="H192" s="18" t="n">
        <x:f>ROUND((AA192+SQRT(AA192^2+4*AA192*'参数'!$B$22*U192))/2,0)</x:f>
        <x:v>3228</x:v>
      </x:c>
      <x:c r="I192" s="18" t="n">
        <x:f>ROUND(Q192*'参数'!$B$23/'参数'!$B$22,0)</x:f>
        <x:v>727</x:v>
      </x:c>
      <x:c r="J192" s="18" t="n">
        <x:f>ROUND(G192*'参数'!$B$50,0)</x:f>
        <x:v>292356</x:v>
      </x:c>
      <x:c r="K192" s="18" t="n">
        <x:f>ROUND(W192*Y192,0)</x:f>
        <x:v>943787</x:v>
      </x:c>
      <x:c r="L192" s="18" t="n">
        <x:f>ROUND((AB192+SQRT(AB192^2+4*AB192*'参数'!$B$22*U192))/2,0)</x:f>
        <x:v>5285</x:v>
      </x:c>
      <x:c r="M192" s="18" t="n">
        <x:f>ROUND(I192*'参数'!$B$24,0)</x:f>
        <x:v>909</x:v>
      </x:c>
      <x:c r="N192" s="18" t="n">
        <x:f>'参数'!$B$9*'参数'!$B$10^(D192-1)</x:f>
        <x:v>5842.753344484149</x:v>
      </x:c>
      <x:c r="O192" s="18" t="n">
        <x:f>'参数'!$B$18*'参数'!$B$19^(MIN(E192,MAX(1,5*INT(D192/5)))-1)*F192*'参数'!$J$27*P192</x:f>
        <x:v>605.8379831105153</x:v>
      </x:c>
      <x:c r="P192" s="21" t="n">
        <x:f>MIN(1,(D192-1)/19)</x:f>
        <x:v>1</x:v>
      </x:c>
      <x:c r="Q192" s="18" t="n">
        <x:f>INDEX('角色成长'!$F$6:$F$105,D192)+O192*'参数'!$K$21</x:f>
        <x:v>3635.638251864969</x:v>
      </x:c>
      <x:c r="R192" s="18" t="n">
        <x:f>INDEX('角色成长'!$I$6:$I$105,D192)+O192*'参数'!$K$21</x:f>
        <x:v>3100.638251864969</x:v>
      </x:c>
      <x:c r="S192" s="18" t="n">
        <x:f>INDEX('角色成长'!$L$6:$L$105,D192)+O192*'参数'!$K$21</x:f>
        <x:v>2795.638251864969</x:v>
      </x:c>
      <x:c r="T192" s="18" t="n">
        <x:f>(INDEX('角色成长'!$J$6:$J$105,D192)+O192*'参数'!$L$21)*(1+'参数'!$B$40*P192)</x:f>
        <x:v>41934.86354755879</x:v>
      </x:c>
      <x:c r="U192" s="18" t="n">
        <x:f>(INDEX('角色成长'!$K$6:$K$105,D192)+O192*'参数'!$M$21)*(1+'参数'!$B$41*P192)</x:f>
        <x:v>2258.538117487742</x:v>
      </x:c>
      <x:c r="V192" s="18" t="n">
        <x:f>(('参数'!$K$5*(((Q192*(1+'参数'!$B$39*P192))^2/((Q192*(1+'参数'!$B$39*P192))+'参数'!$B$22*(I192)))*(1+'参数'!$B$42*P192)/'参数'!$J$5+((Q192*'参数'!$B$43*(1+'参数'!$B$39*P192))^2/((Q192*'参数'!$B$43*(1+'参数'!$B$39*P192))+'参数'!$B$22*(I192)))/'参数'!$B$44))+(((R192*(1+'参数'!$B$39*P192))^2/((R192*(1+'参数'!$B$39*P192))+'参数'!$B$22*(I192)))*(1+'参数'!$B$42*P192)/'参数'!$J$6+((R192*'参数'!$B$45*(1+'参数'!$B$39*P192))^2/((R192*'参数'!$B$45*(1+'参数'!$B$39*P192))+'参数'!$B$22*(I192)))/'参数'!$B$46)+((S192*(1+'参数'!$B$39*P192))^2/((S192*(1+'参数'!$B$39*P192))+'参数'!$B$22*(I192)))*(1+'参数'!$B$42*P192)/'参数'!$J$7)*(1+'参数'!$B$37*('参数'!$B$38-1))*'参数'!$B$25</x:f>
        <x:v>24451.703644723242</x:v>
      </x:c>
      <x:c r="W192" s="18" t="n">
        <x:f>(('参数'!$K$5*(((Q192*(1+'参数'!$B$39*P192))^2/((Q192*(1+'参数'!$B$39*P192))+'参数'!$B$22*(M192)))*(1+'参数'!$B$42*P192)/'参数'!$J$5+((Q192*'参数'!$B$43*(1+'参数'!$B$39*P192))^2/((Q192*'参数'!$B$43*(1+'参数'!$B$39*P192))+'参数'!$B$22*(M192)))/'参数'!$B$44))+(((R192*(1+'参数'!$B$39*P192))^2/((R192*(1+'参数'!$B$39*P192))+'参数'!$B$22*(M192)))*(1+'参数'!$B$42*P192)/'参数'!$J$6+((R192*'参数'!$B$45*(1+'参数'!$B$39*P192))^2/((R192*'参数'!$B$45*(1+'参数'!$B$39*P192))+'参数'!$B$22*(M192)))/'参数'!$B$46)+((S192*(1+'参数'!$B$39*P192))^2/((S192*(1+'参数'!$B$39*P192))+'参数'!$B$22*(M192)))*(1+'参数'!$B$42*P192)/'参数'!$J$7)*(1+'参数'!$B$37*('参数'!$B$38-1))</x:f>
        <x:v>18833.888857697824</x:v>
      </x:c>
      <x:c r="X192" s="25" t="n">
        <x:f>('参数'!$B$26+'参数'!$B$27*(D192-1)/99)*'参数'!$K$27*AD192</x:f>
        <x:v>18.333333333333336</x:v>
      </x:c>
      <x:c r="Y192" s="25" t="n">
        <x:f>('参数'!$B$28+'参数'!$B$29*(D192-1)/99)*'参数'!$K$27*AD192*IF(AE192=1,'参数'!$B$51,1)</x:f>
        <x:v>50.111111111111114</x:v>
      </x:c>
      <x:c r="Z192" s="21" t="n">
        <x:f>MIN('参数'!$B$36,U192/(U192+'参数'!$B$35))</x:f>
        <x:v>0.3608731104755736</x:v>
      </x:c>
      <x:c r="AA192" s="18" t="n">
        <x:f>T192*'参数'!$B$30/('参数'!$B$32*'参数'!$B$33)/(1-Z192)*AC192</x:f>
        <x:v>1722.3343066390382</x:v>
      </x:c>
      <x:c r="AB192" s="18" t="n">
        <x:f>T192*'参数'!$B$31/'参数'!$B$34/(1-Z192)*AC192</x:f>
        <x:v>3444.6686132780765</x:v>
      </x:c>
      <x:c r="AC192" s="15" t="n">
        <x:f>'参数'!$L$27*1</x:f>
        <x:v>1.05</x:v>
      </x:c>
      <x:c r="AD192" s="15" t="n">
        <x:f>1</x:f>
        <x:v>1</x:v>
      </x:c>
      <x:c r="AE192" s="18" t="n">
        <x:f>IF(MOD(B192,12)=0,1,0)</x:f>
        <x:v>0</x:v>
      </x:c>
    </x:row>
    <x:row r="193" ht="22" customHeight="1">
      <x:c r="A193" s="19" t="str">
        <x:v>困难</x:v>
      </x:c>
      <x:c r="B193" s="19" t="n">
        <x:v>68</x:v>
      </x:c>
      <x:c r="C193" s="19" t="n">
        <x:f>ROUNDUP(B193/12,0)</x:f>
        <x:v>6</x:v>
      </x:c>
      <x:c r="D193" s="19" t="n">
        <x:f>ROUND(MAX('参数'!$G$27,E193)+(IF(C193&lt;10,INDEX('参数'!$G$35:$P$35,1,MIN(10,C193+1)),'参数'!$H$27)-MAX('参数'!$G$27,E193))*MOD(B193-1,12)/11,0)</x:f>
        <x:v>78</x:v>
      </x:c>
      <x:c r="E193" s="19" t="n">
        <x:f>INDEX('参数'!$G$35:$P$35,1,C193)</x:f>
        <x:v>75</x:v>
      </x:c>
      <x:c r="F193" s="20" t="n">
        <x:f>'参数'!$I$27</x:f>
        <x:v>1.1</x:v>
      </x:c>
      <x:c r="G193" s="19" t="n">
        <x:f>ROUND(V193*X193/'参数'!$B$56,0)</x:f>
        <x:v>97452</x:v>
      </x:c>
      <x:c r="H193" s="19" t="n">
        <x:f>ROUND((AA193+SQRT(AA193^2+4*AA193*'参数'!$B$22*U193))/2,0)</x:f>
        <x:v>3228</x:v>
      </x:c>
      <x:c r="I193" s="19" t="n">
        <x:f>ROUND(Q193*'参数'!$B$23/'参数'!$B$22,0)</x:f>
        <x:v>727</x:v>
      </x:c>
      <x:c r="J193" s="19" t="n">
        <x:f>ROUND(G193*'参数'!$B$50,0)</x:f>
        <x:v>292356</x:v>
      </x:c>
      <x:c r="K193" s="19" t="n">
        <x:f>ROUND(W193*Y193,0)</x:f>
        <x:v>943787</x:v>
      </x:c>
      <x:c r="L193" s="19" t="n">
        <x:f>ROUND((AB193+SQRT(AB193^2+4*AB193*'参数'!$B$22*U193))/2,0)</x:f>
        <x:v>5285</x:v>
      </x:c>
      <x:c r="M193" s="19" t="n">
        <x:f>ROUND(I193*'参数'!$B$24,0)</x:f>
        <x:v>909</x:v>
      </x:c>
      <x:c r="N193" s="19" t="n">
        <x:f>'参数'!$B$9*'参数'!$B$10^(D193-1)</x:f>
        <x:v>5842.753344484149</x:v>
      </x:c>
      <x:c r="O193" s="19" t="n">
        <x:f>'参数'!$B$18*'参数'!$B$19^(MIN(E193,MAX(1,5*INT(D193/5)))-1)*F193*'参数'!$J$27*P193</x:f>
        <x:v>605.8379831105153</x:v>
      </x:c>
      <x:c r="P193" s="22" t="n">
        <x:f>MIN(1,(D193-1)/19)</x:f>
        <x:v>1</x:v>
      </x:c>
      <x:c r="Q193" s="19" t="n">
        <x:f>INDEX('角色成长'!$F$6:$F$105,D193)+O193*'参数'!$K$21</x:f>
        <x:v>3635.638251864969</x:v>
      </x:c>
      <x:c r="R193" s="19" t="n">
        <x:f>INDEX('角色成长'!$I$6:$I$105,D193)+O193*'参数'!$K$21</x:f>
        <x:v>3100.638251864969</x:v>
      </x:c>
      <x:c r="S193" s="19" t="n">
        <x:f>INDEX('角色成长'!$L$6:$L$105,D193)+O193*'参数'!$K$21</x:f>
        <x:v>2795.638251864969</x:v>
      </x:c>
      <x:c r="T193" s="19" t="n">
        <x:f>(INDEX('角色成长'!$J$6:$J$105,D193)+O193*'参数'!$L$21)*(1+'参数'!$B$40*P193)</x:f>
        <x:v>41934.86354755879</x:v>
      </x:c>
      <x:c r="U193" s="19" t="n">
        <x:f>(INDEX('角色成长'!$K$6:$K$105,D193)+O193*'参数'!$M$21)*(1+'参数'!$B$41*P193)</x:f>
        <x:v>2258.538117487742</x:v>
      </x:c>
      <x:c r="V193" s="19" t="n">
        <x:f>(('参数'!$K$5*(((Q193*(1+'参数'!$B$39*P193))^2/((Q193*(1+'参数'!$B$39*P193))+'参数'!$B$22*(I193)))*(1+'参数'!$B$42*P193)/'参数'!$J$5+((Q193*'参数'!$B$43*(1+'参数'!$B$39*P193))^2/((Q193*'参数'!$B$43*(1+'参数'!$B$39*P193))+'参数'!$B$22*(I193)))/'参数'!$B$44))+(((R193*(1+'参数'!$B$39*P193))^2/((R193*(1+'参数'!$B$39*P193))+'参数'!$B$22*(I193)))*(1+'参数'!$B$42*P193)/'参数'!$J$6+((R193*'参数'!$B$45*(1+'参数'!$B$39*P193))^2/((R193*'参数'!$B$45*(1+'参数'!$B$39*P193))+'参数'!$B$22*(I193)))/'参数'!$B$46)+((S193*(1+'参数'!$B$39*P193))^2/((S193*(1+'参数'!$B$39*P193))+'参数'!$B$22*(I193)))*(1+'参数'!$B$42*P193)/'参数'!$J$7)*(1+'参数'!$B$37*('参数'!$B$38-1))*'参数'!$B$25</x:f>
        <x:v>24451.703644723242</x:v>
      </x:c>
      <x:c r="W193" s="19" t="n">
        <x:f>(('参数'!$K$5*(((Q193*(1+'参数'!$B$39*P193))^2/((Q193*(1+'参数'!$B$39*P193))+'参数'!$B$22*(M193)))*(1+'参数'!$B$42*P193)/'参数'!$J$5+((Q193*'参数'!$B$43*(1+'参数'!$B$39*P193))^2/((Q193*'参数'!$B$43*(1+'参数'!$B$39*P193))+'参数'!$B$22*(M193)))/'参数'!$B$44))+(((R193*(1+'参数'!$B$39*P193))^2/((R193*(1+'参数'!$B$39*P193))+'参数'!$B$22*(M193)))*(1+'参数'!$B$42*P193)/'参数'!$J$6+((R193*'参数'!$B$45*(1+'参数'!$B$39*P193))^2/((R193*'参数'!$B$45*(1+'参数'!$B$39*P193))+'参数'!$B$22*(M193)))/'参数'!$B$46)+((S193*(1+'参数'!$B$39*P193))^2/((S193*(1+'参数'!$B$39*P193))+'参数'!$B$22*(M193)))*(1+'参数'!$B$42*P193)/'参数'!$J$7)*(1+'参数'!$B$37*('参数'!$B$38-1))</x:f>
        <x:v>18833.888857697824</x:v>
      </x:c>
      <x:c r="X193" s="26" t="n">
        <x:f>('参数'!$B$26+'参数'!$B$27*(D193-1)/99)*'参数'!$K$27*AD193</x:f>
        <x:v>18.333333333333336</x:v>
      </x:c>
      <x:c r="Y193" s="26" t="n">
        <x:f>('参数'!$B$28+'参数'!$B$29*(D193-1)/99)*'参数'!$K$27*AD193*IF(AE193=1,'参数'!$B$51,1)</x:f>
        <x:v>50.111111111111114</x:v>
      </x:c>
      <x:c r="Z193" s="22" t="n">
        <x:f>MIN('参数'!$B$36,U193/(U193+'参数'!$B$35))</x:f>
        <x:v>0.3608731104755736</x:v>
      </x:c>
      <x:c r="AA193" s="19" t="n">
        <x:f>T193*'参数'!$B$30/('参数'!$B$32*'参数'!$B$33)/(1-Z193)*AC193</x:f>
        <x:v>1722.3343066390382</x:v>
      </x:c>
      <x:c r="AB193" s="19" t="n">
        <x:f>T193*'参数'!$B$31/'参数'!$B$34/(1-Z193)*AC193</x:f>
        <x:v>3444.6686132780765</x:v>
      </x:c>
      <x:c r="AC193" s="20" t="n">
        <x:f>'参数'!$L$27*1</x:f>
        <x:v>1.05</x:v>
      </x:c>
      <x:c r="AD193" s="20" t="n">
        <x:f>1</x:f>
        <x:v>1</x:v>
      </x:c>
      <x:c r="AE193" s="19" t="n">
        <x:f>IF(MOD(B193,12)=0,1,0)</x:f>
        <x:v>0</x:v>
      </x:c>
    </x:row>
    <x:row r="194" ht="22" customHeight="1">
      <x:c r="A194" s="18" t="str">
        <x:v>困难</x:v>
      </x:c>
      <x:c r="B194" s="18" t="n">
        <x:v>69</x:v>
      </x:c>
      <x:c r="C194" s="18" t="n">
        <x:f>ROUNDUP(B194/12,0)</x:f>
        <x:v>6</x:v>
      </x:c>
      <x:c r="D194" s="18" t="n">
        <x:f>ROUND(MAX('参数'!$G$27,E194)+(IF(C194&lt;10,INDEX('参数'!$G$35:$P$35,1,MIN(10,C194+1)),'参数'!$H$27)-MAX('参数'!$G$27,E194))*MOD(B194-1,12)/11,0)</x:f>
        <x:v>79</x:v>
      </x:c>
      <x:c r="E194" s="18" t="n">
        <x:f>INDEX('参数'!$G$35:$P$35,1,C194)</x:f>
        <x:v>75</x:v>
      </x:c>
      <x:c r="F194" s="15" t="n">
        <x:f>'参数'!$I$27</x:f>
        <x:v>1.1</x:v>
      </x:c>
      <x:c r="G194" s="18" t="n">
        <x:f>ROUND(V194*X194/'参数'!$B$56,0)</x:f>
        <x:v>99487</x:v>
      </x:c>
      <x:c r="H194" s="18" t="n">
        <x:f>ROUND((AA194+SQRT(AA194^2+4*AA194*'参数'!$B$22*U194))/2,0)</x:f>
        <x:v>3310</x:v>
      </x:c>
      <x:c r="I194" s="18" t="n">
        <x:f>ROUND(Q194*'参数'!$B$23/'参数'!$B$22,0)</x:f>
        <x:v>741</x:v>
      </x:c>
      <x:c r="J194" s="18" t="n">
        <x:f>ROUND(G194*'参数'!$B$50,0)</x:f>
        <x:v>298461</x:v>
      </x:c>
      <x:c r="K194" s="18" t="n">
        <x:f>ROUND(W194*Y194,0)</x:f>
        <x:v>964311</x:v>
      </x:c>
      <x:c r="L194" s="18" t="n">
        <x:f>ROUND((AB194+SQRT(AB194^2+4*AB194*'参数'!$B$22*U194))/2,0)</x:f>
        <x:v>5423</x:v>
      </x:c>
      <x:c r="M194" s="18" t="n">
        <x:f>ROUND(I194*'参数'!$B$24,0)</x:f>
        <x:v>926</x:v>
      </x:c>
      <x:c r="N194" s="18" t="n">
        <x:f>'参数'!$B$9*'参数'!$B$10^(D194-1)</x:f>
        <x:v>6018.035944818673</x:v>
      </x:c>
      <x:c r="O194" s="18" t="n">
        <x:f>'参数'!$B$18*'参数'!$B$19^(MIN(E194,MAX(1,5*INT(D194/5)))-1)*F194*'参数'!$J$27*P194</x:f>
        <x:v>605.8379831105153</x:v>
      </x:c>
      <x:c r="P194" s="21" t="n">
        <x:f>MIN(1,(D194-1)/19)</x:f>
        <x:v>1</x:v>
      </x:c>
      <x:c r="Q194" s="18" t="n">
        <x:f>INDEX('角色成长'!$F$6:$F$105,D194)+O194*'参数'!$K$21</x:f>
        <x:v>3702.638251864969</x:v>
      </x:c>
      <x:c r="R194" s="18" t="n">
        <x:f>INDEX('角色成长'!$I$6:$I$105,D194)+O194*'参数'!$K$21</x:f>
        <x:v>3148.638251864969</x:v>
      </x:c>
      <x:c r="S194" s="18" t="n">
        <x:f>INDEX('角色成长'!$L$6:$L$105,D194)+O194*'参数'!$K$21</x:f>
        <x:v>2832.638251864969</x:v>
      </x:c>
      <x:c r="T194" s="18" t="n">
        <x:f>(INDEX('角色成长'!$J$6:$J$105,D194)+O194*'参数'!$L$21)*(1+'参数'!$B$40*P194)</x:f>
        <x:v>42911.66354755879</x:v>
      </x:c>
      <x:c r="U194" s="18" t="n">
        <x:f>(INDEX('角色成长'!$K$6:$K$105,D194)+O194*'参数'!$M$21)*(1+'参数'!$B$41*P194)</x:f>
        <x:v>2295.938117487742</x:v>
      </x:c>
      <x:c r="V194" s="18" t="n">
        <x:f>(('参数'!$K$5*(((Q194*(1+'参数'!$B$39*P194))^2/((Q194*(1+'参数'!$B$39*P194))+'参数'!$B$22*(I194)))*(1+'参数'!$B$42*P194)/'参数'!$J$5+((Q194*'参数'!$B$43*(1+'参数'!$B$39*P194))^2/((Q194*'参数'!$B$43*(1+'参数'!$B$39*P194))+'参数'!$B$22*(I194)))/'参数'!$B$44))+(((R194*(1+'参数'!$B$39*P194))^2/((R194*(1+'参数'!$B$39*P194))+'参数'!$B$22*(I194)))*(1+'参数'!$B$42*P194)/'参数'!$J$6+((R194*'参数'!$B$45*(1+'参数'!$B$39*P194))^2/((R194*'参数'!$B$45*(1+'参数'!$B$39*P194))+'参数'!$B$22*(I194)))/'参数'!$B$46)+((S194*(1+'参数'!$B$39*P194))^2/((S194*(1+'参数'!$B$39*P194))+'参数'!$B$22*(I194)))*(1+'参数'!$B$42*P194)/'参数'!$J$7)*(1+'参数'!$B$37*('参数'!$B$38-1))*'参数'!$B$25</x:f>
        <x:v>24871.79394740874</x:v>
      </x:c>
      <x:c r="W194" s="18" t="n">
        <x:f>(('参数'!$K$5*(((Q194*(1+'参数'!$B$39*P194))^2/((Q194*(1+'参数'!$B$39*P194))+'参数'!$B$22*(M194)))*(1+'参数'!$B$42*P194)/'参数'!$J$5+((Q194*'参数'!$B$43*(1+'参数'!$B$39*P194))^2/((Q194*'参数'!$B$43*(1+'参数'!$B$39*P194))+'参数'!$B$22*(M194)))/'参数'!$B$44))+(((R194*(1+'参数'!$B$39*P194))^2/((R194*(1+'参数'!$B$39*P194))+'参数'!$B$22*(M194)))*(1+'参数'!$B$42*P194)/'参数'!$J$6+((R194*'参数'!$B$45*(1+'参数'!$B$39*P194))^2/((R194*'参数'!$B$45*(1+'参数'!$B$39*P194))+'参数'!$B$22*(M194)))/'参数'!$B$46)+((S194*(1+'参数'!$B$39*P194))^2/((S194*(1+'参数'!$B$39*P194))+'参数'!$B$22*(M194)))*(1+'参数'!$B$42*P194)/'参数'!$J$7)*(1+'参数'!$B$37*('参数'!$B$38-1))</x:f>
        <x:v>19158.494956897397</x:v>
      </x:c>
      <x:c r="X194" s="25" t="n">
        <x:f>('参数'!$B$26+'参数'!$B$27*(D194-1)/99)*'参数'!$K$27*AD194</x:f>
        <x:v>18.400000000000002</x:v>
      </x:c>
      <x:c r="Y194" s="25" t="n">
        <x:f>('参数'!$B$28+'参数'!$B$29*(D194-1)/99)*'参数'!$K$27*AD194*IF(AE194=1,'参数'!$B$51,1)</x:f>
        <x:v>50.333333333333336</x:v>
      </x:c>
      <x:c r="Z194" s="21" t="n">
        <x:f>MIN('参数'!$B$36,U194/(U194+'参数'!$B$35))</x:f>
        <x:v>0.3646697401790675</x:v>
      </x:c>
      <x:c r="AA194" s="18" t="n">
        <x:f>T194*'参数'!$B$30/('参数'!$B$32*'参数'!$B$33)/(1-Z194)*AC194</x:f>
        <x:v>1772.9852320286182</x:v>
      </x:c>
      <x:c r="AB194" s="18" t="n">
        <x:f>T194*'参数'!$B$31/'参数'!$B$34/(1-Z194)*AC194</x:f>
        <x:v>3545.9704640572363</x:v>
      </x:c>
      <x:c r="AC194" s="15" t="n">
        <x:f>'参数'!$L$27*1</x:f>
        <x:v>1.05</x:v>
      </x:c>
      <x:c r="AD194" s="15" t="n">
        <x:f>1</x:f>
        <x:v>1</x:v>
      </x:c>
      <x:c r="AE194" s="18" t="n">
        <x:f>IF(MOD(B194,12)=0,1,0)</x:f>
        <x:v>0</x:v>
      </x:c>
    </x:row>
    <x:row r="195" ht="22" customHeight="1">
      <x:c r="A195" s="19" t="str">
        <x:v>困难</x:v>
      </x:c>
      <x:c r="B195" s="19" t="n">
        <x:v>70</x:v>
      </x:c>
      <x:c r="C195" s="19" t="n">
        <x:f>ROUNDUP(B195/12,0)</x:f>
        <x:v>6</x:v>
      </x:c>
      <x:c r="D195" s="19" t="n">
        <x:f>ROUND(MAX('参数'!$G$27,E195)+(IF(C195&lt;10,INDEX('参数'!$G$35:$P$35,1,MIN(10,C195+1)),'参数'!$H$27)-MAX('参数'!$G$27,E195))*MOD(B195-1,12)/11,0)</x:f>
        <x:v>79</x:v>
      </x:c>
      <x:c r="E195" s="19" t="n">
        <x:f>INDEX('参数'!$G$35:$P$35,1,C195)</x:f>
        <x:v>75</x:v>
      </x:c>
      <x:c r="F195" s="20" t="n">
        <x:f>'参数'!$I$27</x:f>
        <x:v>1.1</x:v>
      </x:c>
      <x:c r="G195" s="19" t="n">
        <x:f>ROUND(V195*X195/'参数'!$B$56,0)</x:f>
        <x:v>99487</x:v>
      </x:c>
      <x:c r="H195" s="19" t="n">
        <x:f>ROUND((AA195+SQRT(AA195^2+4*AA195*'参数'!$B$22*U195))/2,0)</x:f>
        <x:v>3310</x:v>
      </x:c>
      <x:c r="I195" s="19" t="n">
        <x:f>ROUND(Q195*'参数'!$B$23/'参数'!$B$22,0)</x:f>
        <x:v>741</x:v>
      </x:c>
      <x:c r="J195" s="19" t="n">
        <x:f>ROUND(G195*'参数'!$B$50,0)</x:f>
        <x:v>298461</x:v>
      </x:c>
      <x:c r="K195" s="19" t="n">
        <x:f>ROUND(W195*Y195,0)</x:f>
        <x:v>964311</x:v>
      </x:c>
      <x:c r="L195" s="19" t="n">
        <x:f>ROUND((AB195+SQRT(AB195^2+4*AB195*'参数'!$B$22*U195))/2,0)</x:f>
        <x:v>5423</x:v>
      </x:c>
      <x:c r="M195" s="19" t="n">
        <x:f>ROUND(I195*'参数'!$B$24,0)</x:f>
        <x:v>926</x:v>
      </x:c>
      <x:c r="N195" s="19" t="n">
        <x:f>'参数'!$B$9*'参数'!$B$10^(D195-1)</x:f>
        <x:v>6018.035944818673</x:v>
      </x:c>
      <x:c r="O195" s="19" t="n">
        <x:f>'参数'!$B$18*'参数'!$B$19^(MIN(E195,MAX(1,5*INT(D195/5)))-1)*F195*'参数'!$J$27*P195</x:f>
        <x:v>605.8379831105153</x:v>
      </x:c>
      <x:c r="P195" s="22" t="n">
        <x:f>MIN(1,(D195-1)/19)</x:f>
        <x:v>1</x:v>
      </x:c>
      <x:c r="Q195" s="19" t="n">
        <x:f>INDEX('角色成长'!$F$6:$F$105,D195)+O195*'参数'!$K$21</x:f>
        <x:v>3702.638251864969</x:v>
      </x:c>
      <x:c r="R195" s="19" t="n">
        <x:f>INDEX('角色成长'!$I$6:$I$105,D195)+O195*'参数'!$K$21</x:f>
        <x:v>3148.638251864969</x:v>
      </x:c>
      <x:c r="S195" s="19" t="n">
        <x:f>INDEX('角色成长'!$L$6:$L$105,D195)+O195*'参数'!$K$21</x:f>
        <x:v>2832.638251864969</x:v>
      </x:c>
      <x:c r="T195" s="19" t="n">
        <x:f>(INDEX('角色成长'!$J$6:$J$105,D195)+O195*'参数'!$L$21)*(1+'参数'!$B$40*P195)</x:f>
        <x:v>42911.66354755879</x:v>
      </x:c>
      <x:c r="U195" s="19" t="n">
        <x:f>(INDEX('角色成长'!$K$6:$K$105,D195)+O195*'参数'!$M$21)*(1+'参数'!$B$41*P195)</x:f>
        <x:v>2295.938117487742</x:v>
      </x:c>
      <x:c r="V195" s="19" t="n">
        <x:f>(('参数'!$K$5*(((Q195*(1+'参数'!$B$39*P195))^2/((Q195*(1+'参数'!$B$39*P195))+'参数'!$B$22*(I195)))*(1+'参数'!$B$42*P195)/'参数'!$J$5+((Q195*'参数'!$B$43*(1+'参数'!$B$39*P195))^2/((Q195*'参数'!$B$43*(1+'参数'!$B$39*P195))+'参数'!$B$22*(I195)))/'参数'!$B$44))+(((R195*(1+'参数'!$B$39*P195))^2/((R195*(1+'参数'!$B$39*P195))+'参数'!$B$22*(I195)))*(1+'参数'!$B$42*P195)/'参数'!$J$6+((R195*'参数'!$B$45*(1+'参数'!$B$39*P195))^2/((R195*'参数'!$B$45*(1+'参数'!$B$39*P195))+'参数'!$B$22*(I195)))/'参数'!$B$46)+((S195*(1+'参数'!$B$39*P195))^2/((S195*(1+'参数'!$B$39*P195))+'参数'!$B$22*(I195)))*(1+'参数'!$B$42*P195)/'参数'!$J$7)*(1+'参数'!$B$37*('参数'!$B$38-1))*'参数'!$B$25</x:f>
        <x:v>24871.79394740874</x:v>
      </x:c>
      <x:c r="W195" s="19" t="n">
        <x:f>(('参数'!$K$5*(((Q195*(1+'参数'!$B$39*P195))^2/((Q195*(1+'参数'!$B$39*P195))+'参数'!$B$22*(M195)))*(1+'参数'!$B$42*P195)/'参数'!$J$5+((Q195*'参数'!$B$43*(1+'参数'!$B$39*P195))^2/((Q195*'参数'!$B$43*(1+'参数'!$B$39*P195))+'参数'!$B$22*(M195)))/'参数'!$B$44))+(((R195*(1+'参数'!$B$39*P195))^2/((R195*(1+'参数'!$B$39*P195))+'参数'!$B$22*(M195)))*(1+'参数'!$B$42*P195)/'参数'!$J$6+((R195*'参数'!$B$45*(1+'参数'!$B$39*P195))^2/((R195*'参数'!$B$45*(1+'参数'!$B$39*P195))+'参数'!$B$22*(M195)))/'参数'!$B$46)+((S195*(1+'参数'!$B$39*P195))^2/((S195*(1+'参数'!$B$39*P195))+'参数'!$B$22*(M195)))*(1+'参数'!$B$42*P195)/'参数'!$J$7)*(1+'参数'!$B$37*('参数'!$B$38-1))</x:f>
        <x:v>19158.494956897397</x:v>
      </x:c>
      <x:c r="X195" s="26" t="n">
        <x:f>('参数'!$B$26+'参数'!$B$27*(D195-1)/99)*'参数'!$K$27*AD195</x:f>
        <x:v>18.400000000000002</x:v>
      </x:c>
      <x:c r="Y195" s="26" t="n">
        <x:f>('参数'!$B$28+'参数'!$B$29*(D195-1)/99)*'参数'!$K$27*AD195*IF(AE195=1,'参数'!$B$51,1)</x:f>
        <x:v>50.333333333333336</x:v>
      </x:c>
      <x:c r="Z195" s="22" t="n">
        <x:f>MIN('参数'!$B$36,U195/(U195+'参数'!$B$35))</x:f>
        <x:v>0.3646697401790675</x:v>
      </x:c>
      <x:c r="AA195" s="19" t="n">
        <x:f>T195*'参数'!$B$30/('参数'!$B$32*'参数'!$B$33)/(1-Z195)*AC195</x:f>
        <x:v>1772.9852320286182</x:v>
      </x:c>
      <x:c r="AB195" s="19" t="n">
        <x:f>T195*'参数'!$B$31/'参数'!$B$34/(1-Z195)*AC195</x:f>
        <x:v>3545.9704640572363</x:v>
      </x:c>
      <x:c r="AC195" s="20" t="n">
        <x:f>'参数'!$L$27*1</x:f>
        <x:v>1.05</x:v>
      </x:c>
      <x:c r="AD195" s="20" t="n">
        <x:f>1</x:f>
        <x:v>1</x:v>
      </x:c>
      <x:c r="AE195" s="19" t="n">
        <x:f>IF(MOD(B195,12)=0,1,0)</x:f>
        <x:v>0</x:v>
      </x:c>
    </x:row>
    <x:row r="196" ht="22" customHeight="1">
      <x:c r="A196" s="18" t="str">
        <x:v>困难</x:v>
      </x:c>
      <x:c r="B196" s="18" t="n">
        <x:v>71</x:v>
      </x:c>
      <x:c r="C196" s="18" t="n">
        <x:f>ROUNDUP(B196/12,0)</x:f>
        <x:v>6</x:v>
      </x:c>
      <x:c r="D196" s="18" t="n">
        <x:f>ROUND(MAX('参数'!$G$27,E196)+(IF(C196&lt;10,INDEX('参数'!$G$35:$P$35,1,MIN(10,C196+1)),'参数'!$H$27)-MAX('参数'!$G$27,E196))*MOD(B196-1,12)/11,0)</x:f>
        <x:v>80</x:v>
      </x:c>
      <x:c r="E196" s="18" t="n">
        <x:f>INDEX('参数'!$G$35:$P$35,1,C196)</x:f>
        <x:v>75</x:v>
      </x:c>
      <x:c r="F196" s="15" t="n">
        <x:f>'参数'!$I$27</x:f>
        <x:v>1.1</x:v>
      </x:c>
      <x:c r="G196" s="18" t="n">
        <x:f>ROUND(V196*X196/'参数'!$B$56,0)</x:f>
        <x:v>101621</x:v>
      </x:c>
      <x:c r="H196" s="18" t="n">
        <x:f>ROUND((AA196+SQRT(AA196^2+4*AA196*'参数'!$B$22*U196))/2,0)</x:f>
        <x:v>3396</x:v>
      </x:c>
      <x:c r="I196" s="18" t="n">
        <x:f>ROUND(Q196*'参数'!$B$23/'参数'!$B$22,0)</x:f>
        <x:v>754</x:v>
      </x:c>
      <x:c r="J196" s="18" t="n">
        <x:f>ROUND(G196*'参数'!$B$50,0)</x:f>
        <x:v>304863</x:v>
      </x:c>
      <x:c r="K196" s="18" t="n">
        <x:f>ROUND(W196*Y196,0)</x:f>
        <x:v>985635</x:v>
      </x:c>
      <x:c r="L196" s="18" t="n">
        <x:f>ROUND((AB196+SQRT(AB196^2+4*AB196*'参数'!$B$22*U196))/2,0)</x:f>
        <x:v>5568</x:v>
      </x:c>
      <x:c r="M196" s="18" t="n">
        <x:f>ROUND(I196*'参数'!$B$24,0)</x:f>
        <x:v>943</x:v>
      </x:c>
      <x:c r="N196" s="18" t="n">
        <x:f>'参数'!$B$9*'参数'!$B$10^(D196-1)</x:f>
        <x:v>6198.577023163234</x:v>
      </x:c>
      <x:c r="O196" s="18" t="n">
        <x:f>'参数'!$B$18*'参数'!$B$19^(MIN(E196,MAX(1,5*INT(D196/5)))-1)*F196*'参数'!$J$27*P196</x:f>
        <x:v>605.8379831105153</x:v>
      </x:c>
      <x:c r="P196" s="21" t="n">
        <x:f>MIN(1,(D196-1)/19)</x:f>
        <x:v>1</x:v>
      </x:c>
      <x:c r="Q196" s="18" t="n">
        <x:f>INDEX('角色成长'!$F$6:$F$105,D196)+O196*'参数'!$K$21</x:f>
        <x:v>3771.638251864969</x:v>
      </x:c>
      <x:c r="R196" s="18" t="n">
        <x:f>INDEX('角色成长'!$I$6:$I$105,D196)+O196*'参数'!$K$21</x:f>
        <x:v>3198.638251864969</x:v>
      </x:c>
      <x:c r="S196" s="18" t="n">
        <x:f>INDEX('角色成长'!$L$6:$L$105,D196)+O196*'参数'!$K$21</x:f>
        <x:v>2871.638251864969</x:v>
      </x:c>
      <x:c r="T196" s="18" t="n">
        <x:f>(INDEX('角色成长'!$J$6:$J$105,D196)+O196*'参数'!$L$21)*(1+'参数'!$B$40*P196)</x:f>
        <x:v>43923.66354755879</x:v>
      </x:c>
      <x:c r="U196" s="18" t="n">
        <x:f>(INDEX('角色成长'!$K$6:$K$105,D196)+O196*'参数'!$M$21)*(1+'参数'!$B$41*P196)</x:f>
        <x:v>2335.538117487742</x:v>
      </x:c>
      <x:c r="V196" s="18" t="n">
        <x:f>(('参数'!$K$5*(((Q196*(1+'参数'!$B$39*P196))^2/((Q196*(1+'参数'!$B$39*P196))+'参数'!$B$22*(I196)))*(1+'参数'!$B$42*P196)/'参数'!$J$5+((Q196*'参数'!$B$43*(1+'参数'!$B$39*P196))^2/((Q196*'参数'!$B$43*(1+'参数'!$B$39*P196))+'参数'!$B$22*(I196)))/'参数'!$B$44))+(((R196*(1+'参数'!$B$39*P196))^2/((R196*(1+'参数'!$B$39*P196))+'参数'!$B$22*(I196)))*(1+'参数'!$B$42*P196)/'参数'!$J$6+((R196*'参数'!$B$45*(1+'参数'!$B$39*P196))^2/((R196*'参数'!$B$45*(1+'参数'!$B$39*P196))+'参数'!$B$22*(I196)))/'参数'!$B$46)+((S196*(1+'参数'!$B$39*P196))^2/((S196*(1+'参数'!$B$39*P196))+'参数'!$B$22*(I196)))*(1+'参数'!$B$42*P196)/'参数'!$J$7)*(1+'参数'!$B$37*('参数'!$B$38-1))*'参数'!$B$25</x:f>
        <x:v>25313.503802976156</x:v>
      </x:c>
      <x:c r="W196" s="18" t="n">
        <x:f>(('参数'!$K$5*(((Q196*(1+'参数'!$B$39*P196))^2/((Q196*(1+'参数'!$B$39*P196))+'参数'!$B$22*(M196)))*(1+'参数'!$B$42*P196)/'参数'!$J$5+((Q196*'参数'!$B$43*(1+'参数'!$B$39*P196))^2/((Q196*'参数'!$B$43*(1+'参数'!$B$39*P196))+'参数'!$B$22*(M196)))/'参数'!$B$44))+(((R196*(1+'参数'!$B$39*P196))^2/((R196*(1+'参数'!$B$39*P196))+'参数'!$B$22*(M196)))*(1+'参数'!$B$42*P196)/'参数'!$J$6+((R196*'参数'!$B$45*(1+'参数'!$B$39*P196))^2/((R196*'参数'!$B$45*(1+'参数'!$B$39*P196))+'参数'!$B$22*(M196)))/'参数'!$B$46)+((S196*(1+'参数'!$B$39*P196))^2/((S196*(1+'参数'!$B$39*P196))+'参数'!$B$22*(M196)))*(1+'参数'!$B$42*P196)/'参数'!$J$7)*(1+'参数'!$B$37*('参数'!$B$38-1))</x:f>
        <x:v>19496.07513788325</x:v>
      </x:c>
      <x:c r="X196" s="25" t="n">
        <x:f>('参数'!$B$26+'参数'!$B$27*(D196-1)/99)*'参数'!$K$27*AD196</x:f>
        <x:v>18.46666666666667</x:v>
      </x:c>
      <x:c r="Y196" s="25" t="n">
        <x:f>('参数'!$B$28+'参数'!$B$29*(D196-1)/99)*'参数'!$K$27*AD196*IF(AE196=1,'参数'!$B$51,1)</x:f>
        <x:v>50.55555555555556</x:v>
      </x:c>
      <x:c r="Z196" s="21" t="n">
        <x:f>MIN('参数'!$B$36,U196/(U196+'参数'!$B$35))</x:f>
        <x:v>0.3686408437889508</x:v>
      </x:c>
      <x:c r="AA196" s="18" t="n">
        <x:f>T196*'参数'!$B$30/('参数'!$B$32*'参数'!$B$33)/(1-Z196)*AC196</x:f>
        <x:v>1826.2127931158052</x:v>
      </x:c>
      <x:c r="AB196" s="18" t="n">
        <x:f>T196*'参数'!$B$31/'参数'!$B$34/(1-Z196)*AC196</x:f>
        <x:v>3652.4255862316104</x:v>
      </x:c>
      <x:c r="AC196" s="15" t="n">
        <x:f>'参数'!$L$27*1</x:f>
        <x:v>1.05</x:v>
      </x:c>
      <x:c r="AD196" s="15" t="n">
        <x:f>1</x:f>
        <x:v>1</x:v>
      </x:c>
      <x:c r="AE196" s="18" t="n">
        <x:f>IF(MOD(B196,12)=0,1,0)</x:f>
        <x:v>0</x:v>
      </x:c>
    </x:row>
    <x:row r="197" ht="22" customHeight="1">
      <x:c r="A197" s="19" t="str">
        <x:v>困难</x:v>
      </x:c>
      <x:c r="B197" s="19" t="n">
        <x:v>72</x:v>
      </x:c>
      <x:c r="C197" s="19" t="n">
        <x:f>ROUNDUP(B197/12,0)</x:f>
        <x:v>6</x:v>
      </x:c>
      <x:c r="D197" s="19" t="n">
        <x:f>ROUND(MAX('参数'!$G$27,E197)+(IF(C197&lt;10,INDEX('参数'!$G$35:$P$35,1,MIN(10,C197+1)),'参数'!$H$27)-MAX('参数'!$G$27,E197))*MOD(B197-1,12)/11,0)</x:f>
        <x:v>80</x:v>
      </x:c>
      <x:c r="E197" s="19" t="n">
        <x:f>INDEX('参数'!$G$35:$P$35,1,C197)</x:f>
        <x:v>75</x:v>
      </x:c>
      <x:c r="F197" s="20" t="n">
        <x:f>'参数'!$I$27</x:f>
        <x:v>1.1</x:v>
      </x:c>
      <x:c r="G197" s="19" t="n">
        <x:f>ROUND(V197*X197/'参数'!$B$56,0)</x:f>
        <x:v>101621</x:v>
      </x:c>
      <x:c r="H197" s="19" t="n">
        <x:f>ROUND((AA197+SQRT(AA197^2+4*AA197*'参数'!$B$22*U197))/2,0)</x:f>
        <x:v>3396</x:v>
      </x:c>
      <x:c r="I197" s="19" t="n">
        <x:f>ROUND(Q197*'参数'!$B$23/'参数'!$B$22,0)</x:f>
        <x:v>754</x:v>
      </x:c>
      <x:c r="J197" s="19" t="n">
        <x:f>ROUND(G197*'参数'!$B$50,0)</x:f>
        <x:v>304863</x:v>
      </x:c>
      <x:c r="K197" s="19" t="n">
        <x:f>ROUND(W197*Y197,0)</x:f>
        <x:v>1133480</x:v>
      </x:c>
      <x:c r="L197" s="19" t="n">
        <x:f>ROUND((AB197+SQRT(AB197^2+4*AB197*'参数'!$B$22*U197))/2,0)</x:f>
        <x:v>5568</x:v>
      </x:c>
      <x:c r="M197" s="19" t="n">
        <x:f>ROUND(I197*'参数'!$B$24,0)</x:f>
        <x:v>943</x:v>
      </x:c>
      <x:c r="N197" s="19" t="n">
        <x:f>'参数'!$B$9*'参数'!$B$10^(D197-1)</x:f>
        <x:v>6198.577023163234</x:v>
      </x:c>
      <x:c r="O197" s="19" t="n">
        <x:f>'参数'!$B$18*'参数'!$B$19^(MIN(E197,MAX(1,5*INT(D197/5)))-1)*F197*'参数'!$J$27*P197</x:f>
        <x:v>605.8379831105153</x:v>
      </x:c>
      <x:c r="P197" s="22" t="n">
        <x:f>MIN(1,(D197-1)/19)</x:f>
        <x:v>1</x:v>
      </x:c>
      <x:c r="Q197" s="19" t="n">
        <x:f>INDEX('角色成长'!$F$6:$F$105,D197)+O197*'参数'!$K$21</x:f>
        <x:v>3771.638251864969</x:v>
      </x:c>
      <x:c r="R197" s="19" t="n">
        <x:f>INDEX('角色成长'!$I$6:$I$105,D197)+O197*'参数'!$K$21</x:f>
        <x:v>3198.638251864969</x:v>
      </x:c>
      <x:c r="S197" s="19" t="n">
        <x:f>INDEX('角色成长'!$L$6:$L$105,D197)+O197*'参数'!$K$21</x:f>
        <x:v>2871.638251864969</x:v>
      </x:c>
      <x:c r="T197" s="19" t="n">
        <x:f>(INDEX('角色成长'!$J$6:$J$105,D197)+O197*'参数'!$L$21)*(1+'参数'!$B$40*P197)</x:f>
        <x:v>43923.66354755879</x:v>
      </x:c>
      <x:c r="U197" s="19" t="n">
        <x:f>(INDEX('角色成长'!$K$6:$K$105,D197)+O197*'参数'!$M$21)*(1+'参数'!$B$41*P197)</x:f>
        <x:v>2335.538117487742</x:v>
      </x:c>
      <x:c r="V197" s="19" t="n">
        <x:f>(('参数'!$K$5*(((Q197*(1+'参数'!$B$39*P197))^2/((Q197*(1+'参数'!$B$39*P197))+'参数'!$B$22*(I197)))*(1+'参数'!$B$42*P197)/'参数'!$J$5+((Q197*'参数'!$B$43*(1+'参数'!$B$39*P197))^2/((Q197*'参数'!$B$43*(1+'参数'!$B$39*P197))+'参数'!$B$22*(I197)))/'参数'!$B$44))+(((R197*(1+'参数'!$B$39*P197))^2/((R197*(1+'参数'!$B$39*P197))+'参数'!$B$22*(I197)))*(1+'参数'!$B$42*P197)/'参数'!$J$6+((R197*'参数'!$B$45*(1+'参数'!$B$39*P197))^2/((R197*'参数'!$B$45*(1+'参数'!$B$39*P197))+'参数'!$B$22*(I197)))/'参数'!$B$46)+((S197*(1+'参数'!$B$39*P197))^2/((S197*(1+'参数'!$B$39*P197))+'参数'!$B$22*(I197)))*(1+'参数'!$B$42*P197)/'参数'!$J$7)*(1+'参数'!$B$37*('参数'!$B$38-1))*'参数'!$B$25</x:f>
        <x:v>25313.503802976156</x:v>
      </x:c>
      <x:c r="W197" s="19" t="n">
        <x:f>(('参数'!$K$5*(((Q197*(1+'参数'!$B$39*P197))^2/((Q197*(1+'参数'!$B$39*P197))+'参数'!$B$22*(M197)))*(1+'参数'!$B$42*P197)/'参数'!$J$5+((Q197*'参数'!$B$43*(1+'参数'!$B$39*P197))^2/((Q197*'参数'!$B$43*(1+'参数'!$B$39*P197))+'参数'!$B$22*(M197)))/'参数'!$B$44))+(((R197*(1+'参数'!$B$39*P197))^2/((R197*(1+'参数'!$B$39*P197))+'参数'!$B$22*(M197)))*(1+'参数'!$B$42*P197)/'参数'!$J$6+((R197*'参数'!$B$45*(1+'参数'!$B$39*P197))^2/((R197*'参数'!$B$45*(1+'参数'!$B$39*P197))+'参数'!$B$22*(M197)))/'参数'!$B$46)+((S197*(1+'参数'!$B$39*P197))^2/((S197*(1+'参数'!$B$39*P197))+'参数'!$B$22*(M197)))*(1+'参数'!$B$42*P197)/'参数'!$J$7)*(1+'参数'!$B$37*('参数'!$B$38-1))</x:f>
        <x:v>19496.07513788325</x:v>
      </x:c>
      <x:c r="X197" s="26" t="n">
        <x:f>('参数'!$B$26+'参数'!$B$27*(D197-1)/99)*'参数'!$K$27*AD197</x:f>
        <x:v>18.46666666666667</x:v>
      </x:c>
      <x:c r="Y197" s="26" t="n">
        <x:f>('参数'!$B$28+'参数'!$B$29*(D197-1)/99)*'参数'!$K$27*AD197*IF(AE197=1,'参数'!$B$51,1)</x:f>
        <x:v>58.138888888888886</x:v>
      </x:c>
      <x:c r="Z197" s="22" t="n">
        <x:f>MIN('参数'!$B$36,U197/(U197+'参数'!$B$35))</x:f>
        <x:v>0.3686408437889508</x:v>
      </x:c>
      <x:c r="AA197" s="19" t="n">
        <x:f>T197*'参数'!$B$30/('参数'!$B$32*'参数'!$B$33)/(1-Z197)*AC197</x:f>
        <x:v>1826.2127931158052</x:v>
      </x:c>
      <x:c r="AB197" s="19" t="n">
        <x:f>T197*'参数'!$B$31/'参数'!$B$34/(1-Z197)*AC197</x:f>
        <x:v>3652.4255862316104</x:v>
      </x:c>
      <x:c r="AC197" s="20" t="n">
        <x:f>'参数'!$L$27*1</x:f>
        <x:v>1.05</x:v>
      </x:c>
      <x:c r="AD197" s="20" t="n">
        <x:f>1</x:f>
        <x:v>1</x:v>
      </x:c>
      <x:c r="AE197" s="19" t="n">
        <x:f>IF(MOD(B197,12)=0,1,0)</x:f>
        <x:v>1</x:v>
      </x:c>
    </x:row>
    <x:row r="198" ht="22" customHeight="1">
      <x:c r="A198" s="18" t="str">
        <x:v>困难</x:v>
      </x:c>
      <x:c r="B198" s="18" t="n">
        <x:v>73</x:v>
      </x:c>
      <x:c r="C198" s="18" t="n">
        <x:f>ROUNDUP(B198/12,0)</x:f>
        <x:v>7</x:v>
      </x:c>
      <x:c r="D198" s="18" t="n">
        <x:f>ROUND(MAX('参数'!$G$27,E198)+(IF(C198&lt;10,INDEX('参数'!$G$35:$P$35,1,MIN(10,C198+1)),'参数'!$H$27)-MAX('参数'!$G$27,E198))*MOD(B198-1,12)/11,0)</x:f>
        <x:v>80</x:v>
      </x:c>
      <x:c r="E198" s="18" t="n">
        <x:f>INDEX('参数'!$G$35:$P$35,1,C198)</x:f>
        <x:v>80</x:v>
      </x:c>
      <x:c r="F198" s="15" t="n">
        <x:f>'参数'!$I$27</x:f>
        <x:v>1.1</x:v>
      </x:c>
      <x:c r="G198" s="18" t="n">
        <x:f>ROUND(V198*X198/'参数'!$B$56,0)</x:f>
        <x:v>111508</x:v>
      </x:c>
      <x:c r="H198" s="18" t="n">
        <x:f>ROUND((AA198+SQRT(AA198^2+4*AA198*'参数'!$B$22*U198))/2,0)</x:f>
        <x:v>3750</x:v>
      </x:c>
      <x:c r="I198" s="18" t="n">
        <x:f>ROUND(Q198*'参数'!$B$23/'参数'!$B$22,0)</x:f>
        <x:v>823</x:v>
      </x:c>
      <x:c r="J198" s="18" t="n">
        <x:f>ROUND(G198*'参数'!$B$50,0)</x:f>
        <x:v>334524</x:v>
      </x:c>
      <x:c r="K198" s="18" t="n">
        <x:f>ROUND(W198*Y198,0)</x:f>
        <x:v>1081707</x:v>
      </x:c>
      <x:c r="L198" s="18" t="n">
        <x:f>ROUND((AB198+SQRT(AB198^2+4*AB198*'参数'!$B$22*U198))/2,0)</x:f>
        <x:v>6149</x:v>
      </x:c>
      <x:c r="M198" s="18" t="n">
        <x:f>ROUND(I198*'参数'!$B$24,0)</x:f>
        <x:v>1029</x:v>
      </x:c>
      <x:c r="N198" s="18" t="n">
        <x:f>'参数'!$B$9*'参数'!$B$10^(D198-1)</x:f>
        <x:v>6198.577023163234</x:v>
      </x:c>
      <x:c r="O198" s="18" t="n">
        <x:f>'参数'!$B$18*'参数'!$B$19^(MIN(E198,MAX(1,5*INT(D198/5)))-1)*F198*'参数'!$J$27*P198</x:f>
        <x:v>726.5245262891327</x:v>
      </x:c>
      <x:c r="P198" s="21" t="n">
        <x:f>MIN(1,(D198-1)/19)</x:f>
        <x:v>1</x:v>
      </x:c>
      <x:c r="Q198" s="18" t="n">
        <x:f>INDEX('角色成长'!$F$6:$F$105,D198)+O198*'参数'!$K$21</x:f>
        <x:v>4115.594899924028</x:v>
      </x:c>
      <x:c r="R198" s="18" t="n">
        <x:f>INDEX('角色成长'!$I$6:$I$105,D198)+O198*'参数'!$K$21</x:f>
        <x:v>3542.594899924028</x:v>
      </x:c>
      <x:c r="S198" s="18" t="n">
        <x:f>INDEX('角色成长'!$L$6:$L$105,D198)+O198*'参数'!$K$21</x:f>
        <x:v>3215.594899924028</x:v>
      </x:c>
      <x:c r="T198" s="18" t="n">
        <x:f>(INDEX('角色成长'!$J$6:$J$105,D198)+O198*'参数'!$L$21)*(1+'参数'!$B$40*P198)</x:f>
        <x:v>46870.82893198063</x:v>
      </x:c>
      <x:c r="U198" s="18" t="n">
        <x:f>(INDEX('角色成长'!$K$6:$K$105,D198)+O198*'参数'!$M$21)*(1+'参数'!$B$41*P198)</x:f>
        <x:v>2567.8597131065803</x:v>
      </x:c>
      <x:c r="V198" s="18" t="n">
        <x:f>(('参数'!$K$5*(((Q198*(1+'参数'!$B$39*P198))^2/((Q198*(1+'参数'!$B$39*P198))+'参数'!$B$22*(I198)))*(1+'参数'!$B$42*P198)/'参数'!$J$5+((Q198*'参数'!$B$43*(1+'参数'!$B$39*P198))^2/((Q198*'参数'!$B$43*(1+'参数'!$B$39*P198))+'参数'!$B$22*(I198)))/'参数'!$B$44))+(((R198*(1+'参数'!$B$39*P198))^2/((R198*(1+'参数'!$B$39*P198))+'参数'!$B$22*(I198)))*(1+'参数'!$B$42*P198)/'参数'!$J$6+((R198*'参数'!$B$45*(1+'参数'!$B$39*P198))^2/((R198*'参数'!$B$45*(1+'参数'!$B$39*P198))+'参数'!$B$22*(I198)))/'参数'!$B$46)+((S198*(1+'参数'!$B$39*P198))^2/((S198*(1+'参数'!$B$39*P198))+'参数'!$B$22*(I198)))*(1+'参数'!$B$42*P198)/'参数'!$J$7)*(1+'参数'!$B$37*('参数'!$B$38-1))*'参数'!$B$25</x:f>
        <x:v>27776.4365008614</x:v>
      </x:c>
      <x:c r="W198" s="18" t="n">
        <x:f>(('参数'!$K$5*(((Q198*(1+'参数'!$B$39*P198))^2/((Q198*(1+'参数'!$B$39*P198))+'参数'!$B$22*(M198)))*(1+'参数'!$B$42*P198)/'参数'!$J$5+((Q198*'参数'!$B$43*(1+'参数'!$B$39*P198))^2/((Q198*'参数'!$B$43*(1+'参数'!$B$39*P198))+'参数'!$B$22*(M198)))/'参数'!$B$44))+(((R198*(1+'参数'!$B$39*P198))^2/((R198*(1+'参数'!$B$39*P198))+'参数'!$B$22*(M198)))*(1+'参数'!$B$42*P198)/'参数'!$J$6+((R198*'参数'!$B$45*(1+'参数'!$B$39*P198))^2/((R198*'参数'!$B$45*(1+'参数'!$B$39*P198))+'参数'!$B$22*(M198)))/'参数'!$B$46)+((S198*(1+'参数'!$B$39*P198))^2/((S198*(1+'参数'!$B$39*P198))+'参数'!$B$22*(M198)))*(1+'参数'!$B$42*P198)/'参数'!$J$7)*(1+'参数'!$B$37*('参数'!$B$38-1))</x:f>
        <x:v>21396.40625737211</x:v>
      </x:c>
      <x:c r="X198" s="25" t="n">
        <x:f>('参数'!$B$26+'参数'!$B$27*(D198-1)/99)*'参数'!$K$27*AD198</x:f>
        <x:v>18.46666666666667</x:v>
      </x:c>
      <x:c r="Y198" s="25" t="n">
        <x:f>('参数'!$B$28+'参数'!$B$29*(D198-1)/99)*'参数'!$K$27*AD198*IF(AE198=1,'参数'!$B$51,1)</x:f>
        <x:v>50.55555555555556</x:v>
      </x:c>
      <x:c r="Z198" s="21" t="n">
        <x:f>MIN('参数'!$B$36,U198/(U198+'参数'!$B$35))</x:f>
        <x:v>0.39097359341921595</x:v>
      </x:c>
      <x:c r="AA198" s="18" t="n">
        <x:f>T198*'参数'!$B$30/('参数'!$B$32*'参数'!$B$33)/(1-Z198)*AC198</x:f>
        <x:v>2020.2067532211204</x:v>
      </x:c>
      <x:c r="AB198" s="18" t="n">
        <x:f>T198*'参数'!$B$31/'参数'!$B$34/(1-Z198)*AC198</x:f>
        <x:v>4040.4135064422408</x:v>
      </x:c>
      <x:c r="AC198" s="15" t="n">
        <x:f>'参数'!$L$27*1</x:f>
        <x:v>1.05</x:v>
      </x:c>
      <x:c r="AD198" s="15" t="n">
        <x:f>1</x:f>
        <x:v>1</x:v>
      </x:c>
      <x:c r="AE198" s="18" t="n">
        <x:f>IF(MOD(B198,12)=0,1,0)</x:f>
        <x:v>0</x:v>
      </x:c>
    </x:row>
    <x:row r="199" ht="22" customHeight="1">
      <x:c r="A199" s="19" t="str">
        <x:v>困难</x:v>
      </x:c>
      <x:c r="B199" s="19" t="n">
        <x:v>74</x:v>
      </x:c>
      <x:c r="C199" s="19" t="n">
        <x:f>ROUNDUP(B199/12,0)</x:f>
        <x:v>7</x:v>
      </x:c>
      <x:c r="D199" s="19" t="n">
        <x:f>ROUND(MAX('参数'!$G$27,E199)+(IF(C199&lt;10,INDEX('参数'!$G$35:$P$35,1,MIN(10,C199+1)),'参数'!$H$27)-MAX('参数'!$G$27,E199))*MOD(B199-1,12)/11,0)</x:f>
        <x:v>80</x:v>
      </x:c>
      <x:c r="E199" s="19" t="n">
        <x:f>INDEX('参数'!$G$35:$P$35,1,C199)</x:f>
        <x:v>80</x:v>
      </x:c>
      <x:c r="F199" s="20" t="n">
        <x:f>'参数'!$I$27</x:f>
        <x:v>1.1</x:v>
      </x:c>
      <x:c r="G199" s="19" t="n">
        <x:f>ROUND(V199*X199/'参数'!$B$56,0)</x:f>
        <x:v>111508</x:v>
      </x:c>
      <x:c r="H199" s="19" t="n">
        <x:f>ROUND((AA199+SQRT(AA199^2+4*AA199*'参数'!$B$22*U199))/2,0)</x:f>
        <x:v>3750</x:v>
      </x:c>
      <x:c r="I199" s="19" t="n">
        <x:f>ROUND(Q199*'参数'!$B$23/'参数'!$B$22,0)</x:f>
        <x:v>823</x:v>
      </x:c>
      <x:c r="J199" s="19" t="n">
        <x:f>ROUND(G199*'参数'!$B$50,0)</x:f>
        <x:v>334524</x:v>
      </x:c>
      <x:c r="K199" s="19" t="n">
        <x:f>ROUND(W199*Y199,0)</x:f>
        <x:v>1081707</x:v>
      </x:c>
      <x:c r="L199" s="19" t="n">
        <x:f>ROUND((AB199+SQRT(AB199^2+4*AB199*'参数'!$B$22*U199))/2,0)</x:f>
        <x:v>6149</x:v>
      </x:c>
      <x:c r="M199" s="19" t="n">
        <x:f>ROUND(I199*'参数'!$B$24,0)</x:f>
        <x:v>1029</x:v>
      </x:c>
      <x:c r="N199" s="19" t="n">
        <x:f>'参数'!$B$9*'参数'!$B$10^(D199-1)</x:f>
        <x:v>6198.577023163234</x:v>
      </x:c>
      <x:c r="O199" s="19" t="n">
        <x:f>'参数'!$B$18*'参数'!$B$19^(MIN(E199,MAX(1,5*INT(D199/5)))-1)*F199*'参数'!$J$27*P199</x:f>
        <x:v>726.5245262891327</x:v>
      </x:c>
      <x:c r="P199" s="22" t="n">
        <x:f>MIN(1,(D199-1)/19)</x:f>
        <x:v>1</x:v>
      </x:c>
      <x:c r="Q199" s="19" t="n">
        <x:f>INDEX('角色成长'!$F$6:$F$105,D199)+O199*'参数'!$K$21</x:f>
        <x:v>4115.594899924028</x:v>
      </x:c>
      <x:c r="R199" s="19" t="n">
        <x:f>INDEX('角色成长'!$I$6:$I$105,D199)+O199*'参数'!$K$21</x:f>
        <x:v>3542.594899924028</x:v>
      </x:c>
      <x:c r="S199" s="19" t="n">
        <x:f>INDEX('角色成长'!$L$6:$L$105,D199)+O199*'参数'!$K$21</x:f>
        <x:v>3215.594899924028</x:v>
      </x:c>
      <x:c r="T199" s="19" t="n">
        <x:f>(INDEX('角色成长'!$J$6:$J$105,D199)+O199*'参数'!$L$21)*(1+'参数'!$B$40*P199)</x:f>
        <x:v>46870.82893198063</x:v>
      </x:c>
      <x:c r="U199" s="19" t="n">
        <x:f>(INDEX('角色成长'!$K$6:$K$105,D199)+O199*'参数'!$M$21)*(1+'参数'!$B$41*P199)</x:f>
        <x:v>2567.8597131065803</x:v>
      </x:c>
      <x:c r="V199" s="19" t="n">
        <x:f>(('参数'!$K$5*(((Q199*(1+'参数'!$B$39*P199))^2/((Q199*(1+'参数'!$B$39*P199))+'参数'!$B$22*(I199)))*(1+'参数'!$B$42*P199)/'参数'!$J$5+((Q199*'参数'!$B$43*(1+'参数'!$B$39*P199))^2/((Q199*'参数'!$B$43*(1+'参数'!$B$39*P199))+'参数'!$B$22*(I199)))/'参数'!$B$44))+(((R199*(1+'参数'!$B$39*P199))^2/((R199*(1+'参数'!$B$39*P199))+'参数'!$B$22*(I199)))*(1+'参数'!$B$42*P199)/'参数'!$J$6+((R199*'参数'!$B$45*(1+'参数'!$B$39*P199))^2/((R199*'参数'!$B$45*(1+'参数'!$B$39*P199))+'参数'!$B$22*(I199)))/'参数'!$B$46)+((S199*(1+'参数'!$B$39*P199))^2/((S199*(1+'参数'!$B$39*P199))+'参数'!$B$22*(I199)))*(1+'参数'!$B$42*P199)/'参数'!$J$7)*(1+'参数'!$B$37*('参数'!$B$38-1))*'参数'!$B$25</x:f>
        <x:v>27776.4365008614</x:v>
      </x:c>
      <x:c r="W199" s="19" t="n">
        <x:f>(('参数'!$K$5*(((Q199*(1+'参数'!$B$39*P199))^2/((Q199*(1+'参数'!$B$39*P199))+'参数'!$B$22*(M199)))*(1+'参数'!$B$42*P199)/'参数'!$J$5+((Q199*'参数'!$B$43*(1+'参数'!$B$39*P199))^2/((Q199*'参数'!$B$43*(1+'参数'!$B$39*P199))+'参数'!$B$22*(M199)))/'参数'!$B$44))+(((R199*(1+'参数'!$B$39*P199))^2/((R199*(1+'参数'!$B$39*P199))+'参数'!$B$22*(M199)))*(1+'参数'!$B$42*P199)/'参数'!$J$6+((R199*'参数'!$B$45*(1+'参数'!$B$39*P199))^2/((R199*'参数'!$B$45*(1+'参数'!$B$39*P199))+'参数'!$B$22*(M199)))/'参数'!$B$46)+((S199*(1+'参数'!$B$39*P199))^2/((S199*(1+'参数'!$B$39*P199))+'参数'!$B$22*(M199)))*(1+'参数'!$B$42*P199)/'参数'!$J$7)*(1+'参数'!$B$37*('参数'!$B$38-1))</x:f>
        <x:v>21396.40625737211</x:v>
      </x:c>
      <x:c r="X199" s="26" t="n">
        <x:f>('参数'!$B$26+'参数'!$B$27*(D199-1)/99)*'参数'!$K$27*AD199</x:f>
        <x:v>18.46666666666667</x:v>
      </x:c>
      <x:c r="Y199" s="26" t="n">
        <x:f>('参数'!$B$28+'参数'!$B$29*(D199-1)/99)*'参数'!$K$27*AD199*IF(AE199=1,'参数'!$B$51,1)</x:f>
        <x:v>50.55555555555556</x:v>
      </x:c>
      <x:c r="Z199" s="22" t="n">
        <x:f>MIN('参数'!$B$36,U199/(U199+'参数'!$B$35))</x:f>
        <x:v>0.39097359341921595</x:v>
      </x:c>
      <x:c r="AA199" s="19" t="n">
        <x:f>T199*'参数'!$B$30/('参数'!$B$32*'参数'!$B$33)/(1-Z199)*AC199</x:f>
        <x:v>2020.2067532211204</x:v>
      </x:c>
      <x:c r="AB199" s="19" t="n">
        <x:f>T199*'参数'!$B$31/'参数'!$B$34/(1-Z199)*AC199</x:f>
        <x:v>4040.4135064422408</x:v>
      </x:c>
      <x:c r="AC199" s="20" t="n">
        <x:f>'参数'!$L$27*1</x:f>
        <x:v>1.05</x:v>
      </x:c>
      <x:c r="AD199" s="20" t="n">
        <x:f>1</x:f>
        <x:v>1</x:v>
      </x:c>
      <x:c r="AE199" s="19" t="n">
        <x:f>IF(MOD(B199,12)=0,1,0)</x:f>
        <x:v>0</x:v>
      </x:c>
    </x:row>
    <x:row r="200" ht="22" customHeight="1">
      <x:c r="A200" s="18" t="str">
        <x:v>困难</x:v>
      </x:c>
      <x:c r="B200" s="18" t="n">
        <x:v>75</x:v>
      </x:c>
      <x:c r="C200" s="18" t="n">
        <x:f>ROUNDUP(B200/12,0)</x:f>
        <x:v>7</x:v>
      </x:c>
      <x:c r="D200" s="18" t="n">
        <x:f>ROUND(MAX('参数'!$G$27,E200)+(IF(C200&lt;10,INDEX('参数'!$G$35:$P$35,1,MIN(10,C200+1)),'参数'!$H$27)-MAX('参数'!$G$27,E200))*MOD(B200-1,12)/11,0)</x:f>
        <x:v>80</x:v>
      </x:c>
      <x:c r="E200" s="18" t="n">
        <x:f>INDEX('参数'!$G$35:$P$35,1,C200)</x:f>
        <x:v>80</x:v>
      </x:c>
      <x:c r="F200" s="15" t="n">
        <x:f>'参数'!$I$27</x:f>
        <x:v>1.1</x:v>
      </x:c>
      <x:c r="G200" s="18" t="n">
        <x:f>ROUND(V200*X200/'参数'!$B$56,0)</x:f>
        <x:v>111508</x:v>
      </x:c>
      <x:c r="H200" s="18" t="n">
        <x:f>ROUND((AA200+SQRT(AA200^2+4*AA200*'参数'!$B$22*U200))/2,0)</x:f>
        <x:v>3750</x:v>
      </x:c>
      <x:c r="I200" s="18" t="n">
        <x:f>ROUND(Q200*'参数'!$B$23/'参数'!$B$22,0)</x:f>
        <x:v>823</x:v>
      </x:c>
      <x:c r="J200" s="18" t="n">
        <x:f>ROUND(G200*'参数'!$B$50,0)</x:f>
        <x:v>334524</x:v>
      </x:c>
      <x:c r="K200" s="18" t="n">
        <x:f>ROUND(W200*Y200,0)</x:f>
        <x:v>1081707</x:v>
      </x:c>
      <x:c r="L200" s="18" t="n">
        <x:f>ROUND((AB200+SQRT(AB200^2+4*AB200*'参数'!$B$22*U200))/2,0)</x:f>
        <x:v>6149</x:v>
      </x:c>
      <x:c r="M200" s="18" t="n">
        <x:f>ROUND(I200*'参数'!$B$24,0)</x:f>
        <x:v>1029</x:v>
      </x:c>
      <x:c r="N200" s="18" t="n">
        <x:f>'参数'!$B$9*'参数'!$B$10^(D200-1)</x:f>
        <x:v>6198.577023163234</x:v>
      </x:c>
      <x:c r="O200" s="18" t="n">
        <x:f>'参数'!$B$18*'参数'!$B$19^(MIN(E200,MAX(1,5*INT(D200/5)))-1)*F200*'参数'!$J$27*P200</x:f>
        <x:v>726.5245262891327</x:v>
      </x:c>
      <x:c r="P200" s="21" t="n">
        <x:f>MIN(1,(D200-1)/19)</x:f>
        <x:v>1</x:v>
      </x:c>
      <x:c r="Q200" s="18" t="n">
        <x:f>INDEX('角色成长'!$F$6:$F$105,D200)+O200*'参数'!$K$21</x:f>
        <x:v>4115.594899924028</x:v>
      </x:c>
      <x:c r="R200" s="18" t="n">
        <x:f>INDEX('角色成长'!$I$6:$I$105,D200)+O200*'参数'!$K$21</x:f>
        <x:v>3542.594899924028</x:v>
      </x:c>
      <x:c r="S200" s="18" t="n">
        <x:f>INDEX('角色成长'!$L$6:$L$105,D200)+O200*'参数'!$K$21</x:f>
        <x:v>3215.594899924028</x:v>
      </x:c>
      <x:c r="T200" s="18" t="n">
        <x:f>(INDEX('角色成长'!$J$6:$J$105,D200)+O200*'参数'!$L$21)*(1+'参数'!$B$40*P200)</x:f>
        <x:v>46870.82893198063</x:v>
      </x:c>
      <x:c r="U200" s="18" t="n">
        <x:f>(INDEX('角色成长'!$K$6:$K$105,D200)+O200*'参数'!$M$21)*(1+'参数'!$B$41*P200)</x:f>
        <x:v>2567.8597131065803</x:v>
      </x:c>
      <x:c r="V200" s="18" t="n">
        <x:f>(('参数'!$K$5*(((Q200*(1+'参数'!$B$39*P200))^2/((Q200*(1+'参数'!$B$39*P200))+'参数'!$B$22*(I200)))*(1+'参数'!$B$42*P200)/'参数'!$J$5+((Q200*'参数'!$B$43*(1+'参数'!$B$39*P200))^2/((Q200*'参数'!$B$43*(1+'参数'!$B$39*P200))+'参数'!$B$22*(I200)))/'参数'!$B$44))+(((R200*(1+'参数'!$B$39*P200))^2/((R200*(1+'参数'!$B$39*P200))+'参数'!$B$22*(I200)))*(1+'参数'!$B$42*P200)/'参数'!$J$6+((R200*'参数'!$B$45*(1+'参数'!$B$39*P200))^2/((R200*'参数'!$B$45*(1+'参数'!$B$39*P200))+'参数'!$B$22*(I200)))/'参数'!$B$46)+((S200*(1+'参数'!$B$39*P200))^2/((S200*(1+'参数'!$B$39*P200))+'参数'!$B$22*(I200)))*(1+'参数'!$B$42*P200)/'参数'!$J$7)*(1+'参数'!$B$37*('参数'!$B$38-1))*'参数'!$B$25</x:f>
        <x:v>27776.4365008614</x:v>
      </x:c>
      <x:c r="W200" s="18" t="n">
        <x:f>(('参数'!$K$5*(((Q200*(1+'参数'!$B$39*P200))^2/((Q200*(1+'参数'!$B$39*P200))+'参数'!$B$22*(M200)))*(1+'参数'!$B$42*P200)/'参数'!$J$5+((Q200*'参数'!$B$43*(1+'参数'!$B$39*P200))^2/((Q200*'参数'!$B$43*(1+'参数'!$B$39*P200))+'参数'!$B$22*(M200)))/'参数'!$B$44))+(((R200*(1+'参数'!$B$39*P200))^2/((R200*(1+'参数'!$B$39*P200))+'参数'!$B$22*(M200)))*(1+'参数'!$B$42*P200)/'参数'!$J$6+((R200*'参数'!$B$45*(1+'参数'!$B$39*P200))^2/((R200*'参数'!$B$45*(1+'参数'!$B$39*P200))+'参数'!$B$22*(M200)))/'参数'!$B$46)+((S200*(1+'参数'!$B$39*P200))^2/((S200*(1+'参数'!$B$39*P200))+'参数'!$B$22*(M200)))*(1+'参数'!$B$42*P200)/'参数'!$J$7)*(1+'参数'!$B$37*('参数'!$B$38-1))</x:f>
        <x:v>21396.40625737211</x:v>
      </x:c>
      <x:c r="X200" s="25" t="n">
        <x:f>('参数'!$B$26+'参数'!$B$27*(D200-1)/99)*'参数'!$K$27*AD200</x:f>
        <x:v>18.46666666666667</x:v>
      </x:c>
      <x:c r="Y200" s="25" t="n">
        <x:f>('参数'!$B$28+'参数'!$B$29*(D200-1)/99)*'参数'!$K$27*AD200*IF(AE200=1,'参数'!$B$51,1)</x:f>
        <x:v>50.55555555555556</x:v>
      </x:c>
      <x:c r="Z200" s="21" t="n">
        <x:f>MIN('参数'!$B$36,U200/(U200+'参数'!$B$35))</x:f>
        <x:v>0.39097359341921595</x:v>
      </x:c>
      <x:c r="AA200" s="18" t="n">
        <x:f>T200*'参数'!$B$30/('参数'!$B$32*'参数'!$B$33)/(1-Z200)*AC200</x:f>
        <x:v>2020.2067532211204</x:v>
      </x:c>
      <x:c r="AB200" s="18" t="n">
        <x:f>T200*'参数'!$B$31/'参数'!$B$34/(1-Z200)*AC200</x:f>
        <x:v>4040.4135064422408</x:v>
      </x:c>
      <x:c r="AC200" s="15" t="n">
        <x:f>'参数'!$L$27*1</x:f>
        <x:v>1.05</x:v>
      </x:c>
      <x:c r="AD200" s="15" t="n">
        <x:f>1</x:f>
        <x:v>1</x:v>
      </x:c>
      <x:c r="AE200" s="18" t="n">
        <x:f>IF(MOD(B200,12)=0,1,0)</x:f>
        <x:v>0</x:v>
      </x:c>
    </x:row>
    <x:row r="201" ht="22" customHeight="1">
      <x:c r="A201" s="19" t="str">
        <x:v>困难</x:v>
      </x:c>
      <x:c r="B201" s="19" t="n">
        <x:v>76</x:v>
      </x:c>
      <x:c r="C201" s="19" t="n">
        <x:f>ROUNDUP(B201/12,0)</x:f>
        <x:v>7</x:v>
      </x:c>
      <x:c r="D201" s="19" t="n">
        <x:f>ROUND(MAX('参数'!$G$27,E201)+(IF(C201&lt;10,INDEX('参数'!$G$35:$P$35,1,MIN(10,C201+1)),'参数'!$H$27)-MAX('参数'!$G$27,E201))*MOD(B201-1,12)/11,0)</x:f>
        <x:v>80</x:v>
      </x:c>
      <x:c r="E201" s="19" t="n">
        <x:f>INDEX('参数'!$G$35:$P$35,1,C201)</x:f>
        <x:v>80</x:v>
      </x:c>
      <x:c r="F201" s="20" t="n">
        <x:f>'参数'!$I$27</x:f>
        <x:v>1.1</x:v>
      </x:c>
      <x:c r="G201" s="19" t="n">
        <x:f>ROUND(V201*X201/'参数'!$B$56,0)</x:f>
        <x:v>111508</x:v>
      </x:c>
      <x:c r="H201" s="19" t="n">
        <x:f>ROUND((AA201+SQRT(AA201^2+4*AA201*'参数'!$B$22*U201))/2,0)</x:f>
        <x:v>3750</x:v>
      </x:c>
      <x:c r="I201" s="19" t="n">
        <x:f>ROUND(Q201*'参数'!$B$23/'参数'!$B$22,0)</x:f>
        <x:v>823</x:v>
      </x:c>
      <x:c r="J201" s="19" t="n">
        <x:f>ROUND(G201*'参数'!$B$50,0)</x:f>
        <x:v>334524</x:v>
      </x:c>
      <x:c r="K201" s="19" t="n">
        <x:f>ROUND(W201*Y201,0)</x:f>
        <x:v>1081707</x:v>
      </x:c>
      <x:c r="L201" s="19" t="n">
        <x:f>ROUND((AB201+SQRT(AB201^2+4*AB201*'参数'!$B$22*U201))/2,0)</x:f>
        <x:v>6149</x:v>
      </x:c>
      <x:c r="M201" s="19" t="n">
        <x:f>ROUND(I201*'参数'!$B$24,0)</x:f>
        <x:v>1029</x:v>
      </x:c>
      <x:c r="N201" s="19" t="n">
        <x:f>'参数'!$B$9*'参数'!$B$10^(D201-1)</x:f>
        <x:v>6198.577023163234</x:v>
      </x:c>
      <x:c r="O201" s="19" t="n">
        <x:f>'参数'!$B$18*'参数'!$B$19^(MIN(E201,MAX(1,5*INT(D201/5)))-1)*F201*'参数'!$J$27*P201</x:f>
        <x:v>726.5245262891327</x:v>
      </x:c>
      <x:c r="P201" s="22" t="n">
        <x:f>MIN(1,(D201-1)/19)</x:f>
        <x:v>1</x:v>
      </x:c>
      <x:c r="Q201" s="19" t="n">
        <x:f>INDEX('角色成长'!$F$6:$F$105,D201)+O201*'参数'!$K$21</x:f>
        <x:v>4115.594899924028</x:v>
      </x:c>
      <x:c r="R201" s="19" t="n">
        <x:f>INDEX('角色成长'!$I$6:$I$105,D201)+O201*'参数'!$K$21</x:f>
        <x:v>3542.594899924028</x:v>
      </x:c>
      <x:c r="S201" s="19" t="n">
        <x:f>INDEX('角色成长'!$L$6:$L$105,D201)+O201*'参数'!$K$21</x:f>
        <x:v>3215.594899924028</x:v>
      </x:c>
      <x:c r="T201" s="19" t="n">
        <x:f>(INDEX('角色成长'!$J$6:$J$105,D201)+O201*'参数'!$L$21)*(1+'参数'!$B$40*P201)</x:f>
        <x:v>46870.82893198063</x:v>
      </x:c>
      <x:c r="U201" s="19" t="n">
        <x:f>(INDEX('角色成长'!$K$6:$K$105,D201)+O201*'参数'!$M$21)*(1+'参数'!$B$41*P201)</x:f>
        <x:v>2567.8597131065803</x:v>
      </x:c>
      <x:c r="V201" s="19" t="n">
        <x:f>(('参数'!$K$5*(((Q201*(1+'参数'!$B$39*P201))^2/((Q201*(1+'参数'!$B$39*P201))+'参数'!$B$22*(I201)))*(1+'参数'!$B$42*P201)/'参数'!$J$5+((Q201*'参数'!$B$43*(1+'参数'!$B$39*P201))^2/((Q201*'参数'!$B$43*(1+'参数'!$B$39*P201))+'参数'!$B$22*(I201)))/'参数'!$B$44))+(((R201*(1+'参数'!$B$39*P201))^2/((R201*(1+'参数'!$B$39*P201))+'参数'!$B$22*(I201)))*(1+'参数'!$B$42*P201)/'参数'!$J$6+((R201*'参数'!$B$45*(1+'参数'!$B$39*P201))^2/((R201*'参数'!$B$45*(1+'参数'!$B$39*P201))+'参数'!$B$22*(I201)))/'参数'!$B$46)+((S201*(1+'参数'!$B$39*P201))^2/((S201*(1+'参数'!$B$39*P201))+'参数'!$B$22*(I201)))*(1+'参数'!$B$42*P201)/'参数'!$J$7)*(1+'参数'!$B$37*('参数'!$B$38-1))*'参数'!$B$25</x:f>
        <x:v>27776.4365008614</x:v>
      </x:c>
      <x:c r="W201" s="19" t="n">
        <x:f>(('参数'!$K$5*(((Q201*(1+'参数'!$B$39*P201))^2/((Q201*(1+'参数'!$B$39*P201))+'参数'!$B$22*(M201)))*(1+'参数'!$B$42*P201)/'参数'!$J$5+((Q201*'参数'!$B$43*(1+'参数'!$B$39*P201))^2/((Q201*'参数'!$B$43*(1+'参数'!$B$39*P201))+'参数'!$B$22*(M201)))/'参数'!$B$44))+(((R201*(1+'参数'!$B$39*P201))^2/((R201*(1+'参数'!$B$39*P201))+'参数'!$B$22*(M201)))*(1+'参数'!$B$42*P201)/'参数'!$J$6+((R201*'参数'!$B$45*(1+'参数'!$B$39*P201))^2/((R201*'参数'!$B$45*(1+'参数'!$B$39*P201))+'参数'!$B$22*(M201)))/'参数'!$B$46)+((S201*(1+'参数'!$B$39*P201))^2/((S201*(1+'参数'!$B$39*P201))+'参数'!$B$22*(M201)))*(1+'参数'!$B$42*P201)/'参数'!$J$7)*(1+'参数'!$B$37*('参数'!$B$38-1))</x:f>
        <x:v>21396.40625737211</x:v>
      </x:c>
      <x:c r="X201" s="26" t="n">
        <x:f>('参数'!$B$26+'参数'!$B$27*(D201-1)/99)*'参数'!$K$27*AD201</x:f>
        <x:v>18.46666666666667</x:v>
      </x:c>
      <x:c r="Y201" s="26" t="n">
        <x:f>('参数'!$B$28+'参数'!$B$29*(D201-1)/99)*'参数'!$K$27*AD201*IF(AE201=1,'参数'!$B$51,1)</x:f>
        <x:v>50.55555555555556</x:v>
      </x:c>
      <x:c r="Z201" s="22" t="n">
        <x:f>MIN('参数'!$B$36,U201/(U201+'参数'!$B$35))</x:f>
        <x:v>0.39097359341921595</x:v>
      </x:c>
      <x:c r="AA201" s="19" t="n">
        <x:f>T201*'参数'!$B$30/('参数'!$B$32*'参数'!$B$33)/(1-Z201)*AC201</x:f>
        <x:v>2020.2067532211204</x:v>
      </x:c>
      <x:c r="AB201" s="19" t="n">
        <x:f>T201*'参数'!$B$31/'参数'!$B$34/(1-Z201)*AC201</x:f>
        <x:v>4040.4135064422408</x:v>
      </x:c>
      <x:c r="AC201" s="20" t="n">
        <x:f>'参数'!$L$27*1</x:f>
        <x:v>1.05</x:v>
      </x:c>
      <x:c r="AD201" s="20" t="n">
        <x:f>1</x:f>
        <x:v>1</x:v>
      </x:c>
      <x:c r="AE201" s="19" t="n">
        <x:f>IF(MOD(B201,12)=0,1,0)</x:f>
        <x:v>0</x:v>
      </x:c>
    </x:row>
    <x:row r="202" ht="22" customHeight="1">
      <x:c r="A202" s="18" t="str">
        <x:v>困难</x:v>
      </x:c>
      <x:c r="B202" s="18" t="n">
        <x:v>77</x:v>
      </x:c>
      <x:c r="C202" s="18" t="n">
        <x:f>ROUNDUP(B202/12,0)</x:f>
        <x:v>7</x:v>
      </x:c>
      <x:c r="D202" s="18" t="n">
        <x:f>ROUND(MAX('参数'!$G$27,E202)+(IF(C202&lt;10,INDEX('参数'!$G$35:$P$35,1,MIN(10,C202+1)),'参数'!$H$27)-MAX('参数'!$G$27,E202))*MOD(B202-1,12)/11,0)</x:f>
        <x:v>80</x:v>
      </x:c>
      <x:c r="E202" s="18" t="n">
        <x:f>INDEX('参数'!$G$35:$P$35,1,C202)</x:f>
        <x:v>80</x:v>
      </x:c>
      <x:c r="F202" s="15" t="n">
        <x:f>'参数'!$I$27</x:f>
        <x:v>1.1</x:v>
      </x:c>
      <x:c r="G202" s="18" t="n">
        <x:f>ROUND(V202*X202/'参数'!$B$56,0)</x:f>
        <x:v>111508</x:v>
      </x:c>
      <x:c r="H202" s="18" t="n">
        <x:f>ROUND((AA202+SQRT(AA202^2+4*AA202*'参数'!$B$22*U202))/2,0)</x:f>
        <x:v>3750</x:v>
      </x:c>
      <x:c r="I202" s="18" t="n">
        <x:f>ROUND(Q202*'参数'!$B$23/'参数'!$B$22,0)</x:f>
        <x:v>823</x:v>
      </x:c>
      <x:c r="J202" s="18" t="n">
        <x:f>ROUND(G202*'参数'!$B$50,0)</x:f>
        <x:v>334524</x:v>
      </x:c>
      <x:c r="K202" s="18" t="n">
        <x:f>ROUND(W202*Y202,0)</x:f>
        <x:v>1081707</x:v>
      </x:c>
      <x:c r="L202" s="18" t="n">
        <x:f>ROUND((AB202+SQRT(AB202^2+4*AB202*'参数'!$B$22*U202))/2,0)</x:f>
        <x:v>6149</x:v>
      </x:c>
      <x:c r="M202" s="18" t="n">
        <x:f>ROUND(I202*'参数'!$B$24,0)</x:f>
        <x:v>1029</x:v>
      </x:c>
      <x:c r="N202" s="18" t="n">
        <x:f>'参数'!$B$9*'参数'!$B$10^(D202-1)</x:f>
        <x:v>6198.577023163234</x:v>
      </x:c>
      <x:c r="O202" s="18" t="n">
        <x:f>'参数'!$B$18*'参数'!$B$19^(MIN(E202,MAX(1,5*INT(D202/5)))-1)*F202*'参数'!$J$27*P202</x:f>
        <x:v>726.5245262891327</x:v>
      </x:c>
      <x:c r="P202" s="21" t="n">
        <x:f>MIN(1,(D202-1)/19)</x:f>
        <x:v>1</x:v>
      </x:c>
      <x:c r="Q202" s="18" t="n">
        <x:f>INDEX('角色成长'!$F$6:$F$105,D202)+O202*'参数'!$K$21</x:f>
        <x:v>4115.594899924028</x:v>
      </x:c>
      <x:c r="R202" s="18" t="n">
        <x:f>INDEX('角色成长'!$I$6:$I$105,D202)+O202*'参数'!$K$21</x:f>
        <x:v>3542.594899924028</x:v>
      </x:c>
      <x:c r="S202" s="18" t="n">
        <x:f>INDEX('角色成长'!$L$6:$L$105,D202)+O202*'参数'!$K$21</x:f>
        <x:v>3215.594899924028</x:v>
      </x:c>
      <x:c r="T202" s="18" t="n">
        <x:f>(INDEX('角色成长'!$J$6:$J$105,D202)+O202*'参数'!$L$21)*(1+'参数'!$B$40*P202)</x:f>
        <x:v>46870.82893198063</x:v>
      </x:c>
      <x:c r="U202" s="18" t="n">
        <x:f>(INDEX('角色成长'!$K$6:$K$105,D202)+O202*'参数'!$M$21)*(1+'参数'!$B$41*P202)</x:f>
        <x:v>2567.8597131065803</x:v>
      </x:c>
      <x:c r="V202" s="18" t="n">
        <x:f>(('参数'!$K$5*(((Q202*(1+'参数'!$B$39*P202))^2/((Q202*(1+'参数'!$B$39*P202))+'参数'!$B$22*(I202)))*(1+'参数'!$B$42*P202)/'参数'!$J$5+((Q202*'参数'!$B$43*(1+'参数'!$B$39*P202))^2/((Q202*'参数'!$B$43*(1+'参数'!$B$39*P202))+'参数'!$B$22*(I202)))/'参数'!$B$44))+(((R202*(1+'参数'!$B$39*P202))^2/((R202*(1+'参数'!$B$39*P202))+'参数'!$B$22*(I202)))*(1+'参数'!$B$42*P202)/'参数'!$J$6+((R202*'参数'!$B$45*(1+'参数'!$B$39*P202))^2/((R202*'参数'!$B$45*(1+'参数'!$B$39*P202))+'参数'!$B$22*(I202)))/'参数'!$B$46)+((S202*(1+'参数'!$B$39*P202))^2/((S202*(1+'参数'!$B$39*P202))+'参数'!$B$22*(I202)))*(1+'参数'!$B$42*P202)/'参数'!$J$7)*(1+'参数'!$B$37*('参数'!$B$38-1))*'参数'!$B$25</x:f>
        <x:v>27776.4365008614</x:v>
      </x:c>
      <x:c r="W202" s="18" t="n">
        <x:f>(('参数'!$K$5*(((Q202*(1+'参数'!$B$39*P202))^2/((Q202*(1+'参数'!$B$39*P202))+'参数'!$B$22*(M202)))*(1+'参数'!$B$42*P202)/'参数'!$J$5+((Q202*'参数'!$B$43*(1+'参数'!$B$39*P202))^2/((Q202*'参数'!$B$43*(1+'参数'!$B$39*P202))+'参数'!$B$22*(M202)))/'参数'!$B$44))+(((R202*(1+'参数'!$B$39*P202))^2/((R202*(1+'参数'!$B$39*P202))+'参数'!$B$22*(M202)))*(1+'参数'!$B$42*P202)/'参数'!$J$6+((R202*'参数'!$B$45*(1+'参数'!$B$39*P202))^2/((R202*'参数'!$B$45*(1+'参数'!$B$39*P202))+'参数'!$B$22*(M202)))/'参数'!$B$46)+((S202*(1+'参数'!$B$39*P202))^2/((S202*(1+'参数'!$B$39*P202))+'参数'!$B$22*(M202)))*(1+'参数'!$B$42*P202)/'参数'!$J$7)*(1+'参数'!$B$37*('参数'!$B$38-1))</x:f>
        <x:v>21396.40625737211</x:v>
      </x:c>
      <x:c r="X202" s="25" t="n">
        <x:f>('参数'!$B$26+'参数'!$B$27*(D202-1)/99)*'参数'!$K$27*AD202</x:f>
        <x:v>18.46666666666667</x:v>
      </x:c>
      <x:c r="Y202" s="25" t="n">
        <x:f>('参数'!$B$28+'参数'!$B$29*(D202-1)/99)*'参数'!$K$27*AD202*IF(AE202=1,'参数'!$B$51,1)</x:f>
        <x:v>50.55555555555556</x:v>
      </x:c>
      <x:c r="Z202" s="21" t="n">
        <x:f>MIN('参数'!$B$36,U202/(U202+'参数'!$B$35))</x:f>
        <x:v>0.39097359341921595</x:v>
      </x:c>
      <x:c r="AA202" s="18" t="n">
        <x:f>T202*'参数'!$B$30/('参数'!$B$32*'参数'!$B$33)/(1-Z202)*AC202</x:f>
        <x:v>2020.2067532211204</x:v>
      </x:c>
      <x:c r="AB202" s="18" t="n">
        <x:f>T202*'参数'!$B$31/'参数'!$B$34/(1-Z202)*AC202</x:f>
        <x:v>4040.4135064422408</x:v>
      </x:c>
      <x:c r="AC202" s="15" t="n">
        <x:f>'参数'!$L$27*1</x:f>
        <x:v>1.05</x:v>
      </x:c>
      <x:c r="AD202" s="15" t="n">
        <x:f>1</x:f>
        <x:v>1</x:v>
      </x:c>
      <x:c r="AE202" s="18" t="n">
        <x:f>IF(MOD(B202,12)=0,1,0)</x:f>
        <x:v>0</x:v>
      </x:c>
    </x:row>
    <x:row r="203" ht="22" customHeight="1">
      <x:c r="A203" s="19" t="str">
        <x:v>困难</x:v>
      </x:c>
      <x:c r="B203" s="19" t="n">
        <x:v>78</x:v>
      </x:c>
      <x:c r="C203" s="19" t="n">
        <x:f>ROUNDUP(B203/12,0)</x:f>
        <x:v>7</x:v>
      </x:c>
      <x:c r="D203" s="19" t="n">
        <x:f>ROUND(MAX('参数'!$G$27,E203)+(IF(C203&lt;10,INDEX('参数'!$G$35:$P$35,1,MIN(10,C203+1)),'参数'!$H$27)-MAX('参数'!$G$27,E203))*MOD(B203-1,12)/11,0)</x:f>
        <x:v>80</x:v>
      </x:c>
      <x:c r="E203" s="19" t="n">
        <x:f>INDEX('参数'!$G$35:$P$35,1,C203)</x:f>
        <x:v>80</x:v>
      </x:c>
      <x:c r="F203" s="20" t="n">
        <x:f>'参数'!$I$27</x:f>
        <x:v>1.1</x:v>
      </x:c>
      <x:c r="G203" s="19" t="n">
        <x:f>ROUND(V203*X203/'参数'!$B$56,0)</x:f>
        <x:v>111508</x:v>
      </x:c>
      <x:c r="H203" s="19" t="n">
        <x:f>ROUND((AA203+SQRT(AA203^2+4*AA203*'参数'!$B$22*U203))/2,0)</x:f>
        <x:v>3750</x:v>
      </x:c>
      <x:c r="I203" s="19" t="n">
        <x:f>ROUND(Q203*'参数'!$B$23/'参数'!$B$22,0)</x:f>
        <x:v>823</x:v>
      </x:c>
      <x:c r="J203" s="19" t="n">
        <x:f>ROUND(G203*'参数'!$B$50,0)</x:f>
        <x:v>334524</x:v>
      </x:c>
      <x:c r="K203" s="19" t="n">
        <x:f>ROUND(W203*Y203,0)</x:f>
        <x:v>1081707</x:v>
      </x:c>
      <x:c r="L203" s="19" t="n">
        <x:f>ROUND((AB203+SQRT(AB203^2+4*AB203*'参数'!$B$22*U203))/2,0)</x:f>
        <x:v>6149</x:v>
      </x:c>
      <x:c r="M203" s="19" t="n">
        <x:f>ROUND(I203*'参数'!$B$24,0)</x:f>
        <x:v>1029</x:v>
      </x:c>
      <x:c r="N203" s="19" t="n">
        <x:f>'参数'!$B$9*'参数'!$B$10^(D203-1)</x:f>
        <x:v>6198.577023163234</x:v>
      </x:c>
      <x:c r="O203" s="19" t="n">
        <x:f>'参数'!$B$18*'参数'!$B$19^(MIN(E203,MAX(1,5*INT(D203/5)))-1)*F203*'参数'!$J$27*P203</x:f>
        <x:v>726.5245262891327</x:v>
      </x:c>
      <x:c r="P203" s="22" t="n">
        <x:f>MIN(1,(D203-1)/19)</x:f>
        <x:v>1</x:v>
      </x:c>
      <x:c r="Q203" s="19" t="n">
        <x:f>INDEX('角色成长'!$F$6:$F$105,D203)+O203*'参数'!$K$21</x:f>
        <x:v>4115.594899924028</x:v>
      </x:c>
      <x:c r="R203" s="19" t="n">
        <x:f>INDEX('角色成长'!$I$6:$I$105,D203)+O203*'参数'!$K$21</x:f>
        <x:v>3542.594899924028</x:v>
      </x:c>
      <x:c r="S203" s="19" t="n">
        <x:f>INDEX('角色成长'!$L$6:$L$105,D203)+O203*'参数'!$K$21</x:f>
        <x:v>3215.594899924028</x:v>
      </x:c>
      <x:c r="T203" s="19" t="n">
        <x:f>(INDEX('角色成长'!$J$6:$J$105,D203)+O203*'参数'!$L$21)*(1+'参数'!$B$40*P203)</x:f>
        <x:v>46870.82893198063</x:v>
      </x:c>
      <x:c r="U203" s="19" t="n">
        <x:f>(INDEX('角色成长'!$K$6:$K$105,D203)+O203*'参数'!$M$21)*(1+'参数'!$B$41*P203)</x:f>
        <x:v>2567.8597131065803</x:v>
      </x:c>
      <x:c r="V203" s="19" t="n">
        <x:f>(('参数'!$K$5*(((Q203*(1+'参数'!$B$39*P203))^2/((Q203*(1+'参数'!$B$39*P203))+'参数'!$B$22*(I203)))*(1+'参数'!$B$42*P203)/'参数'!$J$5+((Q203*'参数'!$B$43*(1+'参数'!$B$39*P203))^2/((Q203*'参数'!$B$43*(1+'参数'!$B$39*P203))+'参数'!$B$22*(I203)))/'参数'!$B$44))+(((R203*(1+'参数'!$B$39*P203))^2/((R203*(1+'参数'!$B$39*P203))+'参数'!$B$22*(I203)))*(1+'参数'!$B$42*P203)/'参数'!$J$6+((R203*'参数'!$B$45*(1+'参数'!$B$39*P203))^2/((R203*'参数'!$B$45*(1+'参数'!$B$39*P203))+'参数'!$B$22*(I203)))/'参数'!$B$46)+((S203*(1+'参数'!$B$39*P203))^2/((S203*(1+'参数'!$B$39*P203))+'参数'!$B$22*(I203)))*(1+'参数'!$B$42*P203)/'参数'!$J$7)*(1+'参数'!$B$37*('参数'!$B$38-1))*'参数'!$B$25</x:f>
        <x:v>27776.4365008614</x:v>
      </x:c>
      <x:c r="W203" s="19" t="n">
        <x:f>(('参数'!$K$5*(((Q203*(1+'参数'!$B$39*P203))^2/((Q203*(1+'参数'!$B$39*P203))+'参数'!$B$22*(M203)))*(1+'参数'!$B$42*P203)/'参数'!$J$5+((Q203*'参数'!$B$43*(1+'参数'!$B$39*P203))^2/((Q203*'参数'!$B$43*(1+'参数'!$B$39*P203))+'参数'!$B$22*(M203)))/'参数'!$B$44))+(((R203*(1+'参数'!$B$39*P203))^2/((R203*(1+'参数'!$B$39*P203))+'参数'!$B$22*(M203)))*(1+'参数'!$B$42*P203)/'参数'!$J$6+((R203*'参数'!$B$45*(1+'参数'!$B$39*P203))^2/((R203*'参数'!$B$45*(1+'参数'!$B$39*P203))+'参数'!$B$22*(M203)))/'参数'!$B$46)+((S203*(1+'参数'!$B$39*P203))^2/((S203*(1+'参数'!$B$39*P203))+'参数'!$B$22*(M203)))*(1+'参数'!$B$42*P203)/'参数'!$J$7)*(1+'参数'!$B$37*('参数'!$B$38-1))</x:f>
        <x:v>21396.40625737211</x:v>
      </x:c>
      <x:c r="X203" s="26" t="n">
        <x:f>('参数'!$B$26+'参数'!$B$27*(D203-1)/99)*'参数'!$K$27*AD203</x:f>
        <x:v>18.46666666666667</x:v>
      </x:c>
      <x:c r="Y203" s="26" t="n">
        <x:f>('参数'!$B$28+'参数'!$B$29*(D203-1)/99)*'参数'!$K$27*AD203*IF(AE203=1,'参数'!$B$51,1)</x:f>
        <x:v>50.55555555555556</x:v>
      </x:c>
      <x:c r="Z203" s="22" t="n">
        <x:f>MIN('参数'!$B$36,U203/(U203+'参数'!$B$35))</x:f>
        <x:v>0.39097359341921595</x:v>
      </x:c>
      <x:c r="AA203" s="19" t="n">
        <x:f>T203*'参数'!$B$30/('参数'!$B$32*'参数'!$B$33)/(1-Z203)*AC203</x:f>
        <x:v>2020.2067532211204</x:v>
      </x:c>
      <x:c r="AB203" s="19" t="n">
        <x:f>T203*'参数'!$B$31/'参数'!$B$34/(1-Z203)*AC203</x:f>
        <x:v>4040.4135064422408</x:v>
      </x:c>
      <x:c r="AC203" s="20" t="n">
        <x:f>'参数'!$L$27*1</x:f>
        <x:v>1.05</x:v>
      </x:c>
      <x:c r="AD203" s="20" t="n">
        <x:f>1</x:f>
        <x:v>1</x:v>
      </x:c>
      <x:c r="AE203" s="19" t="n">
        <x:f>IF(MOD(B203,12)=0,1,0)</x:f>
        <x:v>0</x:v>
      </x:c>
    </x:row>
    <x:row r="204" ht="22" customHeight="1">
      <x:c r="A204" s="18" t="str">
        <x:v>困难</x:v>
      </x:c>
      <x:c r="B204" s="18" t="n">
        <x:v>79</x:v>
      </x:c>
      <x:c r="C204" s="18" t="n">
        <x:f>ROUNDUP(B204/12,0)</x:f>
        <x:v>7</x:v>
      </x:c>
      <x:c r="D204" s="18" t="n">
        <x:f>ROUND(MAX('参数'!$G$27,E204)+(IF(C204&lt;10,INDEX('参数'!$G$35:$P$35,1,MIN(10,C204+1)),'参数'!$H$27)-MAX('参数'!$G$27,E204))*MOD(B204-1,12)/11,0)</x:f>
        <x:v>80</x:v>
      </x:c>
      <x:c r="E204" s="18" t="n">
        <x:f>INDEX('参数'!$G$35:$P$35,1,C204)</x:f>
        <x:v>80</x:v>
      </x:c>
      <x:c r="F204" s="15" t="n">
        <x:f>'参数'!$I$27</x:f>
        <x:v>1.1</x:v>
      </x:c>
      <x:c r="G204" s="18" t="n">
        <x:f>ROUND(V204*X204/'参数'!$B$56,0)</x:f>
        <x:v>111508</x:v>
      </x:c>
      <x:c r="H204" s="18" t="n">
        <x:f>ROUND((AA204+SQRT(AA204^2+4*AA204*'参数'!$B$22*U204))/2,0)</x:f>
        <x:v>3750</x:v>
      </x:c>
      <x:c r="I204" s="18" t="n">
        <x:f>ROUND(Q204*'参数'!$B$23/'参数'!$B$22,0)</x:f>
        <x:v>823</x:v>
      </x:c>
      <x:c r="J204" s="18" t="n">
        <x:f>ROUND(G204*'参数'!$B$50,0)</x:f>
        <x:v>334524</x:v>
      </x:c>
      <x:c r="K204" s="18" t="n">
        <x:f>ROUND(W204*Y204,0)</x:f>
        <x:v>1081707</x:v>
      </x:c>
      <x:c r="L204" s="18" t="n">
        <x:f>ROUND((AB204+SQRT(AB204^2+4*AB204*'参数'!$B$22*U204))/2,0)</x:f>
        <x:v>6149</x:v>
      </x:c>
      <x:c r="M204" s="18" t="n">
        <x:f>ROUND(I204*'参数'!$B$24,0)</x:f>
        <x:v>1029</x:v>
      </x:c>
      <x:c r="N204" s="18" t="n">
        <x:f>'参数'!$B$9*'参数'!$B$10^(D204-1)</x:f>
        <x:v>6198.577023163234</x:v>
      </x:c>
      <x:c r="O204" s="18" t="n">
        <x:f>'参数'!$B$18*'参数'!$B$19^(MIN(E204,MAX(1,5*INT(D204/5)))-1)*F204*'参数'!$J$27*P204</x:f>
        <x:v>726.5245262891327</x:v>
      </x:c>
      <x:c r="P204" s="21" t="n">
        <x:f>MIN(1,(D204-1)/19)</x:f>
        <x:v>1</x:v>
      </x:c>
      <x:c r="Q204" s="18" t="n">
        <x:f>INDEX('角色成长'!$F$6:$F$105,D204)+O204*'参数'!$K$21</x:f>
        <x:v>4115.594899924028</x:v>
      </x:c>
      <x:c r="R204" s="18" t="n">
        <x:f>INDEX('角色成长'!$I$6:$I$105,D204)+O204*'参数'!$K$21</x:f>
        <x:v>3542.594899924028</x:v>
      </x:c>
      <x:c r="S204" s="18" t="n">
        <x:f>INDEX('角色成长'!$L$6:$L$105,D204)+O204*'参数'!$K$21</x:f>
        <x:v>3215.594899924028</x:v>
      </x:c>
      <x:c r="T204" s="18" t="n">
        <x:f>(INDEX('角色成长'!$J$6:$J$105,D204)+O204*'参数'!$L$21)*(1+'参数'!$B$40*P204)</x:f>
        <x:v>46870.82893198063</x:v>
      </x:c>
      <x:c r="U204" s="18" t="n">
        <x:f>(INDEX('角色成长'!$K$6:$K$105,D204)+O204*'参数'!$M$21)*(1+'参数'!$B$41*P204)</x:f>
        <x:v>2567.8597131065803</x:v>
      </x:c>
      <x:c r="V204" s="18" t="n">
        <x:f>(('参数'!$K$5*(((Q204*(1+'参数'!$B$39*P204))^2/((Q204*(1+'参数'!$B$39*P204))+'参数'!$B$22*(I204)))*(1+'参数'!$B$42*P204)/'参数'!$J$5+((Q204*'参数'!$B$43*(1+'参数'!$B$39*P204))^2/((Q204*'参数'!$B$43*(1+'参数'!$B$39*P204))+'参数'!$B$22*(I204)))/'参数'!$B$44))+(((R204*(1+'参数'!$B$39*P204))^2/((R204*(1+'参数'!$B$39*P204))+'参数'!$B$22*(I204)))*(1+'参数'!$B$42*P204)/'参数'!$J$6+((R204*'参数'!$B$45*(1+'参数'!$B$39*P204))^2/((R204*'参数'!$B$45*(1+'参数'!$B$39*P204))+'参数'!$B$22*(I204)))/'参数'!$B$46)+((S204*(1+'参数'!$B$39*P204))^2/((S204*(1+'参数'!$B$39*P204))+'参数'!$B$22*(I204)))*(1+'参数'!$B$42*P204)/'参数'!$J$7)*(1+'参数'!$B$37*('参数'!$B$38-1))*'参数'!$B$25</x:f>
        <x:v>27776.4365008614</x:v>
      </x:c>
      <x:c r="W204" s="18" t="n">
        <x:f>(('参数'!$K$5*(((Q204*(1+'参数'!$B$39*P204))^2/((Q204*(1+'参数'!$B$39*P204))+'参数'!$B$22*(M204)))*(1+'参数'!$B$42*P204)/'参数'!$J$5+((Q204*'参数'!$B$43*(1+'参数'!$B$39*P204))^2/((Q204*'参数'!$B$43*(1+'参数'!$B$39*P204))+'参数'!$B$22*(M204)))/'参数'!$B$44))+(((R204*(1+'参数'!$B$39*P204))^2/((R204*(1+'参数'!$B$39*P204))+'参数'!$B$22*(M204)))*(1+'参数'!$B$42*P204)/'参数'!$J$6+((R204*'参数'!$B$45*(1+'参数'!$B$39*P204))^2/((R204*'参数'!$B$45*(1+'参数'!$B$39*P204))+'参数'!$B$22*(M204)))/'参数'!$B$46)+((S204*(1+'参数'!$B$39*P204))^2/((S204*(1+'参数'!$B$39*P204))+'参数'!$B$22*(M204)))*(1+'参数'!$B$42*P204)/'参数'!$J$7)*(1+'参数'!$B$37*('参数'!$B$38-1))</x:f>
        <x:v>21396.40625737211</x:v>
      </x:c>
      <x:c r="X204" s="25" t="n">
        <x:f>('参数'!$B$26+'参数'!$B$27*(D204-1)/99)*'参数'!$K$27*AD204</x:f>
        <x:v>18.46666666666667</x:v>
      </x:c>
      <x:c r="Y204" s="25" t="n">
        <x:f>('参数'!$B$28+'参数'!$B$29*(D204-1)/99)*'参数'!$K$27*AD204*IF(AE204=1,'参数'!$B$51,1)</x:f>
        <x:v>50.55555555555556</x:v>
      </x:c>
      <x:c r="Z204" s="21" t="n">
        <x:f>MIN('参数'!$B$36,U204/(U204+'参数'!$B$35))</x:f>
        <x:v>0.39097359341921595</x:v>
      </x:c>
      <x:c r="AA204" s="18" t="n">
        <x:f>T204*'参数'!$B$30/('参数'!$B$32*'参数'!$B$33)/(1-Z204)*AC204</x:f>
        <x:v>2020.2067532211204</x:v>
      </x:c>
      <x:c r="AB204" s="18" t="n">
        <x:f>T204*'参数'!$B$31/'参数'!$B$34/(1-Z204)*AC204</x:f>
        <x:v>4040.4135064422408</x:v>
      </x:c>
      <x:c r="AC204" s="15" t="n">
        <x:f>'参数'!$L$27*1</x:f>
        <x:v>1.05</x:v>
      </x:c>
      <x:c r="AD204" s="15" t="n">
        <x:f>1</x:f>
        <x:v>1</x:v>
      </x:c>
      <x:c r="AE204" s="18" t="n">
        <x:f>IF(MOD(B204,12)=0,1,0)</x:f>
        <x:v>0</x:v>
      </x:c>
    </x:row>
    <x:row r="205" ht="22" customHeight="1">
      <x:c r="A205" s="19" t="str">
        <x:v>困难</x:v>
      </x:c>
      <x:c r="B205" s="19" t="n">
        <x:v>80</x:v>
      </x:c>
      <x:c r="C205" s="19" t="n">
        <x:f>ROUNDUP(B205/12,0)</x:f>
        <x:v>7</x:v>
      </x:c>
      <x:c r="D205" s="19" t="n">
        <x:f>ROUND(MAX('参数'!$G$27,E205)+(IF(C205&lt;10,INDEX('参数'!$G$35:$P$35,1,MIN(10,C205+1)),'参数'!$H$27)-MAX('参数'!$G$27,E205))*MOD(B205-1,12)/11,0)</x:f>
        <x:v>80</x:v>
      </x:c>
      <x:c r="E205" s="19" t="n">
        <x:f>INDEX('参数'!$G$35:$P$35,1,C205)</x:f>
        <x:v>80</x:v>
      </x:c>
      <x:c r="F205" s="20" t="n">
        <x:f>'参数'!$I$27</x:f>
        <x:v>1.1</x:v>
      </x:c>
      <x:c r="G205" s="19" t="n">
        <x:f>ROUND(V205*X205/'参数'!$B$56,0)</x:f>
        <x:v>111508</x:v>
      </x:c>
      <x:c r="H205" s="19" t="n">
        <x:f>ROUND((AA205+SQRT(AA205^2+4*AA205*'参数'!$B$22*U205))/2,0)</x:f>
        <x:v>3750</x:v>
      </x:c>
      <x:c r="I205" s="19" t="n">
        <x:f>ROUND(Q205*'参数'!$B$23/'参数'!$B$22,0)</x:f>
        <x:v>823</x:v>
      </x:c>
      <x:c r="J205" s="19" t="n">
        <x:f>ROUND(G205*'参数'!$B$50,0)</x:f>
        <x:v>334524</x:v>
      </x:c>
      <x:c r="K205" s="19" t="n">
        <x:f>ROUND(W205*Y205,0)</x:f>
        <x:v>1081707</x:v>
      </x:c>
      <x:c r="L205" s="19" t="n">
        <x:f>ROUND((AB205+SQRT(AB205^2+4*AB205*'参数'!$B$22*U205))/2,0)</x:f>
        <x:v>6149</x:v>
      </x:c>
      <x:c r="M205" s="19" t="n">
        <x:f>ROUND(I205*'参数'!$B$24,0)</x:f>
        <x:v>1029</x:v>
      </x:c>
      <x:c r="N205" s="19" t="n">
        <x:f>'参数'!$B$9*'参数'!$B$10^(D205-1)</x:f>
        <x:v>6198.577023163234</x:v>
      </x:c>
      <x:c r="O205" s="19" t="n">
        <x:f>'参数'!$B$18*'参数'!$B$19^(MIN(E205,MAX(1,5*INT(D205/5)))-1)*F205*'参数'!$J$27*P205</x:f>
        <x:v>726.5245262891327</x:v>
      </x:c>
      <x:c r="P205" s="22" t="n">
        <x:f>MIN(1,(D205-1)/19)</x:f>
        <x:v>1</x:v>
      </x:c>
      <x:c r="Q205" s="19" t="n">
        <x:f>INDEX('角色成长'!$F$6:$F$105,D205)+O205*'参数'!$K$21</x:f>
        <x:v>4115.594899924028</x:v>
      </x:c>
      <x:c r="R205" s="19" t="n">
        <x:f>INDEX('角色成长'!$I$6:$I$105,D205)+O205*'参数'!$K$21</x:f>
        <x:v>3542.594899924028</x:v>
      </x:c>
      <x:c r="S205" s="19" t="n">
        <x:f>INDEX('角色成长'!$L$6:$L$105,D205)+O205*'参数'!$K$21</x:f>
        <x:v>3215.594899924028</x:v>
      </x:c>
      <x:c r="T205" s="19" t="n">
        <x:f>(INDEX('角色成长'!$J$6:$J$105,D205)+O205*'参数'!$L$21)*(1+'参数'!$B$40*P205)</x:f>
        <x:v>46870.82893198063</x:v>
      </x:c>
      <x:c r="U205" s="19" t="n">
        <x:f>(INDEX('角色成长'!$K$6:$K$105,D205)+O205*'参数'!$M$21)*(1+'参数'!$B$41*P205)</x:f>
        <x:v>2567.8597131065803</x:v>
      </x:c>
      <x:c r="V205" s="19" t="n">
        <x:f>(('参数'!$K$5*(((Q205*(1+'参数'!$B$39*P205))^2/((Q205*(1+'参数'!$B$39*P205))+'参数'!$B$22*(I205)))*(1+'参数'!$B$42*P205)/'参数'!$J$5+((Q205*'参数'!$B$43*(1+'参数'!$B$39*P205))^2/((Q205*'参数'!$B$43*(1+'参数'!$B$39*P205))+'参数'!$B$22*(I205)))/'参数'!$B$44))+(((R205*(1+'参数'!$B$39*P205))^2/((R205*(1+'参数'!$B$39*P205))+'参数'!$B$22*(I205)))*(1+'参数'!$B$42*P205)/'参数'!$J$6+((R205*'参数'!$B$45*(1+'参数'!$B$39*P205))^2/((R205*'参数'!$B$45*(1+'参数'!$B$39*P205))+'参数'!$B$22*(I205)))/'参数'!$B$46)+((S205*(1+'参数'!$B$39*P205))^2/((S205*(1+'参数'!$B$39*P205))+'参数'!$B$22*(I205)))*(1+'参数'!$B$42*P205)/'参数'!$J$7)*(1+'参数'!$B$37*('参数'!$B$38-1))*'参数'!$B$25</x:f>
        <x:v>27776.4365008614</x:v>
      </x:c>
      <x:c r="W205" s="19" t="n">
        <x:f>(('参数'!$K$5*(((Q205*(1+'参数'!$B$39*P205))^2/((Q205*(1+'参数'!$B$39*P205))+'参数'!$B$22*(M205)))*(1+'参数'!$B$42*P205)/'参数'!$J$5+((Q205*'参数'!$B$43*(1+'参数'!$B$39*P205))^2/((Q205*'参数'!$B$43*(1+'参数'!$B$39*P205))+'参数'!$B$22*(M205)))/'参数'!$B$44))+(((R205*(1+'参数'!$B$39*P205))^2/((R205*(1+'参数'!$B$39*P205))+'参数'!$B$22*(M205)))*(1+'参数'!$B$42*P205)/'参数'!$J$6+((R205*'参数'!$B$45*(1+'参数'!$B$39*P205))^2/((R205*'参数'!$B$45*(1+'参数'!$B$39*P205))+'参数'!$B$22*(M205)))/'参数'!$B$46)+((S205*(1+'参数'!$B$39*P205))^2/((S205*(1+'参数'!$B$39*P205))+'参数'!$B$22*(M205)))*(1+'参数'!$B$42*P205)/'参数'!$J$7)*(1+'参数'!$B$37*('参数'!$B$38-1))</x:f>
        <x:v>21396.40625737211</x:v>
      </x:c>
      <x:c r="X205" s="26" t="n">
        <x:f>('参数'!$B$26+'参数'!$B$27*(D205-1)/99)*'参数'!$K$27*AD205</x:f>
        <x:v>18.46666666666667</x:v>
      </x:c>
      <x:c r="Y205" s="26" t="n">
        <x:f>('参数'!$B$28+'参数'!$B$29*(D205-1)/99)*'参数'!$K$27*AD205*IF(AE205=1,'参数'!$B$51,1)</x:f>
        <x:v>50.55555555555556</x:v>
      </x:c>
      <x:c r="Z205" s="22" t="n">
        <x:f>MIN('参数'!$B$36,U205/(U205+'参数'!$B$35))</x:f>
        <x:v>0.39097359341921595</x:v>
      </x:c>
      <x:c r="AA205" s="19" t="n">
        <x:f>T205*'参数'!$B$30/('参数'!$B$32*'参数'!$B$33)/(1-Z205)*AC205</x:f>
        <x:v>2020.2067532211204</x:v>
      </x:c>
      <x:c r="AB205" s="19" t="n">
        <x:f>T205*'参数'!$B$31/'参数'!$B$34/(1-Z205)*AC205</x:f>
        <x:v>4040.4135064422408</x:v>
      </x:c>
      <x:c r="AC205" s="20" t="n">
        <x:f>'参数'!$L$27*1</x:f>
        <x:v>1.05</x:v>
      </x:c>
      <x:c r="AD205" s="20" t="n">
        <x:f>1</x:f>
        <x:v>1</x:v>
      </x:c>
      <x:c r="AE205" s="19" t="n">
        <x:f>IF(MOD(B205,12)=0,1,0)</x:f>
        <x:v>0</x:v>
      </x:c>
    </x:row>
    <x:row r="206" ht="22" customHeight="1">
      <x:c r="A206" s="18" t="str">
        <x:v>困难</x:v>
      </x:c>
      <x:c r="B206" s="18" t="n">
        <x:v>81</x:v>
      </x:c>
      <x:c r="C206" s="18" t="n">
        <x:f>ROUNDUP(B206/12,0)</x:f>
        <x:v>7</x:v>
      </x:c>
      <x:c r="D206" s="18" t="n">
        <x:f>ROUND(MAX('参数'!$G$27,E206)+(IF(C206&lt;10,INDEX('参数'!$G$35:$P$35,1,MIN(10,C206+1)),'参数'!$H$27)-MAX('参数'!$G$27,E206))*MOD(B206-1,12)/11,0)</x:f>
        <x:v>80</x:v>
      </x:c>
      <x:c r="E206" s="18" t="n">
        <x:f>INDEX('参数'!$G$35:$P$35,1,C206)</x:f>
        <x:v>80</x:v>
      </x:c>
      <x:c r="F206" s="15" t="n">
        <x:f>'参数'!$I$27</x:f>
        <x:v>1.1</x:v>
      </x:c>
      <x:c r="G206" s="18" t="n">
        <x:f>ROUND(V206*X206/'参数'!$B$56,0)</x:f>
        <x:v>111508</x:v>
      </x:c>
      <x:c r="H206" s="18" t="n">
        <x:f>ROUND((AA206+SQRT(AA206^2+4*AA206*'参数'!$B$22*U206))/2,0)</x:f>
        <x:v>3750</x:v>
      </x:c>
      <x:c r="I206" s="18" t="n">
        <x:f>ROUND(Q206*'参数'!$B$23/'参数'!$B$22,0)</x:f>
        <x:v>823</x:v>
      </x:c>
      <x:c r="J206" s="18" t="n">
        <x:f>ROUND(G206*'参数'!$B$50,0)</x:f>
        <x:v>334524</x:v>
      </x:c>
      <x:c r="K206" s="18" t="n">
        <x:f>ROUND(W206*Y206,0)</x:f>
        <x:v>1081707</x:v>
      </x:c>
      <x:c r="L206" s="18" t="n">
        <x:f>ROUND((AB206+SQRT(AB206^2+4*AB206*'参数'!$B$22*U206))/2,0)</x:f>
        <x:v>6149</x:v>
      </x:c>
      <x:c r="M206" s="18" t="n">
        <x:f>ROUND(I206*'参数'!$B$24,0)</x:f>
        <x:v>1029</x:v>
      </x:c>
      <x:c r="N206" s="18" t="n">
        <x:f>'参数'!$B$9*'参数'!$B$10^(D206-1)</x:f>
        <x:v>6198.577023163234</x:v>
      </x:c>
      <x:c r="O206" s="18" t="n">
        <x:f>'参数'!$B$18*'参数'!$B$19^(MIN(E206,MAX(1,5*INT(D206/5)))-1)*F206*'参数'!$J$27*P206</x:f>
        <x:v>726.5245262891327</x:v>
      </x:c>
      <x:c r="P206" s="21" t="n">
        <x:f>MIN(1,(D206-1)/19)</x:f>
        <x:v>1</x:v>
      </x:c>
      <x:c r="Q206" s="18" t="n">
        <x:f>INDEX('角色成长'!$F$6:$F$105,D206)+O206*'参数'!$K$21</x:f>
        <x:v>4115.594899924028</x:v>
      </x:c>
      <x:c r="R206" s="18" t="n">
        <x:f>INDEX('角色成长'!$I$6:$I$105,D206)+O206*'参数'!$K$21</x:f>
        <x:v>3542.594899924028</x:v>
      </x:c>
      <x:c r="S206" s="18" t="n">
        <x:f>INDEX('角色成长'!$L$6:$L$105,D206)+O206*'参数'!$K$21</x:f>
        <x:v>3215.594899924028</x:v>
      </x:c>
      <x:c r="T206" s="18" t="n">
        <x:f>(INDEX('角色成长'!$J$6:$J$105,D206)+O206*'参数'!$L$21)*(1+'参数'!$B$40*P206)</x:f>
        <x:v>46870.82893198063</x:v>
      </x:c>
      <x:c r="U206" s="18" t="n">
        <x:f>(INDEX('角色成长'!$K$6:$K$105,D206)+O206*'参数'!$M$21)*(1+'参数'!$B$41*P206)</x:f>
        <x:v>2567.8597131065803</x:v>
      </x:c>
      <x:c r="V206" s="18" t="n">
        <x:f>(('参数'!$K$5*(((Q206*(1+'参数'!$B$39*P206))^2/((Q206*(1+'参数'!$B$39*P206))+'参数'!$B$22*(I206)))*(1+'参数'!$B$42*P206)/'参数'!$J$5+((Q206*'参数'!$B$43*(1+'参数'!$B$39*P206))^2/((Q206*'参数'!$B$43*(1+'参数'!$B$39*P206))+'参数'!$B$22*(I206)))/'参数'!$B$44))+(((R206*(1+'参数'!$B$39*P206))^2/((R206*(1+'参数'!$B$39*P206))+'参数'!$B$22*(I206)))*(1+'参数'!$B$42*P206)/'参数'!$J$6+((R206*'参数'!$B$45*(1+'参数'!$B$39*P206))^2/((R206*'参数'!$B$45*(1+'参数'!$B$39*P206))+'参数'!$B$22*(I206)))/'参数'!$B$46)+((S206*(1+'参数'!$B$39*P206))^2/((S206*(1+'参数'!$B$39*P206))+'参数'!$B$22*(I206)))*(1+'参数'!$B$42*P206)/'参数'!$J$7)*(1+'参数'!$B$37*('参数'!$B$38-1))*'参数'!$B$25</x:f>
        <x:v>27776.4365008614</x:v>
      </x:c>
      <x:c r="W206" s="18" t="n">
        <x:f>(('参数'!$K$5*(((Q206*(1+'参数'!$B$39*P206))^2/((Q206*(1+'参数'!$B$39*P206))+'参数'!$B$22*(M206)))*(1+'参数'!$B$42*P206)/'参数'!$J$5+((Q206*'参数'!$B$43*(1+'参数'!$B$39*P206))^2/((Q206*'参数'!$B$43*(1+'参数'!$B$39*P206))+'参数'!$B$22*(M206)))/'参数'!$B$44))+(((R206*(1+'参数'!$B$39*P206))^2/((R206*(1+'参数'!$B$39*P206))+'参数'!$B$22*(M206)))*(1+'参数'!$B$42*P206)/'参数'!$J$6+((R206*'参数'!$B$45*(1+'参数'!$B$39*P206))^2/((R206*'参数'!$B$45*(1+'参数'!$B$39*P206))+'参数'!$B$22*(M206)))/'参数'!$B$46)+((S206*(1+'参数'!$B$39*P206))^2/((S206*(1+'参数'!$B$39*P206))+'参数'!$B$22*(M206)))*(1+'参数'!$B$42*P206)/'参数'!$J$7)*(1+'参数'!$B$37*('参数'!$B$38-1))</x:f>
        <x:v>21396.40625737211</x:v>
      </x:c>
      <x:c r="X206" s="25" t="n">
        <x:f>('参数'!$B$26+'参数'!$B$27*(D206-1)/99)*'参数'!$K$27*AD206</x:f>
        <x:v>18.46666666666667</x:v>
      </x:c>
      <x:c r="Y206" s="25" t="n">
        <x:f>('参数'!$B$28+'参数'!$B$29*(D206-1)/99)*'参数'!$K$27*AD206*IF(AE206=1,'参数'!$B$51,1)</x:f>
        <x:v>50.55555555555556</x:v>
      </x:c>
      <x:c r="Z206" s="21" t="n">
        <x:f>MIN('参数'!$B$36,U206/(U206+'参数'!$B$35))</x:f>
        <x:v>0.39097359341921595</x:v>
      </x:c>
      <x:c r="AA206" s="18" t="n">
        <x:f>T206*'参数'!$B$30/('参数'!$B$32*'参数'!$B$33)/(1-Z206)*AC206</x:f>
        <x:v>2020.2067532211204</x:v>
      </x:c>
      <x:c r="AB206" s="18" t="n">
        <x:f>T206*'参数'!$B$31/'参数'!$B$34/(1-Z206)*AC206</x:f>
        <x:v>4040.4135064422408</x:v>
      </x:c>
      <x:c r="AC206" s="15" t="n">
        <x:f>'参数'!$L$27*1</x:f>
        <x:v>1.05</x:v>
      </x:c>
      <x:c r="AD206" s="15" t="n">
        <x:f>1</x:f>
        <x:v>1</x:v>
      </x:c>
      <x:c r="AE206" s="18" t="n">
        <x:f>IF(MOD(B206,12)=0,1,0)</x:f>
        <x:v>0</x:v>
      </x:c>
    </x:row>
    <x:row r="207" ht="22" customHeight="1">
      <x:c r="A207" s="19" t="str">
        <x:v>困难</x:v>
      </x:c>
      <x:c r="B207" s="19" t="n">
        <x:v>82</x:v>
      </x:c>
      <x:c r="C207" s="19" t="n">
        <x:f>ROUNDUP(B207/12,0)</x:f>
        <x:v>7</x:v>
      </x:c>
      <x:c r="D207" s="19" t="n">
        <x:f>ROUND(MAX('参数'!$G$27,E207)+(IF(C207&lt;10,INDEX('参数'!$G$35:$P$35,1,MIN(10,C207+1)),'参数'!$H$27)-MAX('参数'!$G$27,E207))*MOD(B207-1,12)/11,0)</x:f>
        <x:v>80</x:v>
      </x:c>
      <x:c r="E207" s="19" t="n">
        <x:f>INDEX('参数'!$G$35:$P$35,1,C207)</x:f>
        <x:v>80</x:v>
      </x:c>
      <x:c r="F207" s="20" t="n">
        <x:f>'参数'!$I$27</x:f>
        <x:v>1.1</x:v>
      </x:c>
      <x:c r="G207" s="19" t="n">
        <x:f>ROUND(V207*X207/'参数'!$B$56,0)</x:f>
        <x:v>111508</x:v>
      </x:c>
      <x:c r="H207" s="19" t="n">
        <x:f>ROUND((AA207+SQRT(AA207^2+4*AA207*'参数'!$B$22*U207))/2,0)</x:f>
        <x:v>3750</x:v>
      </x:c>
      <x:c r="I207" s="19" t="n">
        <x:f>ROUND(Q207*'参数'!$B$23/'参数'!$B$22,0)</x:f>
        <x:v>823</x:v>
      </x:c>
      <x:c r="J207" s="19" t="n">
        <x:f>ROUND(G207*'参数'!$B$50,0)</x:f>
        <x:v>334524</x:v>
      </x:c>
      <x:c r="K207" s="19" t="n">
        <x:f>ROUND(W207*Y207,0)</x:f>
        <x:v>1081707</x:v>
      </x:c>
      <x:c r="L207" s="19" t="n">
        <x:f>ROUND((AB207+SQRT(AB207^2+4*AB207*'参数'!$B$22*U207))/2,0)</x:f>
        <x:v>6149</x:v>
      </x:c>
      <x:c r="M207" s="19" t="n">
        <x:f>ROUND(I207*'参数'!$B$24,0)</x:f>
        <x:v>1029</x:v>
      </x:c>
      <x:c r="N207" s="19" t="n">
        <x:f>'参数'!$B$9*'参数'!$B$10^(D207-1)</x:f>
        <x:v>6198.577023163234</x:v>
      </x:c>
      <x:c r="O207" s="19" t="n">
        <x:f>'参数'!$B$18*'参数'!$B$19^(MIN(E207,MAX(1,5*INT(D207/5)))-1)*F207*'参数'!$J$27*P207</x:f>
        <x:v>726.5245262891327</x:v>
      </x:c>
      <x:c r="P207" s="22" t="n">
        <x:f>MIN(1,(D207-1)/19)</x:f>
        <x:v>1</x:v>
      </x:c>
      <x:c r="Q207" s="19" t="n">
        <x:f>INDEX('角色成长'!$F$6:$F$105,D207)+O207*'参数'!$K$21</x:f>
        <x:v>4115.594899924028</x:v>
      </x:c>
      <x:c r="R207" s="19" t="n">
        <x:f>INDEX('角色成长'!$I$6:$I$105,D207)+O207*'参数'!$K$21</x:f>
        <x:v>3542.594899924028</x:v>
      </x:c>
      <x:c r="S207" s="19" t="n">
        <x:f>INDEX('角色成长'!$L$6:$L$105,D207)+O207*'参数'!$K$21</x:f>
        <x:v>3215.594899924028</x:v>
      </x:c>
      <x:c r="T207" s="19" t="n">
        <x:f>(INDEX('角色成长'!$J$6:$J$105,D207)+O207*'参数'!$L$21)*(1+'参数'!$B$40*P207)</x:f>
        <x:v>46870.82893198063</x:v>
      </x:c>
      <x:c r="U207" s="19" t="n">
        <x:f>(INDEX('角色成长'!$K$6:$K$105,D207)+O207*'参数'!$M$21)*(1+'参数'!$B$41*P207)</x:f>
        <x:v>2567.8597131065803</x:v>
      </x:c>
      <x:c r="V207" s="19" t="n">
        <x:f>(('参数'!$K$5*(((Q207*(1+'参数'!$B$39*P207))^2/((Q207*(1+'参数'!$B$39*P207))+'参数'!$B$22*(I207)))*(1+'参数'!$B$42*P207)/'参数'!$J$5+((Q207*'参数'!$B$43*(1+'参数'!$B$39*P207))^2/((Q207*'参数'!$B$43*(1+'参数'!$B$39*P207))+'参数'!$B$22*(I207)))/'参数'!$B$44))+(((R207*(1+'参数'!$B$39*P207))^2/((R207*(1+'参数'!$B$39*P207))+'参数'!$B$22*(I207)))*(1+'参数'!$B$42*P207)/'参数'!$J$6+((R207*'参数'!$B$45*(1+'参数'!$B$39*P207))^2/((R207*'参数'!$B$45*(1+'参数'!$B$39*P207))+'参数'!$B$22*(I207)))/'参数'!$B$46)+((S207*(1+'参数'!$B$39*P207))^2/((S207*(1+'参数'!$B$39*P207))+'参数'!$B$22*(I207)))*(1+'参数'!$B$42*P207)/'参数'!$J$7)*(1+'参数'!$B$37*('参数'!$B$38-1))*'参数'!$B$25</x:f>
        <x:v>27776.4365008614</x:v>
      </x:c>
      <x:c r="W207" s="19" t="n">
        <x:f>(('参数'!$K$5*(((Q207*(1+'参数'!$B$39*P207))^2/((Q207*(1+'参数'!$B$39*P207))+'参数'!$B$22*(M207)))*(1+'参数'!$B$42*P207)/'参数'!$J$5+((Q207*'参数'!$B$43*(1+'参数'!$B$39*P207))^2/((Q207*'参数'!$B$43*(1+'参数'!$B$39*P207))+'参数'!$B$22*(M207)))/'参数'!$B$44))+(((R207*(1+'参数'!$B$39*P207))^2/((R207*(1+'参数'!$B$39*P207))+'参数'!$B$22*(M207)))*(1+'参数'!$B$42*P207)/'参数'!$J$6+((R207*'参数'!$B$45*(1+'参数'!$B$39*P207))^2/((R207*'参数'!$B$45*(1+'参数'!$B$39*P207))+'参数'!$B$22*(M207)))/'参数'!$B$46)+((S207*(1+'参数'!$B$39*P207))^2/((S207*(1+'参数'!$B$39*P207))+'参数'!$B$22*(M207)))*(1+'参数'!$B$42*P207)/'参数'!$J$7)*(1+'参数'!$B$37*('参数'!$B$38-1))</x:f>
        <x:v>21396.40625737211</x:v>
      </x:c>
      <x:c r="X207" s="26" t="n">
        <x:f>('参数'!$B$26+'参数'!$B$27*(D207-1)/99)*'参数'!$K$27*AD207</x:f>
        <x:v>18.46666666666667</x:v>
      </x:c>
      <x:c r="Y207" s="26" t="n">
        <x:f>('参数'!$B$28+'参数'!$B$29*(D207-1)/99)*'参数'!$K$27*AD207*IF(AE207=1,'参数'!$B$51,1)</x:f>
        <x:v>50.55555555555556</x:v>
      </x:c>
      <x:c r="Z207" s="22" t="n">
        <x:f>MIN('参数'!$B$36,U207/(U207+'参数'!$B$35))</x:f>
        <x:v>0.39097359341921595</x:v>
      </x:c>
      <x:c r="AA207" s="19" t="n">
        <x:f>T207*'参数'!$B$30/('参数'!$B$32*'参数'!$B$33)/(1-Z207)*AC207</x:f>
        <x:v>2020.2067532211204</x:v>
      </x:c>
      <x:c r="AB207" s="19" t="n">
        <x:f>T207*'参数'!$B$31/'参数'!$B$34/(1-Z207)*AC207</x:f>
        <x:v>4040.4135064422408</x:v>
      </x:c>
      <x:c r="AC207" s="20" t="n">
        <x:f>'参数'!$L$27*1</x:f>
        <x:v>1.05</x:v>
      </x:c>
      <x:c r="AD207" s="20" t="n">
        <x:f>1</x:f>
        <x:v>1</x:v>
      </x:c>
      <x:c r="AE207" s="19" t="n">
        <x:f>IF(MOD(B207,12)=0,1,0)</x:f>
        <x:v>0</x:v>
      </x:c>
    </x:row>
    <x:row r="208" ht="22" customHeight="1">
      <x:c r="A208" s="18" t="str">
        <x:v>困难</x:v>
      </x:c>
      <x:c r="B208" s="18" t="n">
        <x:v>83</x:v>
      </x:c>
      <x:c r="C208" s="18" t="n">
        <x:f>ROUNDUP(B208/12,0)</x:f>
        <x:v>7</x:v>
      </x:c>
      <x:c r="D208" s="18" t="n">
        <x:f>ROUND(MAX('参数'!$G$27,E208)+(IF(C208&lt;10,INDEX('参数'!$G$35:$P$35,1,MIN(10,C208+1)),'参数'!$H$27)-MAX('参数'!$G$27,E208))*MOD(B208-1,12)/11,0)</x:f>
        <x:v>80</x:v>
      </x:c>
      <x:c r="E208" s="18" t="n">
        <x:f>INDEX('参数'!$G$35:$P$35,1,C208)</x:f>
        <x:v>80</x:v>
      </x:c>
      <x:c r="F208" s="15" t="n">
        <x:f>'参数'!$I$27</x:f>
        <x:v>1.1</x:v>
      </x:c>
      <x:c r="G208" s="18" t="n">
        <x:f>ROUND(V208*X208/'参数'!$B$56,0)</x:f>
        <x:v>111508</x:v>
      </x:c>
      <x:c r="H208" s="18" t="n">
        <x:f>ROUND((AA208+SQRT(AA208^2+4*AA208*'参数'!$B$22*U208))/2,0)</x:f>
        <x:v>3750</x:v>
      </x:c>
      <x:c r="I208" s="18" t="n">
        <x:f>ROUND(Q208*'参数'!$B$23/'参数'!$B$22,0)</x:f>
        <x:v>823</x:v>
      </x:c>
      <x:c r="J208" s="18" t="n">
        <x:f>ROUND(G208*'参数'!$B$50,0)</x:f>
        <x:v>334524</x:v>
      </x:c>
      <x:c r="K208" s="18" t="n">
        <x:f>ROUND(W208*Y208,0)</x:f>
        <x:v>1081707</x:v>
      </x:c>
      <x:c r="L208" s="18" t="n">
        <x:f>ROUND((AB208+SQRT(AB208^2+4*AB208*'参数'!$B$22*U208))/2,0)</x:f>
        <x:v>6149</x:v>
      </x:c>
      <x:c r="M208" s="18" t="n">
        <x:f>ROUND(I208*'参数'!$B$24,0)</x:f>
        <x:v>1029</x:v>
      </x:c>
      <x:c r="N208" s="18" t="n">
        <x:f>'参数'!$B$9*'参数'!$B$10^(D208-1)</x:f>
        <x:v>6198.577023163234</x:v>
      </x:c>
      <x:c r="O208" s="18" t="n">
        <x:f>'参数'!$B$18*'参数'!$B$19^(MIN(E208,MAX(1,5*INT(D208/5)))-1)*F208*'参数'!$J$27*P208</x:f>
        <x:v>726.5245262891327</x:v>
      </x:c>
      <x:c r="P208" s="21" t="n">
        <x:f>MIN(1,(D208-1)/19)</x:f>
        <x:v>1</x:v>
      </x:c>
      <x:c r="Q208" s="18" t="n">
        <x:f>INDEX('角色成长'!$F$6:$F$105,D208)+O208*'参数'!$K$21</x:f>
        <x:v>4115.594899924028</x:v>
      </x:c>
      <x:c r="R208" s="18" t="n">
        <x:f>INDEX('角色成长'!$I$6:$I$105,D208)+O208*'参数'!$K$21</x:f>
        <x:v>3542.594899924028</x:v>
      </x:c>
      <x:c r="S208" s="18" t="n">
        <x:f>INDEX('角色成长'!$L$6:$L$105,D208)+O208*'参数'!$K$21</x:f>
        <x:v>3215.594899924028</x:v>
      </x:c>
      <x:c r="T208" s="18" t="n">
        <x:f>(INDEX('角色成长'!$J$6:$J$105,D208)+O208*'参数'!$L$21)*(1+'参数'!$B$40*P208)</x:f>
        <x:v>46870.82893198063</x:v>
      </x:c>
      <x:c r="U208" s="18" t="n">
        <x:f>(INDEX('角色成长'!$K$6:$K$105,D208)+O208*'参数'!$M$21)*(1+'参数'!$B$41*P208)</x:f>
        <x:v>2567.8597131065803</x:v>
      </x:c>
      <x:c r="V208" s="18" t="n">
        <x:f>(('参数'!$K$5*(((Q208*(1+'参数'!$B$39*P208))^2/((Q208*(1+'参数'!$B$39*P208))+'参数'!$B$22*(I208)))*(1+'参数'!$B$42*P208)/'参数'!$J$5+((Q208*'参数'!$B$43*(1+'参数'!$B$39*P208))^2/((Q208*'参数'!$B$43*(1+'参数'!$B$39*P208))+'参数'!$B$22*(I208)))/'参数'!$B$44))+(((R208*(1+'参数'!$B$39*P208))^2/((R208*(1+'参数'!$B$39*P208))+'参数'!$B$22*(I208)))*(1+'参数'!$B$42*P208)/'参数'!$J$6+((R208*'参数'!$B$45*(1+'参数'!$B$39*P208))^2/((R208*'参数'!$B$45*(1+'参数'!$B$39*P208))+'参数'!$B$22*(I208)))/'参数'!$B$46)+((S208*(1+'参数'!$B$39*P208))^2/((S208*(1+'参数'!$B$39*P208))+'参数'!$B$22*(I208)))*(1+'参数'!$B$42*P208)/'参数'!$J$7)*(1+'参数'!$B$37*('参数'!$B$38-1))*'参数'!$B$25</x:f>
        <x:v>27776.4365008614</x:v>
      </x:c>
      <x:c r="W208" s="18" t="n">
        <x:f>(('参数'!$K$5*(((Q208*(1+'参数'!$B$39*P208))^2/((Q208*(1+'参数'!$B$39*P208))+'参数'!$B$22*(M208)))*(1+'参数'!$B$42*P208)/'参数'!$J$5+((Q208*'参数'!$B$43*(1+'参数'!$B$39*P208))^2/((Q208*'参数'!$B$43*(1+'参数'!$B$39*P208))+'参数'!$B$22*(M208)))/'参数'!$B$44))+(((R208*(1+'参数'!$B$39*P208))^2/((R208*(1+'参数'!$B$39*P208))+'参数'!$B$22*(M208)))*(1+'参数'!$B$42*P208)/'参数'!$J$6+((R208*'参数'!$B$45*(1+'参数'!$B$39*P208))^2/((R208*'参数'!$B$45*(1+'参数'!$B$39*P208))+'参数'!$B$22*(M208)))/'参数'!$B$46)+((S208*(1+'参数'!$B$39*P208))^2/((S208*(1+'参数'!$B$39*P208))+'参数'!$B$22*(M208)))*(1+'参数'!$B$42*P208)/'参数'!$J$7)*(1+'参数'!$B$37*('参数'!$B$38-1))</x:f>
        <x:v>21396.40625737211</x:v>
      </x:c>
      <x:c r="X208" s="25" t="n">
        <x:f>('参数'!$B$26+'参数'!$B$27*(D208-1)/99)*'参数'!$K$27*AD208</x:f>
        <x:v>18.46666666666667</x:v>
      </x:c>
      <x:c r="Y208" s="25" t="n">
        <x:f>('参数'!$B$28+'参数'!$B$29*(D208-1)/99)*'参数'!$K$27*AD208*IF(AE208=1,'参数'!$B$51,1)</x:f>
        <x:v>50.55555555555556</x:v>
      </x:c>
      <x:c r="Z208" s="21" t="n">
        <x:f>MIN('参数'!$B$36,U208/(U208+'参数'!$B$35))</x:f>
        <x:v>0.39097359341921595</x:v>
      </x:c>
      <x:c r="AA208" s="18" t="n">
        <x:f>T208*'参数'!$B$30/('参数'!$B$32*'参数'!$B$33)/(1-Z208)*AC208</x:f>
        <x:v>2020.2067532211204</x:v>
      </x:c>
      <x:c r="AB208" s="18" t="n">
        <x:f>T208*'参数'!$B$31/'参数'!$B$34/(1-Z208)*AC208</x:f>
        <x:v>4040.4135064422408</x:v>
      </x:c>
      <x:c r="AC208" s="15" t="n">
        <x:f>'参数'!$L$27*1</x:f>
        <x:v>1.05</x:v>
      </x:c>
      <x:c r="AD208" s="15" t="n">
        <x:f>1</x:f>
        <x:v>1</x:v>
      </x:c>
      <x:c r="AE208" s="18" t="n">
        <x:f>IF(MOD(B208,12)=0,1,0)</x:f>
        <x:v>0</x:v>
      </x:c>
    </x:row>
    <x:row r="209" ht="22" customHeight="1">
      <x:c r="A209" s="19" t="str">
        <x:v>困难</x:v>
      </x:c>
      <x:c r="B209" s="19" t="n">
        <x:v>84</x:v>
      </x:c>
      <x:c r="C209" s="19" t="n">
        <x:f>ROUNDUP(B209/12,0)</x:f>
        <x:v>7</x:v>
      </x:c>
      <x:c r="D209" s="19" t="n">
        <x:f>ROUND(MAX('参数'!$G$27,E209)+(IF(C209&lt;10,INDEX('参数'!$G$35:$P$35,1,MIN(10,C209+1)),'参数'!$H$27)-MAX('参数'!$G$27,E209))*MOD(B209-1,12)/11,0)</x:f>
        <x:v>80</x:v>
      </x:c>
      <x:c r="E209" s="19" t="n">
        <x:f>INDEX('参数'!$G$35:$P$35,1,C209)</x:f>
        <x:v>80</x:v>
      </x:c>
      <x:c r="F209" s="20" t="n">
        <x:f>'参数'!$I$27</x:f>
        <x:v>1.1</x:v>
      </x:c>
      <x:c r="G209" s="19" t="n">
        <x:f>ROUND(V209*X209/'参数'!$B$56,0)</x:f>
        <x:v>111508</x:v>
      </x:c>
      <x:c r="H209" s="19" t="n">
        <x:f>ROUND((AA209+SQRT(AA209^2+4*AA209*'参数'!$B$22*U209))/2,0)</x:f>
        <x:v>3750</x:v>
      </x:c>
      <x:c r="I209" s="19" t="n">
        <x:f>ROUND(Q209*'参数'!$B$23/'参数'!$B$22,0)</x:f>
        <x:v>823</x:v>
      </x:c>
      <x:c r="J209" s="19" t="n">
        <x:f>ROUND(G209*'参数'!$B$50,0)</x:f>
        <x:v>334524</x:v>
      </x:c>
      <x:c r="K209" s="19" t="n">
        <x:f>ROUND(W209*Y209,0)</x:f>
        <x:v>1243963</x:v>
      </x:c>
      <x:c r="L209" s="19" t="n">
        <x:f>ROUND((AB209+SQRT(AB209^2+4*AB209*'参数'!$B$22*U209))/2,0)</x:f>
        <x:v>6149</x:v>
      </x:c>
      <x:c r="M209" s="19" t="n">
        <x:f>ROUND(I209*'参数'!$B$24,0)</x:f>
        <x:v>1029</x:v>
      </x:c>
      <x:c r="N209" s="19" t="n">
        <x:f>'参数'!$B$9*'参数'!$B$10^(D209-1)</x:f>
        <x:v>6198.577023163234</x:v>
      </x:c>
      <x:c r="O209" s="19" t="n">
        <x:f>'参数'!$B$18*'参数'!$B$19^(MIN(E209,MAX(1,5*INT(D209/5)))-1)*F209*'参数'!$J$27*P209</x:f>
        <x:v>726.5245262891327</x:v>
      </x:c>
      <x:c r="P209" s="22" t="n">
        <x:f>MIN(1,(D209-1)/19)</x:f>
        <x:v>1</x:v>
      </x:c>
      <x:c r="Q209" s="19" t="n">
        <x:f>INDEX('角色成长'!$F$6:$F$105,D209)+O209*'参数'!$K$21</x:f>
        <x:v>4115.594899924028</x:v>
      </x:c>
      <x:c r="R209" s="19" t="n">
        <x:f>INDEX('角色成长'!$I$6:$I$105,D209)+O209*'参数'!$K$21</x:f>
        <x:v>3542.594899924028</x:v>
      </x:c>
      <x:c r="S209" s="19" t="n">
        <x:f>INDEX('角色成长'!$L$6:$L$105,D209)+O209*'参数'!$K$21</x:f>
        <x:v>3215.594899924028</x:v>
      </x:c>
      <x:c r="T209" s="19" t="n">
        <x:f>(INDEX('角色成长'!$J$6:$J$105,D209)+O209*'参数'!$L$21)*(1+'参数'!$B$40*P209)</x:f>
        <x:v>46870.82893198063</x:v>
      </x:c>
      <x:c r="U209" s="19" t="n">
        <x:f>(INDEX('角色成长'!$K$6:$K$105,D209)+O209*'参数'!$M$21)*(1+'参数'!$B$41*P209)</x:f>
        <x:v>2567.8597131065803</x:v>
      </x:c>
      <x:c r="V209" s="19" t="n">
        <x:f>(('参数'!$K$5*(((Q209*(1+'参数'!$B$39*P209))^2/((Q209*(1+'参数'!$B$39*P209))+'参数'!$B$22*(I209)))*(1+'参数'!$B$42*P209)/'参数'!$J$5+((Q209*'参数'!$B$43*(1+'参数'!$B$39*P209))^2/((Q209*'参数'!$B$43*(1+'参数'!$B$39*P209))+'参数'!$B$22*(I209)))/'参数'!$B$44))+(((R209*(1+'参数'!$B$39*P209))^2/((R209*(1+'参数'!$B$39*P209))+'参数'!$B$22*(I209)))*(1+'参数'!$B$42*P209)/'参数'!$J$6+((R209*'参数'!$B$45*(1+'参数'!$B$39*P209))^2/((R209*'参数'!$B$45*(1+'参数'!$B$39*P209))+'参数'!$B$22*(I209)))/'参数'!$B$46)+((S209*(1+'参数'!$B$39*P209))^2/((S209*(1+'参数'!$B$39*P209))+'参数'!$B$22*(I209)))*(1+'参数'!$B$42*P209)/'参数'!$J$7)*(1+'参数'!$B$37*('参数'!$B$38-1))*'参数'!$B$25</x:f>
        <x:v>27776.4365008614</x:v>
      </x:c>
      <x:c r="W209" s="19" t="n">
        <x:f>(('参数'!$K$5*(((Q209*(1+'参数'!$B$39*P209))^2/((Q209*(1+'参数'!$B$39*P209))+'参数'!$B$22*(M209)))*(1+'参数'!$B$42*P209)/'参数'!$J$5+((Q209*'参数'!$B$43*(1+'参数'!$B$39*P209))^2/((Q209*'参数'!$B$43*(1+'参数'!$B$39*P209))+'参数'!$B$22*(M209)))/'参数'!$B$44))+(((R209*(1+'参数'!$B$39*P209))^2/((R209*(1+'参数'!$B$39*P209))+'参数'!$B$22*(M209)))*(1+'参数'!$B$42*P209)/'参数'!$J$6+((R209*'参数'!$B$45*(1+'参数'!$B$39*P209))^2/((R209*'参数'!$B$45*(1+'参数'!$B$39*P209))+'参数'!$B$22*(M209)))/'参数'!$B$46)+((S209*(1+'参数'!$B$39*P209))^2/((S209*(1+'参数'!$B$39*P209))+'参数'!$B$22*(M209)))*(1+'参数'!$B$42*P209)/'参数'!$J$7)*(1+'参数'!$B$37*('参数'!$B$38-1))</x:f>
        <x:v>21396.40625737211</x:v>
      </x:c>
      <x:c r="X209" s="26" t="n">
        <x:f>('参数'!$B$26+'参数'!$B$27*(D209-1)/99)*'参数'!$K$27*AD209</x:f>
        <x:v>18.46666666666667</x:v>
      </x:c>
      <x:c r="Y209" s="26" t="n">
        <x:f>('参数'!$B$28+'参数'!$B$29*(D209-1)/99)*'参数'!$K$27*AD209*IF(AE209=1,'参数'!$B$51,1)</x:f>
        <x:v>58.138888888888886</x:v>
      </x:c>
      <x:c r="Z209" s="22" t="n">
        <x:f>MIN('参数'!$B$36,U209/(U209+'参数'!$B$35))</x:f>
        <x:v>0.39097359341921595</x:v>
      </x:c>
      <x:c r="AA209" s="19" t="n">
        <x:f>T209*'参数'!$B$30/('参数'!$B$32*'参数'!$B$33)/(1-Z209)*AC209</x:f>
        <x:v>2020.2067532211204</x:v>
      </x:c>
      <x:c r="AB209" s="19" t="n">
        <x:f>T209*'参数'!$B$31/'参数'!$B$34/(1-Z209)*AC209</x:f>
        <x:v>4040.4135064422408</x:v>
      </x:c>
      <x:c r="AC209" s="20" t="n">
        <x:f>'参数'!$L$27*1</x:f>
        <x:v>1.05</x:v>
      </x:c>
      <x:c r="AD209" s="20" t="n">
        <x:f>1</x:f>
        <x:v>1</x:v>
      </x:c>
      <x:c r="AE209" s="19" t="n">
        <x:f>IF(MOD(B209,12)=0,1,0)</x:f>
        <x:v>1</x:v>
      </x:c>
    </x:row>
    <x:row r="210" ht="22" customHeight="1">
      <x:c r="A210" s="18" t="str">
        <x:v>困难</x:v>
      </x:c>
      <x:c r="B210" s="18" t="n">
        <x:v>85</x:v>
      </x:c>
      <x:c r="C210" s="18" t="n">
        <x:f>ROUNDUP(B210/12,0)</x:f>
        <x:v>8</x:v>
      </x:c>
      <x:c r="D210" s="18" t="n">
        <x:f>ROUND(MAX('参数'!$G$27,E210)+(IF(C210&lt;10,INDEX('参数'!$G$35:$P$35,1,MIN(10,C210+1)),'参数'!$H$27)-MAX('参数'!$G$27,E210))*MOD(B210-1,12)/11,0)</x:f>
        <x:v>80</x:v>
      </x:c>
      <x:c r="E210" s="18" t="n">
        <x:f>INDEX('参数'!$G$35:$P$35,1,C210)</x:f>
        <x:v>80</x:v>
      </x:c>
      <x:c r="F210" s="15" t="n">
        <x:f>'参数'!$I$27</x:f>
        <x:v>1.1</x:v>
      </x:c>
      <x:c r="G210" s="18" t="n">
        <x:f>ROUND(V210*X210/'参数'!$B$56,0)</x:f>
        <x:v>111508</x:v>
      </x:c>
      <x:c r="H210" s="18" t="n">
        <x:f>ROUND((AA210+SQRT(AA210^2+4*AA210*'参数'!$B$22*U210))/2,0)</x:f>
        <x:v>3750</x:v>
      </x:c>
      <x:c r="I210" s="18" t="n">
        <x:f>ROUND(Q210*'参数'!$B$23/'参数'!$B$22,0)</x:f>
        <x:v>823</x:v>
      </x:c>
      <x:c r="J210" s="18" t="n">
        <x:f>ROUND(G210*'参数'!$B$50,0)</x:f>
        <x:v>334524</x:v>
      </x:c>
      <x:c r="K210" s="18" t="n">
        <x:f>ROUND(W210*Y210,0)</x:f>
        <x:v>1081707</x:v>
      </x:c>
      <x:c r="L210" s="18" t="n">
        <x:f>ROUND((AB210+SQRT(AB210^2+4*AB210*'参数'!$B$22*U210))/2,0)</x:f>
        <x:v>6149</x:v>
      </x:c>
      <x:c r="M210" s="18" t="n">
        <x:f>ROUND(I210*'参数'!$B$24,0)</x:f>
        <x:v>1029</x:v>
      </x:c>
      <x:c r="N210" s="18" t="n">
        <x:f>'参数'!$B$9*'参数'!$B$10^(D210-1)</x:f>
        <x:v>6198.577023163234</x:v>
      </x:c>
      <x:c r="O210" s="18" t="n">
        <x:f>'参数'!$B$18*'参数'!$B$19^(MIN(E210,MAX(1,5*INT(D210/5)))-1)*F210*'参数'!$J$27*P210</x:f>
        <x:v>726.5245262891327</x:v>
      </x:c>
      <x:c r="P210" s="21" t="n">
        <x:f>MIN(1,(D210-1)/19)</x:f>
        <x:v>1</x:v>
      </x:c>
      <x:c r="Q210" s="18" t="n">
        <x:f>INDEX('角色成长'!$F$6:$F$105,D210)+O210*'参数'!$K$21</x:f>
        <x:v>4115.594899924028</x:v>
      </x:c>
      <x:c r="R210" s="18" t="n">
        <x:f>INDEX('角色成长'!$I$6:$I$105,D210)+O210*'参数'!$K$21</x:f>
        <x:v>3542.594899924028</x:v>
      </x:c>
      <x:c r="S210" s="18" t="n">
        <x:f>INDEX('角色成长'!$L$6:$L$105,D210)+O210*'参数'!$K$21</x:f>
        <x:v>3215.594899924028</x:v>
      </x:c>
      <x:c r="T210" s="18" t="n">
        <x:f>(INDEX('角色成长'!$J$6:$J$105,D210)+O210*'参数'!$L$21)*(1+'参数'!$B$40*P210)</x:f>
        <x:v>46870.82893198063</x:v>
      </x:c>
      <x:c r="U210" s="18" t="n">
        <x:f>(INDEX('角色成长'!$K$6:$K$105,D210)+O210*'参数'!$M$21)*(1+'参数'!$B$41*P210)</x:f>
        <x:v>2567.8597131065803</x:v>
      </x:c>
      <x:c r="V210" s="18" t="n">
        <x:f>(('参数'!$K$5*(((Q210*(1+'参数'!$B$39*P210))^2/((Q210*(1+'参数'!$B$39*P210))+'参数'!$B$22*(I210)))*(1+'参数'!$B$42*P210)/'参数'!$J$5+((Q210*'参数'!$B$43*(1+'参数'!$B$39*P210))^2/((Q210*'参数'!$B$43*(1+'参数'!$B$39*P210))+'参数'!$B$22*(I210)))/'参数'!$B$44))+(((R210*(1+'参数'!$B$39*P210))^2/((R210*(1+'参数'!$B$39*P210))+'参数'!$B$22*(I210)))*(1+'参数'!$B$42*P210)/'参数'!$J$6+((R210*'参数'!$B$45*(1+'参数'!$B$39*P210))^2/((R210*'参数'!$B$45*(1+'参数'!$B$39*P210))+'参数'!$B$22*(I210)))/'参数'!$B$46)+((S210*(1+'参数'!$B$39*P210))^2/((S210*(1+'参数'!$B$39*P210))+'参数'!$B$22*(I210)))*(1+'参数'!$B$42*P210)/'参数'!$J$7)*(1+'参数'!$B$37*('参数'!$B$38-1))*'参数'!$B$25</x:f>
        <x:v>27776.4365008614</x:v>
      </x:c>
      <x:c r="W210" s="18" t="n">
        <x:f>(('参数'!$K$5*(((Q210*(1+'参数'!$B$39*P210))^2/((Q210*(1+'参数'!$B$39*P210))+'参数'!$B$22*(M210)))*(1+'参数'!$B$42*P210)/'参数'!$J$5+((Q210*'参数'!$B$43*(1+'参数'!$B$39*P210))^2/((Q210*'参数'!$B$43*(1+'参数'!$B$39*P210))+'参数'!$B$22*(M210)))/'参数'!$B$44))+(((R210*(1+'参数'!$B$39*P210))^2/((R210*(1+'参数'!$B$39*P210))+'参数'!$B$22*(M210)))*(1+'参数'!$B$42*P210)/'参数'!$J$6+((R210*'参数'!$B$45*(1+'参数'!$B$39*P210))^2/((R210*'参数'!$B$45*(1+'参数'!$B$39*P210))+'参数'!$B$22*(M210)))/'参数'!$B$46)+((S210*(1+'参数'!$B$39*P210))^2/((S210*(1+'参数'!$B$39*P210))+'参数'!$B$22*(M210)))*(1+'参数'!$B$42*P210)/'参数'!$J$7)*(1+'参数'!$B$37*('参数'!$B$38-1))</x:f>
        <x:v>21396.40625737211</x:v>
      </x:c>
      <x:c r="X210" s="25" t="n">
        <x:f>('参数'!$B$26+'参数'!$B$27*(D210-1)/99)*'参数'!$K$27*AD210</x:f>
        <x:v>18.46666666666667</x:v>
      </x:c>
      <x:c r="Y210" s="25" t="n">
        <x:f>('参数'!$B$28+'参数'!$B$29*(D210-1)/99)*'参数'!$K$27*AD210*IF(AE210=1,'参数'!$B$51,1)</x:f>
        <x:v>50.55555555555556</x:v>
      </x:c>
      <x:c r="Z210" s="21" t="n">
        <x:f>MIN('参数'!$B$36,U210/(U210+'参数'!$B$35))</x:f>
        <x:v>0.39097359341921595</x:v>
      </x:c>
      <x:c r="AA210" s="18" t="n">
        <x:f>T210*'参数'!$B$30/('参数'!$B$32*'参数'!$B$33)/(1-Z210)*AC210</x:f>
        <x:v>2020.2067532211204</x:v>
      </x:c>
      <x:c r="AB210" s="18" t="n">
        <x:f>T210*'参数'!$B$31/'参数'!$B$34/(1-Z210)*AC210</x:f>
        <x:v>4040.4135064422408</x:v>
      </x:c>
      <x:c r="AC210" s="15" t="n">
        <x:f>'参数'!$L$27*1</x:f>
        <x:v>1.05</x:v>
      </x:c>
      <x:c r="AD210" s="15" t="n">
        <x:f>1</x:f>
        <x:v>1</x:v>
      </x:c>
      <x:c r="AE210" s="18" t="n">
        <x:f>IF(MOD(B210,12)=0,1,0)</x:f>
        <x:v>0</x:v>
      </x:c>
    </x:row>
    <x:row r="211" ht="22" customHeight="1">
      <x:c r="A211" s="19" t="str">
        <x:v>困难</x:v>
      </x:c>
      <x:c r="B211" s="19" t="n">
        <x:v>86</x:v>
      </x:c>
      <x:c r="C211" s="19" t="n">
        <x:f>ROUNDUP(B211/12,0)</x:f>
        <x:v>8</x:v>
      </x:c>
      <x:c r="D211" s="19" t="n">
        <x:f>ROUND(MAX('参数'!$G$27,E211)+(IF(C211&lt;10,INDEX('参数'!$G$35:$P$35,1,MIN(10,C211+1)),'参数'!$H$27)-MAX('参数'!$G$27,E211))*MOD(B211-1,12)/11,0)</x:f>
        <x:v>80</x:v>
      </x:c>
      <x:c r="E211" s="19" t="n">
        <x:f>INDEX('参数'!$G$35:$P$35,1,C211)</x:f>
        <x:v>80</x:v>
      </x:c>
      <x:c r="F211" s="20" t="n">
        <x:f>'参数'!$I$27</x:f>
        <x:v>1.1</x:v>
      </x:c>
      <x:c r="G211" s="19" t="n">
        <x:f>ROUND(V211*X211/'参数'!$B$56,0)</x:f>
        <x:v>111508</x:v>
      </x:c>
      <x:c r="H211" s="19" t="n">
        <x:f>ROUND((AA211+SQRT(AA211^2+4*AA211*'参数'!$B$22*U211))/2,0)</x:f>
        <x:v>3750</x:v>
      </x:c>
      <x:c r="I211" s="19" t="n">
        <x:f>ROUND(Q211*'参数'!$B$23/'参数'!$B$22,0)</x:f>
        <x:v>823</x:v>
      </x:c>
      <x:c r="J211" s="19" t="n">
        <x:f>ROUND(G211*'参数'!$B$50,0)</x:f>
        <x:v>334524</x:v>
      </x:c>
      <x:c r="K211" s="19" t="n">
        <x:f>ROUND(W211*Y211,0)</x:f>
        <x:v>1081707</x:v>
      </x:c>
      <x:c r="L211" s="19" t="n">
        <x:f>ROUND((AB211+SQRT(AB211^2+4*AB211*'参数'!$B$22*U211))/2,0)</x:f>
        <x:v>6149</x:v>
      </x:c>
      <x:c r="M211" s="19" t="n">
        <x:f>ROUND(I211*'参数'!$B$24,0)</x:f>
        <x:v>1029</x:v>
      </x:c>
      <x:c r="N211" s="19" t="n">
        <x:f>'参数'!$B$9*'参数'!$B$10^(D211-1)</x:f>
        <x:v>6198.577023163234</x:v>
      </x:c>
      <x:c r="O211" s="19" t="n">
        <x:f>'参数'!$B$18*'参数'!$B$19^(MIN(E211,MAX(1,5*INT(D211/5)))-1)*F211*'参数'!$J$27*P211</x:f>
        <x:v>726.5245262891327</x:v>
      </x:c>
      <x:c r="P211" s="22" t="n">
        <x:f>MIN(1,(D211-1)/19)</x:f>
        <x:v>1</x:v>
      </x:c>
      <x:c r="Q211" s="19" t="n">
        <x:f>INDEX('角色成长'!$F$6:$F$105,D211)+O211*'参数'!$K$21</x:f>
        <x:v>4115.594899924028</x:v>
      </x:c>
      <x:c r="R211" s="19" t="n">
        <x:f>INDEX('角色成长'!$I$6:$I$105,D211)+O211*'参数'!$K$21</x:f>
        <x:v>3542.594899924028</x:v>
      </x:c>
      <x:c r="S211" s="19" t="n">
        <x:f>INDEX('角色成长'!$L$6:$L$105,D211)+O211*'参数'!$K$21</x:f>
        <x:v>3215.594899924028</x:v>
      </x:c>
      <x:c r="T211" s="19" t="n">
        <x:f>(INDEX('角色成长'!$J$6:$J$105,D211)+O211*'参数'!$L$21)*(1+'参数'!$B$40*P211)</x:f>
        <x:v>46870.82893198063</x:v>
      </x:c>
      <x:c r="U211" s="19" t="n">
        <x:f>(INDEX('角色成长'!$K$6:$K$105,D211)+O211*'参数'!$M$21)*(1+'参数'!$B$41*P211)</x:f>
        <x:v>2567.8597131065803</x:v>
      </x:c>
      <x:c r="V211" s="19" t="n">
        <x:f>(('参数'!$K$5*(((Q211*(1+'参数'!$B$39*P211))^2/((Q211*(1+'参数'!$B$39*P211))+'参数'!$B$22*(I211)))*(1+'参数'!$B$42*P211)/'参数'!$J$5+((Q211*'参数'!$B$43*(1+'参数'!$B$39*P211))^2/((Q211*'参数'!$B$43*(1+'参数'!$B$39*P211))+'参数'!$B$22*(I211)))/'参数'!$B$44))+(((R211*(1+'参数'!$B$39*P211))^2/((R211*(1+'参数'!$B$39*P211))+'参数'!$B$22*(I211)))*(1+'参数'!$B$42*P211)/'参数'!$J$6+((R211*'参数'!$B$45*(1+'参数'!$B$39*P211))^2/((R211*'参数'!$B$45*(1+'参数'!$B$39*P211))+'参数'!$B$22*(I211)))/'参数'!$B$46)+((S211*(1+'参数'!$B$39*P211))^2/((S211*(1+'参数'!$B$39*P211))+'参数'!$B$22*(I211)))*(1+'参数'!$B$42*P211)/'参数'!$J$7)*(1+'参数'!$B$37*('参数'!$B$38-1))*'参数'!$B$25</x:f>
        <x:v>27776.4365008614</x:v>
      </x:c>
      <x:c r="W211" s="19" t="n">
        <x:f>(('参数'!$K$5*(((Q211*(1+'参数'!$B$39*P211))^2/((Q211*(1+'参数'!$B$39*P211))+'参数'!$B$22*(M211)))*(1+'参数'!$B$42*P211)/'参数'!$J$5+((Q211*'参数'!$B$43*(1+'参数'!$B$39*P211))^2/((Q211*'参数'!$B$43*(1+'参数'!$B$39*P211))+'参数'!$B$22*(M211)))/'参数'!$B$44))+(((R211*(1+'参数'!$B$39*P211))^2/((R211*(1+'参数'!$B$39*P211))+'参数'!$B$22*(M211)))*(1+'参数'!$B$42*P211)/'参数'!$J$6+((R211*'参数'!$B$45*(1+'参数'!$B$39*P211))^2/((R211*'参数'!$B$45*(1+'参数'!$B$39*P211))+'参数'!$B$22*(M211)))/'参数'!$B$46)+((S211*(1+'参数'!$B$39*P211))^2/((S211*(1+'参数'!$B$39*P211))+'参数'!$B$22*(M211)))*(1+'参数'!$B$42*P211)/'参数'!$J$7)*(1+'参数'!$B$37*('参数'!$B$38-1))</x:f>
        <x:v>21396.40625737211</x:v>
      </x:c>
      <x:c r="X211" s="26" t="n">
        <x:f>('参数'!$B$26+'参数'!$B$27*(D211-1)/99)*'参数'!$K$27*AD211</x:f>
        <x:v>18.46666666666667</x:v>
      </x:c>
      <x:c r="Y211" s="26" t="n">
        <x:f>('参数'!$B$28+'参数'!$B$29*(D211-1)/99)*'参数'!$K$27*AD211*IF(AE211=1,'参数'!$B$51,1)</x:f>
        <x:v>50.55555555555556</x:v>
      </x:c>
      <x:c r="Z211" s="22" t="n">
        <x:f>MIN('参数'!$B$36,U211/(U211+'参数'!$B$35))</x:f>
        <x:v>0.39097359341921595</x:v>
      </x:c>
      <x:c r="AA211" s="19" t="n">
        <x:f>T211*'参数'!$B$30/('参数'!$B$32*'参数'!$B$33)/(1-Z211)*AC211</x:f>
        <x:v>2020.2067532211204</x:v>
      </x:c>
      <x:c r="AB211" s="19" t="n">
        <x:f>T211*'参数'!$B$31/'参数'!$B$34/(1-Z211)*AC211</x:f>
        <x:v>4040.4135064422408</x:v>
      </x:c>
      <x:c r="AC211" s="20" t="n">
        <x:f>'参数'!$L$27*1</x:f>
        <x:v>1.05</x:v>
      </x:c>
      <x:c r="AD211" s="20" t="n">
        <x:f>1</x:f>
        <x:v>1</x:v>
      </x:c>
      <x:c r="AE211" s="19" t="n">
        <x:f>IF(MOD(B211,12)=0,1,0)</x:f>
        <x:v>0</x:v>
      </x:c>
    </x:row>
    <x:row r="212" ht="22" customHeight="1">
      <x:c r="A212" s="18" t="str">
        <x:v>困难</x:v>
      </x:c>
      <x:c r="B212" s="18" t="n">
        <x:v>87</x:v>
      </x:c>
      <x:c r="C212" s="18" t="n">
        <x:f>ROUNDUP(B212/12,0)</x:f>
        <x:v>8</x:v>
      </x:c>
      <x:c r="D212" s="18" t="n">
        <x:f>ROUND(MAX('参数'!$G$27,E212)+(IF(C212&lt;10,INDEX('参数'!$G$35:$P$35,1,MIN(10,C212+1)),'参数'!$H$27)-MAX('参数'!$G$27,E212))*MOD(B212-1,12)/11,0)</x:f>
        <x:v>81</x:v>
      </x:c>
      <x:c r="E212" s="18" t="n">
        <x:f>INDEX('参数'!$G$35:$P$35,1,C212)</x:f>
        <x:v>80</x:v>
      </x:c>
      <x:c r="F212" s="15" t="n">
        <x:f>'参数'!$I$27</x:f>
        <x:v>1.1</x:v>
      </x:c>
      <x:c r="G212" s="18" t="n">
        <x:f>ROUND(V212*X212/'参数'!$B$56,0)</x:f>
        <x:v>121222</x:v>
      </x:c>
      <x:c r="H212" s="18" t="n">
        <x:f>ROUND((AA212+SQRT(AA212^2+4*AA212*'参数'!$B$22*U212))/2,0)</x:f>
        <x:v>4223</x:v>
      </x:c>
      <x:c r="I212" s="18" t="n">
        <x:f>ROUND(Q212*'参数'!$B$23/'参数'!$B$22,0)</x:f>
        <x:v>896</x:v>
      </x:c>
      <x:c r="J212" s="18" t="n">
        <x:f>ROUND(G212*'参数'!$B$50,0)</x:f>
        <x:v>363666</x:v>
      </x:c>
      <x:c r="K212" s="18" t="n">
        <x:f>ROUND(W212*Y212,0)</x:f>
        <x:v>1176788</x:v>
      </x:c>
      <x:c r="L212" s="18" t="n">
        <x:f>ROUND((AB212+SQRT(AB212^2+4*AB212*'参数'!$B$22*U212))/2,0)</x:f>
        <x:v>6950</x:v>
      </x:c>
      <x:c r="M212" s="18" t="n">
        <x:f>ROUND(I212*'参数'!$B$24,0)</x:f>
        <x:v>1120</x:v>
      </x:c>
      <x:c r="N212" s="18" t="n">
        <x:f>'参数'!$B$9*'参数'!$B$10^(D212-1)</x:f>
        <x:v>6384.534333858131</x:v>
      </x:c>
      <x:c r="O212" s="18" t="n">
        <x:f>'参数'!$B$18*'参数'!$B$19^(MIN(E212,MAX(1,5*INT(D212/5)))-1)*F212*'参数'!$J$27*P212</x:f>
        <x:v>726.5245262891327</x:v>
      </x:c>
      <x:c r="P212" s="21" t="n">
        <x:f>MIN(1,(D212-1)/19)</x:f>
        <x:v>1</x:v>
      </x:c>
      <x:c r="Q212" s="18" t="n">
        <x:f>INDEX('角色成长'!$F$6:$F$105,D212)+O212*'参数'!$K$21</x:f>
        <x:v>4480.594899924028</x:v>
      </x:c>
      <x:c r="R212" s="18" t="n">
        <x:f>INDEX('角色成长'!$I$6:$I$105,D212)+O212*'参数'!$K$21</x:f>
        <x:v>3805.594899924028</x:v>
      </x:c>
      <x:c r="S212" s="18" t="n">
        <x:f>INDEX('角色成长'!$L$6:$L$105,D212)+O212*'参数'!$K$21</x:f>
        <x:v>3420.594899924028</x:v>
      </x:c>
      <x:c r="T212" s="18" t="n">
        <x:f>(INDEX('角色成长'!$J$6:$J$105,D212)+O212*'参数'!$L$21)*(1+'参数'!$B$40*P212)</x:f>
        <x:v>52111.22893198063</x:v>
      </x:c>
      <x:c r="U212" s="18" t="n">
        <x:f>(INDEX('角色成长'!$K$6:$K$105,D212)+O212*'参数'!$M$21)*(1+'参数'!$B$41*P212)</x:f>
        <x:v>2776.8597131065803</x:v>
      </x:c>
      <x:c r="V212" s="18" t="n">
        <x:f>(('参数'!$K$5*(((Q212*(1+'参数'!$B$39*P212))^2/((Q212*(1+'参数'!$B$39*P212))+'参数'!$B$22*(I212)))*(1+'参数'!$B$42*P212)/'参数'!$J$5+((Q212*'参数'!$B$43*(1+'参数'!$B$39*P212))^2/((Q212*'参数'!$B$43*(1+'参数'!$B$39*P212))+'参数'!$B$22*(I212)))/'参数'!$B$44))+(((R212*(1+'参数'!$B$39*P212))^2/((R212*(1+'参数'!$B$39*P212))+'参数'!$B$22*(I212)))*(1+'参数'!$B$42*P212)/'参数'!$J$6+((R212*'参数'!$B$45*(1+'参数'!$B$39*P212))^2/((R212*'参数'!$B$45*(1+'参数'!$B$39*P212))+'参数'!$B$22*(I212)))/'参数'!$B$46)+((S212*(1+'参数'!$B$39*P212))^2/((S212*(1+'参数'!$B$39*P212))+'参数'!$B$22*(I212)))*(1+'参数'!$B$42*P212)/'参数'!$J$7)*(1+'参数'!$B$37*('参数'!$B$38-1))*'参数'!$B$25</x:f>
        <x:v>30087.489948895218</x:v>
      </x:c>
      <x:c r="W212" s="18" t="n">
        <x:f>(('参数'!$K$5*(((Q212*(1+'参数'!$B$39*P212))^2/((Q212*(1+'参数'!$B$39*P212))+'参数'!$B$22*(M212)))*(1+'参数'!$B$42*P212)/'参数'!$J$5+((Q212*'参数'!$B$43*(1+'参数'!$B$39*P212))^2/((Q212*'参数'!$B$43*(1+'参数'!$B$39*P212))+'参数'!$B$22*(M212)))/'参数'!$B$44))+(((R212*(1+'参数'!$B$39*P212))^2/((R212*(1+'参数'!$B$39*P212))+'参数'!$B$22*(M212)))*(1+'参数'!$B$42*P212)/'参数'!$J$6+((R212*'参数'!$B$45*(1+'参数'!$B$39*P212))^2/((R212*'参数'!$B$45*(1+'参数'!$B$39*P212))+'参数'!$B$22*(M212)))/'参数'!$B$46)+((S212*(1+'参数'!$B$39*P212))^2/((S212*(1+'参数'!$B$39*P212))+'参数'!$B$22*(M212)))*(1+'参数'!$B$42*P212)/'参数'!$J$7)*(1+'参数'!$B$37*('参数'!$B$38-1))</x:f>
        <x:v>23175.260852128664</x:v>
      </x:c>
      <x:c r="X212" s="25" t="n">
        <x:f>('参数'!$B$26+'参数'!$B$27*(D212-1)/99)*'参数'!$K$27*AD212</x:f>
        <x:v>18.533333333333335</x:v>
      </x:c>
      <x:c r="Y212" s="25" t="n">
        <x:f>('参数'!$B$28+'参数'!$B$29*(D212-1)/99)*'参数'!$K$27*AD212*IF(AE212=1,'参数'!$B$51,1)</x:f>
        <x:v>50.777777777777786</x:v>
      </x:c>
      <x:c r="Z212" s="21" t="n">
        <x:f>MIN('参数'!$B$36,U212/(U212+'参数'!$B$35))</x:f>
        <x:v>0.4097561157620069</x:v>
      </x:c>
      <x:c r="AA212" s="18" t="n">
        <x:f>T212*'参数'!$B$30/('参数'!$B$32*'参数'!$B$33)/(1-Z212)*AC212</x:f>
        <x:v>2317.550077169339</x:v>
      </x:c>
      <x:c r="AB212" s="18" t="n">
        <x:f>T212*'参数'!$B$31/'参数'!$B$34/(1-Z212)*AC212</x:f>
        <x:v>4635.100154338678</x:v>
      </x:c>
      <x:c r="AC212" s="15" t="n">
        <x:f>'参数'!$L$27*1</x:f>
        <x:v>1.05</x:v>
      </x:c>
      <x:c r="AD212" s="15" t="n">
        <x:f>1</x:f>
        <x:v>1</x:v>
      </x:c>
      <x:c r="AE212" s="18" t="n">
        <x:f>IF(MOD(B212,12)=0,1,0)</x:f>
        <x:v>0</x:v>
      </x:c>
    </x:row>
    <x:row r="213" ht="22" customHeight="1">
      <x:c r="A213" s="19" t="str">
        <x:v>困难</x:v>
      </x:c>
      <x:c r="B213" s="19" t="n">
        <x:v>88</x:v>
      </x:c>
      <x:c r="C213" s="19" t="n">
        <x:f>ROUNDUP(B213/12,0)</x:f>
        <x:v>8</x:v>
      </x:c>
      <x:c r="D213" s="19" t="n">
        <x:f>ROUND(MAX('参数'!$G$27,E213)+(IF(C213&lt;10,INDEX('参数'!$G$35:$P$35,1,MIN(10,C213+1)),'参数'!$H$27)-MAX('参数'!$G$27,E213))*MOD(B213-1,12)/11,0)</x:f>
        <x:v>81</x:v>
      </x:c>
      <x:c r="E213" s="19" t="n">
        <x:f>INDEX('参数'!$G$35:$P$35,1,C213)</x:f>
        <x:v>80</x:v>
      </x:c>
      <x:c r="F213" s="20" t="n">
        <x:f>'参数'!$I$27</x:f>
        <x:v>1.1</x:v>
      </x:c>
      <x:c r="G213" s="19" t="n">
        <x:f>ROUND(V213*X213/'参数'!$B$56,0)</x:f>
        <x:v>121222</x:v>
      </x:c>
      <x:c r="H213" s="19" t="n">
        <x:f>ROUND((AA213+SQRT(AA213^2+4*AA213*'参数'!$B$22*U213))/2,0)</x:f>
        <x:v>4223</x:v>
      </x:c>
      <x:c r="I213" s="19" t="n">
        <x:f>ROUND(Q213*'参数'!$B$23/'参数'!$B$22,0)</x:f>
        <x:v>896</x:v>
      </x:c>
      <x:c r="J213" s="19" t="n">
        <x:f>ROUND(G213*'参数'!$B$50,0)</x:f>
        <x:v>363666</x:v>
      </x:c>
      <x:c r="K213" s="19" t="n">
        <x:f>ROUND(W213*Y213,0)</x:f>
        <x:v>1176788</x:v>
      </x:c>
      <x:c r="L213" s="19" t="n">
        <x:f>ROUND((AB213+SQRT(AB213^2+4*AB213*'参数'!$B$22*U213))/2,0)</x:f>
        <x:v>6950</x:v>
      </x:c>
      <x:c r="M213" s="19" t="n">
        <x:f>ROUND(I213*'参数'!$B$24,0)</x:f>
        <x:v>1120</x:v>
      </x:c>
      <x:c r="N213" s="19" t="n">
        <x:f>'参数'!$B$9*'参数'!$B$10^(D213-1)</x:f>
        <x:v>6384.534333858131</x:v>
      </x:c>
      <x:c r="O213" s="19" t="n">
        <x:f>'参数'!$B$18*'参数'!$B$19^(MIN(E213,MAX(1,5*INT(D213/5)))-1)*F213*'参数'!$J$27*P213</x:f>
        <x:v>726.5245262891327</x:v>
      </x:c>
      <x:c r="P213" s="22" t="n">
        <x:f>MIN(1,(D213-1)/19)</x:f>
        <x:v>1</x:v>
      </x:c>
      <x:c r="Q213" s="19" t="n">
        <x:f>INDEX('角色成长'!$F$6:$F$105,D213)+O213*'参数'!$K$21</x:f>
        <x:v>4480.594899924028</x:v>
      </x:c>
      <x:c r="R213" s="19" t="n">
        <x:f>INDEX('角色成长'!$I$6:$I$105,D213)+O213*'参数'!$K$21</x:f>
        <x:v>3805.594899924028</x:v>
      </x:c>
      <x:c r="S213" s="19" t="n">
        <x:f>INDEX('角色成长'!$L$6:$L$105,D213)+O213*'参数'!$K$21</x:f>
        <x:v>3420.594899924028</x:v>
      </x:c>
      <x:c r="T213" s="19" t="n">
        <x:f>(INDEX('角色成长'!$J$6:$J$105,D213)+O213*'参数'!$L$21)*(1+'参数'!$B$40*P213)</x:f>
        <x:v>52111.22893198063</x:v>
      </x:c>
      <x:c r="U213" s="19" t="n">
        <x:f>(INDEX('角色成长'!$K$6:$K$105,D213)+O213*'参数'!$M$21)*(1+'参数'!$B$41*P213)</x:f>
        <x:v>2776.8597131065803</x:v>
      </x:c>
      <x:c r="V213" s="19" t="n">
        <x:f>(('参数'!$K$5*(((Q213*(1+'参数'!$B$39*P213))^2/((Q213*(1+'参数'!$B$39*P213))+'参数'!$B$22*(I213)))*(1+'参数'!$B$42*P213)/'参数'!$J$5+((Q213*'参数'!$B$43*(1+'参数'!$B$39*P213))^2/((Q213*'参数'!$B$43*(1+'参数'!$B$39*P213))+'参数'!$B$22*(I213)))/'参数'!$B$44))+(((R213*(1+'参数'!$B$39*P213))^2/((R213*(1+'参数'!$B$39*P213))+'参数'!$B$22*(I213)))*(1+'参数'!$B$42*P213)/'参数'!$J$6+((R213*'参数'!$B$45*(1+'参数'!$B$39*P213))^2/((R213*'参数'!$B$45*(1+'参数'!$B$39*P213))+'参数'!$B$22*(I213)))/'参数'!$B$46)+((S213*(1+'参数'!$B$39*P213))^2/((S213*(1+'参数'!$B$39*P213))+'参数'!$B$22*(I213)))*(1+'参数'!$B$42*P213)/'参数'!$J$7)*(1+'参数'!$B$37*('参数'!$B$38-1))*'参数'!$B$25</x:f>
        <x:v>30087.489948895218</x:v>
      </x:c>
      <x:c r="W213" s="19" t="n">
        <x:f>(('参数'!$K$5*(((Q213*(1+'参数'!$B$39*P213))^2/((Q213*(1+'参数'!$B$39*P213))+'参数'!$B$22*(M213)))*(1+'参数'!$B$42*P213)/'参数'!$J$5+((Q213*'参数'!$B$43*(1+'参数'!$B$39*P213))^2/((Q213*'参数'!$B$43*(1+'参数'!$B$39*P213))+'参数'!$B$22*(M213)))/'参数'!$B$44))+(((R213*(1+'参数'!$B$39*P213))^2/((R213*(1+'参数'!$B$39*P213))+'参数'!$B$22*(M213)))*(1+'参数'!$B$42*P213)/'参数'!$J$6+((R213*'参数'!$B$45*(1+'参数'!$B$39*P213))^2/((R213*'参数'!$B$45*(1+'参数'!$B$39*P213))+'参数'!$B$22*(M213)))/'参数'!$B$46)+((S213*(1+'参数'!$B$39*P213))^2/((S213*(1+'参数'!$B$39*P213))+'参数'!$B$22*(M213)))*(1+'参数'!$B$42*P213)/'参数'!$J$7)*(1+'参数'!$B$37*('参数'!$B$38-1))</x:f>
        <x:v>23175.260852128664</x:v>
      </x:c>
      <x:c r="X213" s="26" t="n">
        <x:f>('参数'!$B$26+'参数'!$B$27*(D213-1)/99)*'参数'!$K$27*AD213</x:f>
        <x:v>18.533333333333335</x:v>
      </x:c>
      <x:c r="Y213" s="26" t="n">
        <x:f>('参数'!$B$28+'参数'!$B$29*(D213-1)/99)*'参数'!$K$27*AD213*IF(AE213=1,'参数'!$B$51,1)</x:f>
        <x:v>50.777777777777786</x:v>
      </x:c>
      <x:c r="Z213" s="22" t="n">
        <x:f>MIN('参数'!$B$36,U213/(U213+'参数'!$B$35))</x:f>
        <x:v>0.4097561157620069</x:v>
      </x:c>
      <x:c r="AA213" s="19" t="n">
        <x:f>T213*'参数'!$B$30/('参数'!$B$32*'参数'!$B$33)/(1-Z213)*AC213</x:f>
        <x:v>2317.550077169339</x:v>
      </x:c>
      <x:c r="AB213" s="19" t="n">
        <x:f>T213*'参数'!$B$31/'参数'!$B$34/(1-Z213)*AC213</x:f>
        <x:v>4635.100154338678</x:v>
      </x:c>
      <x:c r="AC213" s="20" t="n">
        <x:f>'参数'!$L$27*1</x:f>
        <x:v>1.05</x:v>
      </x:c>
      <x:c r="AD213" s="20" t="n">
        <x:f>1</x:f>
        <x:v>1</x:v>
      </x:c>
      <x:c r="AE213" s="19" t="n">
        <x:f>IF(MOD(B213,12)=0,1,0)</x:f>
        <x:v>0</x:v>
      </x:c>
    </x:row>
    <x:row r="214" ht="22" customHeight="1">
      <x:c r="A214" s="18" t="str">
        <x:v>困难</x:v>
      </x:c>
      <x:c r="B214" s="18" t="n">
        <x:v>89</x:v>
      </x:c>
      <x:c r="C214" s="18" t="n">
        <x:f>ROUNDUP(B214/12,0)</x:f>
        <x:v>8</x:v>
      </x:c>
      <x:c r="D214" s="18" t="n">
        <x:f>ROUND(MAX('参数'!$G$27,E214)+(IF(C214&lt;10,INDEX('参数'!$G$35:$P$35,1,MIN(10,C214+1)),'参数'!$H$27)-MAX('参数'!$G$27,E214))*MOD(B214-1,12)/11,0)</x:f>
        <x:v>82</x:v>
      </x:c>
      <x:c r="E214" s="18" t="n">
        <x:f>INDEX('参数'!$G$35:$P$35,1,C214)</x:f>
        <x:v>80</x:v>
      </x:c>
      <x:c r="F214" s="15" t="n">
        <x:f>'参数'!$I$27</x:f>
        <x:v>1.1</x:v>
      </x:c>
      <x:c r="G214" s="18" t="n">
        <x:f>ROUND(V214*X214/'参数'!$B$56,0)</x:f>
        <x:v>123807</x:v>
      </x:c>
      <x:c r="H214" s="18" t="n">
        <x:f>ROUND((AA214+SQRT(AA214^2+4*AA214*'参数'!$B$22*U214))/2,0)</x:f>
        <x:v>4336</x:v>
      </x:c>
      <x:c r="I214" s="18" t="n">
        <x:f>ROUND(Q214*'参数'!$B$23/'参数'!$B$22,0)</x:f>
        <x:v>913</x:v>
      </x:c>
      <x:c r="J214" s="18" t="n">
        <x:f>ROUND(G214*'参数'!$B$50,0)</x:f>
        <x:v>371421</x:v>
      </x:c>
      <x:c r="K214" s="18" t="n">
        <x:f>ROUND(W214*Y214,0)</x:f>
        <x:v>1202827</x:v>
      </x:c>
      <x:c r="L214" s="18" t="n">
        <x:f>ROUND((AB214+SQRT(AB214^2+4*AB214*'参数'!$B$22*U214))/2,0)</x:f>
        <x:v>7142</x:v>
      </x:c>
      <x:c r="M214" s="18" t="n">
        <x:f>ROUND(I214*'参数'!$B$24,0)</x:f>
        <x:v>1141</x:v>
      </x:c>
      <x:c r="N214" s="18" t="n">
        <x:f>'参数'!$B$9*'参数'!$B$10^(D214-1)</x:f>
        <x:v>6576.070363873875</x:v>
      </x:c>
      <x:c r="O214" s="18" t="n">
        <x:f>'参数'!$B$18*'参数'!$B$19^(MIN(E214,MAX(1,5*INT(D214/5)))-1)*F214*'参数'!$J$27*P214</x:f>
        <x:v>726.5245262891327</x:v>
      </x:c>
      <x:c r="P214" s="21" t="n">
        <x:f>MIN(1,(D214-1)/19)</x:f>
        <x:v>1</x:v>
      </x:c>
      <x:c r="Q214" s="18" t="n">
        <x:f>INDEX('角色成长'!$F$6:$F$105,D214)+O214*'参数'!$K$21</x:f>
        <x:v>4564.594899924028</x:v>
      </x:c>
      <x:c r="R214" s="18" t="n">
        <x:f>INDEX('角色成长'!$I$6:$I$105,D214)+O214*'参数'!$K$21</x:f>
        <x:v>3866.594899924028</x:v>
      </x:c>
      <x:c r="S214" s="18" t="n">
        <x:f>INDEX('角色成长'!$L$6:$L$105,D214)+O214*'参数'!$K$21</x:f>
        <x:v>3467.594899924028</x:v>
      </x:c>
      <x:c r="T214" s="18" t="n">
        <x:f>(INDEX('角色成长'!$J$6:$J$105,D214)+O214*'参数'!$L$21)*(1+'参数'!$B$40*P214)</x:f>
        <x:v>53348.72893198063</x:v>
      </x:c>
      <x:c r="U214" s="18" t="n">
        <x:f>(INDEX('角色成长'!$K$6:$K$105,D214)+O214*'参数'!$M$21)*(1+'参数'!$B$41*P214)</x:f>
        <x:v>2825.2597131065804</x:v>
      </x:c>
      <x:c r="V214" s="18" t="n">
        <x:f>(('参数'!$K$5*(((Q214*(1+'参数'!$B$39*P214))^2/((Q214*(1+'参数'!$B$39*P214))+'参数'!$B$22*(I214)))*(1+'参数'!$B$42*P214)/'参数'!$J$5+((Q214*'参数'!$B$43*(1+'参数'!$B$39*P214))^2/((Q214*'参数'!$B$43*(1+'参数'!$B$39*P214))+'参数'!$B$22*(I214)))/'参数'!$B$44))+(((R214*(1+'参数'!$B$39*P214))^2/((R214*(1+'参数'!$B$39*P214))+'参数'!$B$22*(I214)))*(1+'参数'!$B$42*P214)/'参数'!$J$6+((R214*'参数'!$B$45*(1+'参数'!$B$39*P214))^2/((R214*'参数'!$B$45*(1+'参数'!$B$39*P214))+'参数'!$B$22*(I214)))/'参数'!$B$46)+((S214*(1+'参数'!$B$39*P214))^2/((S214*(1+'参数'!$B$39*P214))+'参数'!$B$22*(I214)))*(1+'参数'!$B$42*P214)/'参数'!$J$7)*(1+'参数'!$B$37*('参数'!$B$38-1))*'参数'!$B$25</x:f>
        <x:v>30618.831600426984</x:v>
      </x:c>
      <x:c r="W214" s="18" t="n">
        <x:f>(('参数'!$K$5*(((Q214*(1+'参数'!$B$39*P214))^2/((Q214*(1+'参数'!$B$39*P214))+'参数'!$B$22*(M214)))*(1+'参数'!$B$42*P214)/'参数'!$J$5+((Q214*'参数'!$B$43*(1+'参数'!$B$39*P214))^2/((Q214*'参数'!$B$43*(1+'参数'!$B$39*P214))+'参数'!$B$22*(M214)))/'参数'!$B$44))+(((R214*(1+'参数'!$B$39*P214))^2/((R214*(1+'参数'!$B$39*P214))+'参数'!$B$22*(M214)))*(1+'参数'!$B$42*P214)/'参数'!$J$6+((R214*'参数'!$B$45*(1+'参数'!$B$39*P214))^2/((R214*'参数'!$B$45*(1+'参数'!$B$39*P214))+'参数'!$B$22*(M214)))/'参数'!$B$46)+((S214*(1+'参数'!$B$39*P214))^2/((S214*(1+'参数'!$B$39*P214))+'参数'!$B$22*(M214)))*(1+'参数'!$B$42*P214)/'参数'!$J$7)*(1+'参数'!$B$37*('参数'!$B$38-1))</x:f>
        <x:v>23584.83971624563</x:v>
      </x:c>
      <x:c r="X214" s="25" t="n">
        <x:f>('参数'!$B$26+'参数'!$B$27*(D214-1)/99)*'参数'!$K$27*AD214</x:f>
        <x:v>18.6</x:v>
      </x:c>
      <x:c r="Y214" s="25" t="n">
        <x:f>('参数'!$B$28+'参数'!$B$29*(D214-1)/99)*'参数'!$K$27*AD214*IF(AE214=1,'参数'!$B$51,1)</x:f>
        <x:v>51</x:v>
      </x:c>
      <x:c r="Z214" s="21" t="n">
        <x:f>MIN('参数'!$B$36,U214/(U214+'参数'!$B$35))</x:f>
        <x:v>0.41394171531395646</x:v>
      </x:c>
      <x:c r="AA214" s="18" t="n">
        <x:f>T214*'参数'!$B$30/('参数'!$B$32*'参数'!$B$33)/(1-Z214)*AC214</x:f>
        <x:v>2389.5304802570963</x:v>
      </x:c>
      <x:c r="AB214" s="18" t="n">
        <x:f>T214*'参数'!$B$31/'参数'!$B$34/(1-Z214)*AC214</x:f>
        <x:v>4779.060960514193</x:v>
      </x:c>
      <x:c r="AC214" s="15" t="n">
        <x:f>'参数'!$L$27*1</x:f>
        <x:v>1.05</x:v>
      </x:c>
      <x:c r="AD214" s="15" t="n">
        <x:f>1</x:f>
        <x:v>1</x:v>
      </x:c>
      <x:c r="AE214" s="18" t="n">
        <x:f>IF(MOD(B214,12)=0,1,0)</x:f>
        <x:v>0</x:v>
      </x:c>
    </x:row>
    <x:row r="215" ht="22" customHeight="1">
      <x:c r="A215" s="19" t="str">
        <x:v>困难</x:v>
      </x:c>
      <x:c r="B215" s="19" t="n">
        <x:v>90</x:v>
      </x:c>
      <x:c r="C215" s="19" t="n">
        <x:f>ROUNDUP(B215/12,0)</x:f>
        <x:v>8</x:v>
      </x:c>
      <x:c r="D215" s="19" t="n">
        <x:f>ROUND(MAX('参数'!$G$27,E215)+(IF(C215&lt;10,INDEX('参数'!$G$35:$P$35,1,MIN(10,C215+1)),'参数'!$H$27)-MAX('参数'!$G$27,E215))*MOD(B215-1,12)/11,0)</x:f>
        <x:v>82</x:v>
      </x:c>
      <x:c r="E215" s="19" t="n">
        <x:f>INDEX('参数'!$G$35:$P$35,1,C215)</x:f>
        <x:v>80</x:v>
      </x:c>
      <x:c r="F215" s="20" t="n">
        <x:f>'参数'!$I$27</x:f>
        <x:v>1.1</x:v>
      </x:c>
      <x:c r="G215" s="19" t="n">
        <x:f>ROUND(V215*X215/'参数'!$B$56,0)</x:f>
        <x:v>123807</x:v>
      </x:c>
      <x:c r="H215" s="19" t="n">
        <x:f>ROUND((AA215+SQRT(AA215^2+4*AA215*'参数'!$B$22*U215))/2,0)</x:f>
        <x:v>4336</x:v>
      </x:c>
      <x:c r="I215" s="19" t="n">
        <x:f>ROUND(Q215*'参数'!$B$23/'参数'!$B$22,0)</x:f>
        <x:v>913</x:v>
      </x:c>
      <x:c r="J215" s="19" t="n">
        <x:f>ROUND(G215*'参数'!$B$50,0)</x:f>
        <x:v>371421</x:v>
      </x:c>
      <x:c r="K215" s="19" t="n">
        <x:f>ROUND(W215*Y215,0)</x:f>
        <x:v>1202827</x:v>
      </x:c>
      <x:c r="L215" s="19" t="n">
        <x:f>ROUND((AB215+SQRT(AB215^2+4*AB215*'参数'!$B$22*U215))/2,0)</x:f>
        <x:v>7142</x:v>
      </x:c>
      <x:c r="M215" s="19" t="n">
        <x:f>ROUND(I215*'参数'!$B$24,0)</x:f>
        <x:v>1141</x:v>
      </x:c>
      <x:c r="N215" s="19" t="n">
        <x:f>'参数'!$B$9*'参数'!$B$10^(D215-1)</x:f>
        <x:v>6576.070363873875</x:v>
      </x:c>
      <x:c r="O215" s="19" t="n">
        <x:f>'参数'!$B$18*'参数'!$B$19^(MIN(E215,MAX(1,5*INT(D215/5)))-1)*F215*'参数'!$J$27*P215</x:f>
        <x:v>726.5245262891327</x:v>
      </x:c>
      <x:c r="P215" s="22" t="n">
        <x:f>MIN(1,(D215-1)/19)</x:f>
        <x:v>1</x:v>
      </x:c>
      <x:c r="Q215" s="19" t="n">
        <x:f>INDEX('角色成长'!$F$6:$F$105,D215)+O215*'参数'!$K$21</x:f>
        <x:v>4564.594899924028</x:v>
      </x:c>
      <x:c r="R215" s="19" t="n">
        <x:f>INDEX('角色成长'!$I$6:$I$105,D215)+O215*'参数'!$K$21</x:f>
        <x:v>3866.594899924028</x:v>
      </x:c>
      <x:c r="S215" s="19" t="n">
        <x:f>INDEX('角色成长'!$L$6:$L$105,D215)+O215*'参数'!$K$21</x:f>
        <x:v>3467.594899924028</x:v>
      </x:c>
      <x:c r="T215" s="19" t="n">
        <x:f>(INDEX('角色成长'!$J$6:$J$105,D215)+O215*'参数'!$L$21)*(1+'参数'!$B$40*P215)</x:f>
        <x:v>53348.72893198063</x:v>
      </x:c>
      <x:c r="U215" s="19" t="n">
        <x:f>(INDEX('角色成长'!$K$6:$K$105,D215)+O215*'参数'!$M$21)*(1+'参数'!$B$41*P215)</x:f>
        <x:v>2825.2597131065804</x:v>
      </x:c>
      <x:c r="V215" s="19" t="n">
        <x:f>(('参数'!$K$5*(((Q215*(1+'参数'!$B$39*P215))^2/((Q215*(1+'参数'!$B$39*P215))+'参数'!$B$22*(I215)))*(1+'参数'!$B$42*P215)/'参数'!$J$5+((Q215*'参数'!$B$43*(1+'参数'!$B$39*P215))^2/((Q215*'参数'!$B$43*(1+'参数'!$B$39*P215))+'参数'!$B$22*(I215)))/'参数'!$B$44))+(((R215*(1+'参数'!$B$39*P215))^2/((R215*(1+'参数'!$B$39*P215))+'参数'!$B$22*(I215)))*(1+'参数'!$B$42*P215)/'参数'!$J$6+((R215*'参数'!$B$45*(1+'参数'!$B$39*P215))^2/((R215*'参数'!$B$45*(1+'参数'!$B$39*P215))+'参数'!$B$22*(I215)))/'参数'!$B$46)+((S215*(1+'参数'!$B$39*P215))^2/((S215*(1+'参数'!$B$39*P215))+'参数'!$B$22*(I215)))*(1+'参数'!$B$42*P215)/'参数'!$J$7)*(1+'参数'!$B$37*('参数'!$B$38-1))*'参数'!$B$25</x:f>
        <x:v>30618.831600426984</x:v>
      </x:c>
      <x:c r="W215" s="19" t="n">
        <x:f>(('参数'!$K$5*(((Q215*(1+'参数'!$B$39*P215))^2/((Q215*(1+'参数'!$B$39*P215))+'参数'!$B$22*(M215)))*(1+'参数'!$B$42*P215)/'参数'!$J$5+((Q215*'参数'!$B$43*(1+'参数'!$B$39*P215))^2/((Q215*'参数'!$B$43*(1+'参数'!$B$39*P215))+'参数'!$B$22*(M215)))/'参数'!$B$44))+(((R215*(1+'参数'!$B$39*P215))^2/((R215*(1+'参数'!$B$39*P215))+'参数'!$B$22*(M215)))*(1+'参数'!$B$42*P215)/'参数'!$J$6+((R215*'参数'!$B$45*(1+'参数'!$B$39*P215))^2/((R215*'参数'!$B$45*(1+'参数'!$B$39*P215))+'参数'!$B$22*(M215)))/'参数'!$B$46)+((S215*(1+'参数'!$B$39*P215))^2/((S215*(1+'参数'!$B$39*P215))+'参数'!$B$22*(M215)))*(1+'参数'!$B$42*P215)/'参数'!$J$7)*(1+'参数'!$B$37*('参数'!$B$38-1))</x:f>
        <x:v>23584.83971624563</x:v>
      </x:c>
      <x:c r="X215" s="26" t="n">
        <x:f>('参数'!$B$26+'参数'!$B$27*(D215-1)/99)*'参数'!$K$27*AD215</x:f>
        <x:v>18.6</x:v>
      </x:c>
      <x:c r="Y215" s="26" t="n">
        <x:f>('参数'!$B$28+'参数'!$B$29*(D215-1)/99)*'参数'!$K$27*AD215*IF(AE215=1,'参数'!$B$51,1)</x:f>
        <x:v>51</x:v>
      </x:c>
      <x:c r="Z215" s="22" t="n">
        <x:f>MIN('参数'!$B$36,U215/(U215+'参数'!$B$35))</x:f>
        <x:v>0.41394171531395646</x:v>
      </x:c>
      <x:c r="AA215" s="19" t="n">
        <x:f>T215*'参数'!$B$30/('参数'!$B$32*'参数'!$B$33)/(1-Z215)*AC215</x:f>
        <x:v>2389.5304802570963</x:v>
      </x:c>
      <x:c r="AB215" s="19" t="n">
        <x:f>T215*'参数'!$B$31/'参数'!$B$34/(1-Z215)*AC215</x:f>
        <x:v>4779.060960514193</x:v>
      </x:c>
      <x:c r="AC215" s="20" t="n">
        <x:f>'参数'!$L$27*1</x:f>
        <x:v>1.05</x:v>
      </x:c>
      <x:c r="AD215" s="20" t="n">
        <x:f>1</x:f>
        <x:v>1</x:v>
      </x:c>
      <x:c r="AE215" s="19" t="n">
        <x:f>IF(MOD(B215,12)=0,1,0)</x:f>
        <x:v>0</x:v>
      </x:c>
    </x:row>
    <x:row r="216" ht="22" customHeight="1">
      <x:c r="A216" s="18" t="str">
        <x:v>困难</x:v>
      </x:c>
      <x:c r="B216" s="18" t="n">
        <x:v>91</x:v>
      </x:c>
      <x:c r="C216" s="18" t="n">
        <x:f>ROUNDUP(B216/12,0)</x:f>
        <x:v>8</x:v>
      </x:c>
      <x:c r="D216" s="18" t="n">
        <x:f>ROUND(MAX('参数'!$G$27,E216)+(IF(C216&lt;10,INDEX('参数'!$G$35:$P$35,1,MIN(10,C216+1)),'参数'!$H$27)-MAX('参数'!$G$27,E216))*MOD(B216-1,12)/11,0)</x:f>
        <x:v>83</x:v>
      </x:c>
      <x:c r="E216" s="18" t="n">
        <x:f>INDEX('参数'!$G$35:$P$35,1,C216)</x:f>
        <x:v>80</x:v>
      </x:c>
      <x:c r="F216" s="15" t="n">
        <x:f>'参数'!$I$27</x:f>
        <x:v>1.1</x:v>
      </x:c>
      <x:c r="G216" s="18" t="n">
        <x:f>ROUND(V216*X216/'参数'!$B$56,0)</x:f>
        <x:v>126499</x:v>
      </x:c>
      <x:c r="H216" s="18" t="n">
        <x:f>ROUND((AA216+SQRT(AA216^2+4*AA216*'参数'!$B$22*U216))/2,0)</x:f>
        <x:v>4454</x:v>
      </x:c>
      <x:c r="I216" s="18" t="n">
        <x:f>ROUND(Q216*'参数'!$B$23/'参数'!$B$22,0)</x:f>
        <x:v>931</x:v>
      </x:c>
      <x:c r="J216" s="18" t="n">
        <x:f>ROUND(G216*'参数'!$B$50,0)</x:f>
        <x:v>379497</x:v>
      </x:c>
      <x:c r="K216" s="18" t="n">
        <x:f>ROUND(W216*Y216,0)</x:f>
        <x:v>1229790</x:v>
      </x:c>
      <x:c r="L216" s="18" t="n">
        <x:f>ROUND((AB216+SQRT(AB216^2+4*AB216*'参数'!$B$22*U216))/2,0)</x:f>
        <x:v>7344</x:v>
      </x:c>
      <x:c r="M216" s="18" t="n">
        <x:f>ROUND(I216*'参数'!$B$24,0)</x:f>
        <x:v>1164</x:v>
      </x:c>
      <x:c r="N216" s="18" t="n">
        <x:f>'参数'!$B$9*'参数'!$B$10^(D216-1)</x:f>
        <x:v>6773.352474790092</x:v>
      </x:c>
      <x:c r="O216" s="18" t="n">
        <x:f>'参数'!$B$18*'参数'!$B$19^(MIN(E216,MAX(1,5*INT(D216/5)))-1)*F216*'参数'!$J$27*P216</x:f>
        <x:v>726.5245262891327</x:v>
      </x:c>
      <x:c r="P216" s="21" t="n">
        <x:f>MIN(1,(D216-1)/19)</x:f>
        <x:v>1</x:v>
      </x:c>
      <x:c r="Q216" s="18" t="n">
        <x:f>INDEX('角色成长'!$F$6:$F$105,D216)+O216*'参数'!$K$21</x:f>
        <x:v>4652.594899924028</x:v>
      </x:c>
      <x:c r="R216" s="18" t="n">
        <x:f>INDEX('角色成长'!$I$6:$I$105,D216)+O216*'参数'!$K$21</x:f>
        <x:v>3929.594899924028</x:v>
      </x:c>
      <x:c r="S216" s="18" t="n">
        <x:f>INDEX('角色成长'!$L$6:$L$105,D216)+O216*'参数'!$K$21</x:f>
        <x:v>3516.594899924028</x:v>
      </x:c>
      <x:c r="T216" s="18" t="n">
        <x:f>(INDEX('角色成长'!$J$6:$J$105,D216)+O216*'参数'!$L$21)*(1+'参数'!$B$40*P216)</x:f>
        <x:v>54630.22893198063</x:v>
      </x:c>
      <x:c r="U216" s="18" t="n">
        <x:f>(INDEX('角色成长'!$K$6:$K$105,D216)+O216*'参数'!$M$21)*(1+'参数'!$B$41*P216)</x:f>
        <x:v>2875.8597131065803</x:v>
      </x:c>
      <x:c r="V216" s="18" t="n">
        <x:f>(('参数'!$K$5*(((Q216*(1+'参数'!$B$39*P216))^2/((Q216*(1+'参数'!$B$39*P216))+'参数'!$B$22*(I216)))*(1+'参数'!$B$42*P216)/'参数'!$J$5+((Q216*'参数'!$B$43*(1+'参数'!$B$39*P216))^2/((Q216*'参数'!$B$43*(1+'参数'!$B$39*P216))+'参数'!$B$22*(I216)))/'参数'!$B$44))+(((R216*(1+'参数'!$B$39*P216))^2/((R216*(1+'参数'!$B$39*P216))+'参数'!$B$22*(I216)))*(1+'参数'!$B$42*P216)/'参数'!$J$6+((R216*'参数'!$B$45*(1+'参数'!$B$39*P216))^2/((R216*'参数'!$B$45*(1+'参数'!$B$39*P216))+'参数'!$B$22*(I216)))/'参数'!$B$46)+((S216*(1+'参数'!$B$39*P216))^2/((S216*(1+'参数'!$B$39*P216))+'参数'!$B$22*(I216)))*(1+'参数'!$B$42*P216)/'参数'!$J$7)*(1+'参数'!$B$37*('参数'!$B$38-1))*'参数'!$B$25</x:f>
        <x:v>31172.97299658634</x:v>
      </x:c>
      <x:c r="W216" s="18" t="n">
        <x:f>(('参数'!$K$5*(((Q216*(1+'参数'!$B$39*P216))^2/((Q216*(1+'参数'!$B$39*P216))+'参数'!$B$22*(M216)))*(1+'参数'!$B$42*P216)/'参数'!$J$5+((Q216*'参数'!$B$43*(1+'参数'!$B$39*P216))^2/((Q216*'参数'!$B$43*(1+'参数'!$B$39*P216))+'参数'!$B$22*(M216)))/'参数'!$B$44))+(((R216*(1+'参数'!$B$39*P216))^2/((R216*(1+'参数'!$B$39*P216))+'参数'!$B$22*(M216)))*(1+'参数'!$B$42*P216)/'参数'!$J$6+((R216*'参数'!$B$45*(1+'参数'!$B$39*P216))^2/((R216*'参数'!$B$45*(1+'参数'!$B$39*P216))+'参数'!$B$22*(M216)))/'参数'!$B$46)+((S216*(1+'参数'!$B$39*P216))^2/((S216*(1+'参数'!$B$39*P216))+'参数'!$B$22*(M216)))*(1+'参数'!$B$42*P216)/'参数'!$J$7)*(1+'参数'!$B$37*('参数'!$B$38-1))</x:f>
        <x:v>24008.9057312965</x:v>
      </x:c>
      <x:c r="X216" s="25" t="n">
        <x:f>('参数'!$B$26+'参数'!$B$27*(D216-1)/99)*'参数'!$K$27*AD216</x:f>
        <x:v>18.666666666666668</x:v>
      </x:c>
      <x:c r="Y216" s="25" t="n">
        <x:f>('参数'!$B$28+'参数'!$B$29*(D216-1)/99)*'参数'!$K$27*AD216*IF(AE216=1,'参数'!$B$51,1)</x:f>
        <x:v>51.22222222222223</x:v>
      </x:c>
      <x:c r="Z216" s="21" t="n">
        <x:f>MIN('参数'!$B$36,U216/(U216+'参数'!$B$35))</x:f>
        <x:v>0.41825456497093644</x:v>
      </x:c>
      <x:c r="AA216" s="18" t="n">
        <x:f>T216*'参数'!$B$30/('参数'!$B$32*'参数'!$B$33)/(1-Z216)*AC216</x:f>
        <x:v>2465.0704983922183</x:v>
      </x:c>
      <x:c r="AB216" s="18" t="n">
        <x:f>T216*'参数'!$B$31/'参数'!$B$34/(1-Z216)*AC216</x:f>
        <x:v>4930.140996784436</x:v>
      </x:c>
      <x:c r="AC216" s="15" t="n">
        <x:f>'参数'!$L$27*1</x:f>
        <x:v>1.05</x:v>
      </x:c>
      <x:c r="AD216" s="15" t="n">
        <x:f>1</x:f>
        <x:v>1</x:v>
      </x:c>
      <x:c r="AE216" s="18" t="n">
        <x:f>IF(MOD(B216,12)=0,1,0)</x:f>
        <x:v>0</x:v>
      </x:c>
    </x:row>
    <x:row r="217" ht="22" customHeight="1">
      <x:c r="A217" s="19" t="str">
        <x:v>困难</x:v>
      </x:c>
      <x:c r="B217" s="19" t="n">
        <x:v>92</x:v>
      </x:c>
      <x:c r="C217" s="19" t="n">
        <x:f>ROUNDUP(B217/12,0)</x:f>
        <x:v>8</x:v>
      </x:c>
      <x:c r="D217" s="19" t="n">
        <x:f>ROUND(MAX('参数'!$G$27,E217)+(IF(C217&lt;10,INDEX('参数'!$G$35:$P$35,1,MIN(10,C217+1)),'参数'!$H$27)-MAX('参数'!$G$27,E217))*MOD(B217-1,12)/11,0)</x:f>
        <x:v>83</x:v>
      </x:c>
      <x:c r="E217" s="19" t="n">
        <x:f>INDEX('参数'!$G$35:$P$35,1,C217)</x:f>
        <x:v>80</x:v>
      </x:c>
      <x:c r="F217" s="20" t="n">
        <x:f>'参数'!$I$27</x:f>
        <x:v>1.1</x:v>
      </x:c>
      <x:c r="G217" s="19" t="n">
        <x:f>ROUND(V217*X217/'参数'!$B$56,0)</x:f>
        <x:v>126499</x:v>
      </x:c>
      <x:c r="H217" s="19" t="n">
        <x:f>ROUND((AA217+SQRT(AA217^2+4*AA217*'参数'!$B$22*U217))/2,0)</x:f>
        <x:v>4454</x:v>
      </x:c>
      <x:c r="I217" s="19" t="n">
        <x:f>ROUND(Q217*'参数'!$B$23/'参数'!$B$22,0)</x:f>
        <x:v>931</x:v>
      </x:c>
      <x:c r="J217" s="19" t="n">
        <x:f>ROUND(G217*'参数'!$B$50,0)</x:f>
        <x:v>379497</x:v>
      </x:c>
      <x:c r="K217" s="19" t="n">
        <x:f>ROUND(W217*Y217,0)</x:f>
        <x:v>1229790</x:v>
      </x:c>
      <x:c r="L217" s="19" t="n">
        <x:f>ROUND((AB217+SQRT(AB217^2+4*AB217*'参数'!$B$22*U217))/2,0)</x:f>
        <x:v>7344</x:v>
      </x:c>
      <x:c r="M217" s="19" t="n">
        <x:f>ROUND(I217*'参数'!$B$24,0)</x:f>
        <x:v>1164</x:v>
      </x:c>
      <x:c r="N217" s="19" t="n">
        <x:f>'参数'!$B$9*'参数'!$B$10^(D217-1)</x:f>
        <x:v>6773.352474790092</x:v>
      </x:c>
      <x:c r="O217" s="19" t="n">
        <x:f>'参数'!$B$18*'参数'!$B$19^(MIN(E217,MAX(1,5*INT(D217/5)))-1)*F217*'参数'!$J$27*P217</x:f>
        <x:v>726.5245262891327</x:v>
      </x:c>
      <x:c r="P217" s="22" t="n">
        <x:f>MIN(1,(D217-1)/19)</x:f>
        <x:v>1</x:v>
      </x:c>
      <x:c r="Q217" s="19" t="n">
        <x:f>INDEX('角色成长'!$F$6:$F$105,D217)+O217*'参数'!$K$21</x:f>
        <x:v>4652.594899924028</x:v>
      </x:c>
      <x:c r="R217" s="19" t="n">
        <x:f>INDEX('角色成长'!$I$6:$I$105,D217)+O217*'参数'!$K$21</x:f>
        <x:v>3929.594899924028</x:v>
      </x:c>
      <x:c r="S217" s="19" t="n">
        <x:f>INDEX('角色成长'!$L$6:$L$105,D217)+O217*'参数'!$K$21</x:f>
        <x:v>3516.594899924028</x:v>
      </x:c>
      <x:c r="T217" s="19" t="n">
        <x:f>(INDEX('角色成长'!$J$6:$J$105,D217)+O217*'参数'!$L$21)*(1+'参数'!$B$40*P217)</x:f>
        <x:v>54630.22893198063</x:v>
      </x:c>
      <x:c r="U217" s="19" t="n">
        <x:f>(INDEX('角色成长'!$K$6:$K$105,D217)+O217*'参数'!$M$21)*(1+'参数'!$B$41*P217)</x:f>
        <x:v>2875.8597131065803</x:v>
      </x:c>
      <x:c r="V217" s="19" t="n">
        <x:f>(('参数'!$K$5*(((Q217*(1+'参数'!$B$39*P217))^2/((Q217*(1+'参数'!$B$39*P217))+'参数'!$B$22*(I217)))*(1+'参数'!$B$42*P217)/'参数'!$J$5+((Q217*'参数'!$B$43*(1+'参数'!$B$39*P217))^2/((Q217*'参数'!$B$43*(1+'参数'!$B$39*P217))+'参数'!$B$22*(I217)))/'参数'!$B$44))+(((R217*(1+'参数'!$B$39*P217))^2/((R217*(1+'参数'!$B$39*P217))+'参数'!$B$22*(I217)))*(1+'参数'!$B$42*P217)/'参数'!$J$6+((R217*'参数'!$B$45*(1+'参数'!$B$39*P217))^2/((R217*'参数'!$B$45*(1+'参数'!$B$39*P217))+'参数'!$B$22*(I217)))/'参数'!$B$46)+((S217*(1+'参数'!$B$39*P217))^2/((S217*(1+'参数'!$B$39*P217))+'参数'!$B$22*(I217)))*(1+'参数'!$B$42*P217)/'参数'!$J$7)*(1+'参数'!$B$37*('参数'!$B$38-1))*'参数'!$B$25</x:f>
        <x:v>31172.97299658634</x:v>
      </x:c>
      <x:c r="W217" s="19" t="n">
        <x:f>(('参数'!$K$5*(((Q217*(1+'参数'!$B$39*P217))^2/((Q217*(1+'参数'!$B$39*P217))+'参数'!$B$22*(M217)))*(1+'参数'!$B$42*P217)/'参数'!$J$5+((Q217*'参数'!$B$43*(1+'参数'!$B$39*P217))^2/((Q217*'参数'!$B$43*(1+'参数'!$B$39*P217))+'参数'!$B$22*(M217)))/'参数'!$B$44))+(((R217*(1+'参数'!$B$39*P217))^2/((R217*(1+'参数'!$B$39*P217))+'参数'!$B$22*(M217)))*(1+'参数'!$B$42*P217)/'参数'!$J$6+((R217*'参数'!$B$45*(1+'参数'!$B$39*P217))^2/((R217*'参数'!$B$45*(1+'参数'!$B$39*P217))+'参数'!$B$22*(M217)))/'参数'!$B$46)+((S217*(1+'参数'!$B$39*P217))^2/((S217*(1+'参数'!$B$39*P217))+'参数'!$B$22*(M217)))*(1+'参数'!$B$42*P217)/'参数'!$J$7)*(1+'参数'!$B$37*('参数'!$B$38-1))</x:f>
        <x:v>24008.9057312965</x:v>
      </x:c>
      <x:c r="X217" s="26" t="n">
        <x:f>('参数'!$B$26+'参数'!$B$27*(D217-1)/99)*'参数'!$K$27*AD217</x:f>
        <x:v>18.666666666666668</x:v>
      </x:c>
      <x:c r="Y217" s="26" t="n">
        <x:f>('参数'!$B$28+'参数'!$B$29*(D217-1)/99)*'参数'!$K$27*AD217*IF(AE217=1,'参数'!$B$51,1)</x:f>
        <x:v>51.22222222222223</x:v>
      </x:c>
      <x:c r="Z217" s="22" t="n">
        <x:f>MIN('参数'!$B$36,U217/(U217+'参数'!$B$35))</x:f>
        <x:v>0.41825456497093644</x:v>
      </x:c>
      <x:c r="AA217" s="19" t="n">
        <x:f>T217*'参数'!$B$30/('参数'!$B$32*'参数'!$B$33)/(1-Z217)*AC217</x:f>
        <x:v>2465.0704983922183</x:v>
      </x:c>
      <x:c r="AB217" s="19" t="n">
        <x:f>T217*'参数'!$B$31/'参数'!$B$34/(1-Z217)*AC217</x:f>
        <x:v>4930.140996784436</x:v>
      </x:c>
      <x:c r="AC217" s="20" t="n">
        <x:f>'参数'!$L$27*1</x:f>
        <x:v>1.05</x:v>
      </x:c>
      <x:c r="AD217" s="20" t="n">
        <x:f>1</x:f>
        <x:v>1</x:v>
      </x:c>
      <x:c r="AE217" s="19" t="n">
        <x:f>IF(MOD(B217,12)=0,1,0)</x:f>
        <x:v>0</x:v>
      </x:c>
    </x:row>
    <x:row r="218" ht="22" customHeight="1">
      <x:c r="A218" s="18" t="str">
        <x:v>困难</x:v>
      </x:c>
      <x:c r="B218" s="18" t="n">
        <x:v>93</x:v>
      </x:c>
      <x:c r="C218" s="18" t="n">
        <x:f>ROUNDUP(B218/12,0)</x:f>
        <x:v>8</x:v>
      </x:c>
      <x:c r="D218" s="18" t="n">
        <x:f>ROUND(MAX('参数'!$G$27,E218)+(IF(C218&lt;10,INDEX('参数'!$G$35:$P$35,1,MIN(10,C218+1)),'参数'!$H$27)-MAX('参数'!$G$27,E218))*MOD(B218-1,12)/11,0)</x:f>
        <x:v>84</x:v>
      </x:c>
      <x:c r="E218" s="18" t="n">
        <x:f>INDEX('参数'!$G$35:$P$35,1,C218)</x:f>
        <x:v>80</x:v>
      </x:c>
      <x:c r="F218" s="15" t="n">
        <x:f>'参数'!$I$27</x:f>
        <x:v>1.1</x:v>
      </x:c>
      <x:c r="G218" s="18" t="n">
        <x:f>ROUND(V218*X218/'参数'!$B$56,0)</x:f>
        <x:v>129270</x:v>
      </x:c>
      <x:c r="H218" s="18" t="n">
        <x:f>ROUND((AA218+SQRT(AA218^2+4*AA218*'参数'!$B$22*U218))/2,0)</x:f>
        <x:v>4578</x:v>
      </x:c>
      <x:c r="I218" s="18" t="n">
        <x:f>ROUND(Q218*'参数'!$B$23/'参数'!$B$22,0)</x:f>
        <x:v>949</x:v>
      </x:c>
      <x:c r="J218" s="18" t="n">
        <x:f>ROUND(G218*'参数'!$B$50,0)</x:f>
        <x:v>387810</x:v>
      </x:c>
      <x:c r="K218" s="18" t="n">
        <x:f>ROUND(W218*Y218,0)</x:f>
        <x:v>1257765</x:v>
      </x:c>
      <x:c r="L218" s="18" t="n">
        <x:f>ROUND((AB218+SQRT(AB218^2+4*AB218*'参数'!$B$22*U218))/2,0)</x:f>
        <x:v>7553</x:v>
      </x:c>
      <x:c r="M218" s="18" t="n">
        <x:f>ROUND(I218*'参数'!$B$24,0)</x:f>
        <x:v>1186</x:v>
      </x:c>
      <x:c r="N218" s="18" t="n">
        <x:f>'参数'!$B$9*'参数'!$B$10^(D218-1)</x:f>
        <x:v>6976.553049033795</x:v>
      </x:c>
      <x:c r="O218" s="18" t="n">
        <x:f>'参数'!$B$18*'参数'!$B$19^(MIN(E218,MAX(1,5*INT(D218/5)))-1)*F218*'参数'!$J$27*P218</x:f>
        <x:v>726.5245262891327</x:v>
      </x:c>
      <x:c r="P218" s="21" t="n">
        <x:f>MIN(1,(D218-1)/19)</x:f>
        <x:v>1</x:v>
      </x:c>
      <x:c r="Q218" s="18" t="n">
        <x:f>INDEX('角色成长'!$F$6:$F$105,D218)+O218*'参数'!$K$21</x:f>
        <x:v>4742.594899924028</x:v>
      </x:c>
      <x:c r="R218" s="18" t="n">
        <x:f>INDEX('角色成长'!$I$6:$I$105,D218)+O218*'参数'!$K$21</x:f>
        <x:v>3994.594899924028</x:v>
      </x:c>
      <x:c r="S218" s="18" t="n">
        <x:f>INDEX('角色成长'!$L$6:$L$105,D218)+O218*'参数'!$K$21</x:f>
        <x:v>3566.594899924028</x:v>
      </x:c>
      <x:c r="T218" s="18" t="n">
        <x:f>(INDEX('角色成长'!$J$6:$J$105,D218)+O218*'参数'!$L$21)*(1+'参数'!$B$40*P218)</x:f>
        <x:v>55957.92893198063</x:v>
      </x:c>
      <x:c r="U218" s="18" t="n">
        <x:f>(INDEX('角色成长'!$K$6:$K$105,D218)+O218*'参数'!$M$21)*(1+'参数'!$B$41*P218)</x:f>
        <x:v>2927.5597131065806</x:v>
      </x:c>
      <x:c r="V218" s="18" t="n">
        <x:f>(('参数'!$K$5*(((Q218*(1+'参数'!$B$39*P218))^2/((Q218*(1+'参数'!$B$39*P218))+'参数'!$B$22*(I218)))*(1+'参数'!$B$42*P218)/'参数'!$J$5+((Q218*'参数'!$B$43*(1+'参数'!$B$39*P218))^2/((Q218*'参数'!$B$43*(1+'参数'!$B$39*P218))+'参数'!$B$22*(I218)))/'参数'!$B$44))+(((R218*(1+'参数'!$B$39*P218))^2/((R218*(1+'参数'!$B$39*P218))+'参数'!$B$22*(I218)))*(1+'参数'!$B$42*P218)/'参数'!$J$6+((R218*'参数'!$B$45*(1+'参数'!$B$39*P218))^2/((R218*'参数'!$B$45*(1+'参数'!$B$39*P218))+'参数'!$B$22*(I218)))/'参数'!$B$46)+((S218*(1+'参数'!$B$39*P218))^2/((S218*(1+'参数'!$B$39*P218))+'参数'!$B$22*(I218)))*(1+'参数'!$B$42*P218)/'参数'!$J$7)*(1+'参数'!$B$37*('参数'!$B$38-1))*'参数'!$B$25</x:f>
        <x:v>31742.54112095869</x:v>
      </x:c>
      <x:c r="W218" s="18" t="n">
        <x:f>(('参数'!$K$5*(((Q218*(1+'参数'!$B$39*P218))^2/((Q218*(1+'参数'!$B$39*P218))+'参数'!$B$22*(M218)))*(1+'参数'!$B$42*P218)/'参数'!$J$5+((Q218*'参数'!$B$43*(1+'参数'!$B$39*P218))^2/((Q218*'参数'!$B$43*(1+'参数'!$B$39*P218))+'参数'!$B$22*(M218)))/'参数'!$B$44))+(((R218*(1+'参数'!$B$39*P218))^2/((R218*(1+'参数'!$B$39*P218))+'参数'!$B$22*(M218)))*(1+'参数'!$B$42*P218)/'参数'!$J$6+((R218*'参数'!$B$45*(1+'参数'!$B$39*P218))^2/((R218*'参数'!$B$45*(1+'参数'!$B$39*P218))+'参数'!$B$22*(M218)))/'参数'!$B$46)+((S218*(1+'参数'!$B$39*P218))^2/((S218*(1+'参数'!$B$39*P218))+'参数'!$B$22*(M218)))*(1+'参数'!$B$42*P218)/'参数'!$J$7)*(1+'参数'!$B$37*('参数'!$B$38-1))</x:f>
        <x:v>24448.998287665243</x:v>
      </x:c>
      <x:c r="X218" s="25" t="n">
        <x:f>('参数'!$B$26+'参数'!$B$27*(D218-1)/99)*'参数'!$K$27*AD218</x:f>
        <x:v>18.733333333333334</x:v>
      </x:c>
      <x:c r="Y218" s="25" t="n">
        <x:f>('参数'!$B$28+'参数'!$B$29*(D218-1)/99)*'参数'!$K$27*AD218*IF(AE218=1,'参数'!$B$51,1)</x:f>
        <x:v>51.44444444444445</x:v>
      </x:c>
      <x:c r="Z218" s="21" t="n">
        <x:f>MIN('参数'!$B$36,U218/(U218+'参数'!$B$35))</x:f>
        <x:v>0.422596099398146</x:v>
      </x:c>
      <x:c r="AA218" s="18" t="n">
        <x:f>T218*'参数'!$B$30/('参数'!$B$32*'参数'!$B$33)/(1-Z218)*AC218</x:f>
        <x:v>2543.9655550185853</x:v>
      </x:c>
      <x:c r="AB218" s="18" t="n">
        <x:f>T218*'参数'!$B$31/'参数'!$B$34/(1-Z218)*AC218</x:f>
        <x:v>5087.931110037171</x:v>
      </x:c>
      <x:c r="AC218" s="15" t="n">
        <x:f>'参数'!$L$27*1</x:f>
        <x:v>1.05</x:v>
      </x:c>
      <x:c r="AD218" s="15" t="n">
        <x:f>1</x:f>
        <x:v>1</x:v>
      </x:c>
      <x:c r="AE218" s="18" t="n">
        <x:f>IF(MOD(B218,12)=0,1,0)</x:f>
        <x:v>0</x:v>
      </x:c>
    </x:row>
    <x:row r="219" ht="22" customHeight="1">
      <x:c r="A219" s="19" t="str">
        <x:v>困难</x:v>
      </x:c>
      <x:c r="B219" s="19" t="n">
        <x:v>94</x:v>
      </x:c>
      <x:c r="C219" s="19" t="n">
        <x:f>ROUNDUP(B219/12,0)</x:f>
        <x:v>8</x:v>
      </x:c>
      <x:c r="D219" s="19" t="n">
        <x:f>ROUND(MAX('参数'!$G$27,E219)+(IF(C219&lt;10,INDEX('参数'!$G$35:$P$35,1,MIN(10,C219+1)),'参数'!$H$27)-MAX('参数'!$G$27,E219))*MOD(B219-1,12)/11,0)</x:f>
        <x:v>84</x:v>
      </x:c>
      <x:c r="E219" s="19" t="n">
        <x:f>INDEX('参数'!$G$35:$P$35,1,C219)</x:f>
        <x:v>80</x:v>
      </x:c>
      <x:c r="F219" s="20" t="n">
        <x:f>'参数'!$I$27</x:f>
        <x:v>1.1</x:v>
      </x:c>
      <x:c r="G219" s="19" t="n">
        <x:f>ROUND(V219*X219/'参数'!$B$56,0)</x:f>
        <x:v>129270</x:v>
      </x:c>
      <x:c r="H219" s="19" t="n">
        <x:f>ROUND((AA219+SQRT(AA219^2+4*AA219*'参数'!$B$22*U219))/2,0)</x:f>
        <x:v>4578</x:v>
      </x:c>
      <x:c r="I219" s="19" t="n">
        <x:f>ROUND(Q219*'参数'!$B$23/'参数'!$B$22,0)</x:f>
        <x:v>949</x:v>
      </x:c>
      <x:c r="J219" s="19" t="n">
        <x:f>ROUND(G219*'参数'!$B$50,0)</x:f>
        <x:v>387810</x:v>
      </x:c>
      <x:c r="K219" s="19" t="n">
        <x:f>ROUND(W219*Y219,0)</x:f>
        <x:v>1257765</x:v>
      </x:c>
      <x:c r="L219" s="19" t="n">
        <x:f>ROUND((AB219+SQRT(AB219^2+4*AB219*'参数'!$B$22*U219))/2,0)</x:f>
        <x:v>7553</x:v>
      </x:c>
      <x:c r="M219" s="19" t="n">
        <x:f>ROUND(I219*'参数'!$B$24,0)</x:f>
        <x:v>1186</x:v>
      </x:c>
      <x:c r="N219" s="19" t="n">
        <x:f>'参数'!$B$9*'参数'!$B$10^(D219-1)</x:f>
        <x:v>6976.553049033795</x:v>
      </x:c>
      <x:c r="O219" s="19" t="n">
        <x:f>'参数'!$B$18*'参数'!$B$19^(MIN(E219,MAX(1,5*INT(D219/5)))-1)*F219*'参数'!$J$27*P219</x:f>
        <x:v>726.5245262891327</x:v>
      </x:c>
      <x:c r="P219" s="22" t="n">
        <x:f>MIN(1,(D219-1)/19)</x:f>
        <x:v>1</x:v>
      </x:c>
      <x:c r="Q219" s="19" t="n">
        <x:f>INDEX('角色成长'!$F$6:$F$105,D219)+O219*'参数'!$K$21</x:f>
        <x:v>4742.594899924028</x:v>
      </x:c>
      <x:c r="R219" s="19" t="n">
        <x:f>INDEX('角色成长'!$I$6:$I$105,D219)+O219*'参数'!$K$21</x:f>
        <x:v>3994.594899924028</x:v>
      </x:c>
      <x:c r="S219" s="19" t="n">
        <x:f>INDEX('角色成长'!$L$6:$L$105,D219)+O219*'参数'!$K$21</x:f>
        <x:v>3566.594899924028</x:v>
      </x:c>
      <x:c r="T219" s="19" t="n">
        <x:f>(INDEX('角色成长'!$J$6:$J$105,D219)+O219*'参数'!$L$21)*(1+'参数'!$B$40*P219)</x:f>
        <x:v>55957.92893198063</x:v>
      </x:c>
      <x:c r="U219" s="19" t="n">
        <x:f>(INDEX('角色成长'!$K$6:$K$105,D219)+O219*'参数'!$M$21)*(1+'参数'!$B$41*P219)</x:f>
        <x:v>2927.5597131065806</x:v>
      </x:c>
      <x:c r="V219" s="19" t="n">
        <x:f>(('参数'!$K$5*(((Q219*(1+'参数'!$B$39*P219))^2/((Q219*(1+'参数'!$B$39*P219))+'参数'!$B$22*(I219)))*(1+'参数'!$B$42*P219)/'参数'!$J$5+((Q219*'参数'!$B$43*(1+'参数'!$B$39*P219))^2/((Q219*'参数'!$B$43*(1+'参数'!$B$39*P219))+'参数'!$B$22*(I219)))/'参数'!$B$44))+(((R219*(1+'参数'!$B$39*P219))^2/((R219*(1+'参数'!$B$39*P219))+'参数'!$B$22*(I219)))*(1+'参数'!$B$42*P219)/'参数'!$J$6+((R219*'参数'!$B$45*(1+'参数'!$B$39*P219))^2/((R219*'参数'!$B$45*(1+'参数'!$B$39*P219))+'参数'!$B$22*(I219)))/'参数'!$B$46)+((S219*(1+'参数'!$B$39*P219))^2/((S219*(1+'参数'!$B$39*P219))+'参数'!$B$22*(I219)))*(1+'参数'!$B$42*P219)/'参数'!$J$7)*(1+'参数'!$B$37*('参数'!$B$38-1))*'参数'!$B$25</x:f>
        <x:v>31742.54112095869</x:v>
      </x:c>
      <x:c r="W219" s="19" t="n">
        <x:f>(('参数'!$K$5*(((Q219*(1+'参数'!$B$39*P219))^2/((Q219*(1+'参数'!$B$39*P219))+'参数'!$B$22*(M219)))*(1+'参数'!$B$42*P219)/'参数'!$J$5+((Q219*'参数'!$B$43*(1+'参数'!$B$39*P219))^2/((Q219*'参数'!$B$43*(1+'参数'!$B$39*P219))+'参数'!$B$22*(M219)))/'参数'!$B$44))+(((R219*(1+'参数'!$B$39*P219))^2/((R219*(1+'参数'!$B$39*P219))+'参数'!$B$22*(M219)))*(1+'参数'!$B$42*P219)/'参数'!$J$6+((R219*'参数'!$B$45*(1+'参数'!$B$39*P219))^2/((R219*'参数'!$B$45*(1+'参数'!$B$39*P219))+'参数'!$B$22*(M219)))/'参数'!$B$46)+((S219*(1+'参数'!$B$39*P219))^2/((S219*(1+'参数'!$B$39*P219))+'参数'!$B$22*(M219)))*(1+'参数'!$B$42*P219)/'参数'!$J$7)*(1+'参数'!$B$37*('参数'!$B$38-1))</x:f>
        <x:v>24448.998287665243</x:v>
      </x:c>
      <x:c r="X219" s="26" t="n">
        <x:f>('参数'!$B$26+'参数'!$B$27*(D219-1)/99)*'参数'!$K$27*AD219</x:f>
        <x:v>18.733333333333334</x:v>
      </x:c>
      <x:c r="Y219" s="26" t="n">
        <x:f>('参数'!$B$28+'参数'!$B$29*(D219-1)/99)*'参数'!$K$27*AD219*IF(AE219=1,'参数'!$B$51,1)</x:f>
        <x:v>51.44444444444445</x:v>
      </x:c>
      <x:c r="Z219" s="22" t="n">
        <x:f>MIN('参数'!$B$36,U219/(U219+'参数'!$B$35))</x:f>
        <x:v>0.422596099398146</x:v>
      </x:c>
      <x:c r="AA219" s="19" t="n">
        <x:f>T219*'参数'!$B$30/('参数'!$B$32*'参数'!$B$33)/(1-Z219)*AC219</x:f>
        <x:v>2543.9655550185853</x:v>
      </x:c>
      <x:c r="AB219" s="19" t="n">
        <x:f>T219*'参数'!$B$31/'参数'!$B$34/(1-Z219)*AC219</x:f>
        <x:v>5087.931110037171</x:v>
      </x:c>
      <x:c r="AC219" s="20" t="n">
        <x:f>'参数'!$L$27*1</x:f>
        <x:v>1.05</x:v>
      </x:c>
      <x:c r="AD219" s="20" t="n">
        <x:f>1</x:f>
        <x:v>1</x:v>
      </x:c>
      <x:c r="AE219" s="19" t="n">
        <x:f>IF(MOD(B219,12)=0,1,0)</x:f>
        <x:v>0</x:v>
      </x:c>
    </x:row>
    <x:row r="220" ht="22" customHeight="1">
      <x:c r="A220" s="18" t="str">
        <x:v>困难</x:v>
      </x:c>
      <x:c r="B220" s="18" t="n">
        <x:v>95</x:v>
      </x:c>
      <x:c r="C220" s="18" t="n">
        <x:f>ROUNDUP(B220/12,0)</x:f>
        <x:v>8</x:v>
      </x:c>
      <x:c r="D220" s="18" t="n">
        <x:f>ROUND(MAX('参数'!$G$27,E220)+(IF(C220&lt;10,INDEX('参数'!$G$35:$P$35,1,MIN(10,C220+1)),'参数'!$H$27)-MAX('参数'!$G$27,E220))*MOD(B220-1,12)/11,0)</x:f>
        <x:v>85</x:v>
      </x:c>
      <x:c r="E220" s="18" t="n">
        <x:f>INDEX('参数'!$G$35:$P$35,1,C220)</x:f>
        <x:v>80</x:v>
      </x:c>
      <x:c r="F220" s="15" t="n">
        <x:f>'参数'!$I$27</x:f>
        <x:v>1.1</x:v>
      </x:c>
      <x:c r="G220" s="18" t="n">
        <x:f>ROUND(V220*X220/'参数'!$B$56,0)</x:f>
        <x:v>132177</x:v>
      </x:c>
      <x:c r="H220" s="18" t="n">
        <x:f>ROUND((AA220+SQRT(AA220^2+4*AA220*'参数'!$B$22*U220))/2,0)</x:f>
        <x:v>4706</x:v>
      </x:c>
      <x:c r="I220" s="18" t="n">
        <x:f>ROUND(Q220*'参数'!$B$23/'参数'!$B$22,0)</x:f>
        <x:v>967</x:v>
      </x:c>
      <x:c r="J220" s="18" t="n">
        <x:f>ROUND(G220*'参数'!$B$50,0)</x:f>
        <x:v>396531</x:v>
      </x:c>
      <x:c r="K220" s="18" t="n">
        <x:f>ROUND(W220*Y220,0)</x:f>
        <x:v>1286923</x:v>
      </x:c>
      <x:c r="L220" s="18" t="n">
        <x:f>ROUND((AB220+SQRT(AB220^2+4*AB220*'参数'!$B$22*U220))/2,0)</x:f>
        <x:v>7771</x:v>
      </x:c>
      <x:c r="M220" s="18" t="n">
        <x:f>ROUND(I220*'参数'!$B$24,0)</x:f>
        <x:v>1209</x:v>
      </x:c>
      <x:c r="N220" s="18" t="n">
        <x:f>'参数'!$B$9*'参数'!$B$10^(D220-1)</x:f>
        <x:v>7185.849640504808</x:v>
      </x:c>
      <x:c r="O220" s="18" t="n">
        <x:f>'参数'!$B$18*'参数'!$B$19^(MIN(E220,MAX(1,5*INT(D220/5)))-1)*F220*'参数'!$J$27*P220</x:f>
        <x:v>726.5245262891327</x:v>
      </x:c>
      <x:c r="P220" s="21" t="n">
        <x:f>MIN(1,(D220-1)/19)</x:f>
        <x:v>1</x:v>
      </x:c>
      <x:c r="Q220" s="18" t="n">
        <x:f>INDEX('角色成长'!$F$6:$F$105,D220)+O220*'参数'!$K$21</x:f>
        <x:v>4836.594899924028</x:v>
      </x:c>
      <x:c r="R220" s="18" t="n">
        <x:f>INDEX('角色成长'!$I$6:$I$105,D220)+O220*'参数'!$K$21</x:f>
        <x:v>4061.594899924028</x:v>
      </x:c>
      <x:c r="S220" s="18" t="n">
        <x:f>INDEX('角色成长'!$L$6:$L$105,D220)+O220*'参数'!$K$21</x:f>
        <x:v>3619.594899924028</x:v>
      </x:c>
      <x:c r="T220" s="18" t="n">
        <x:f>(INDEX('角色成长'!$J$6:$J$105,D220)+O220*'参数'!$L$21)*(1+'参数'!$B$40*P220)</x:f>
        <x:v>57334.028931980625</x:v>
      </x:c>
      <x:c r="U220" s="18" t="n">
        <x:f>(INDEX('角色成长'!$K$6:$K$105,D220)+O220*'参数'!$M$21)*(1+'参数'!$B$41*P220)</x:f>
        <x:v>2980.3597131065803</x:v>
      </x:c>
      <x:c r="V220" s="18" t="n">
        <x:f>(('参数'!$K$5*(((Q220*(1+'参数'!$B$39*P220))^2/((Q220*(1+'参数'!$B$39*P220))+'参数'!$B$22*(I220)))*(1+'参数'!$B$42*P220)/'参数'!$J$5+((Q220*'参数'!$B$43*(1+'参数'!$B$39*P220))^2/((Q220*'参数'!$B$43*(1+'参数'!$B$39*P220))+'参数'!$B$22*(I220)))/'参数'!$B$44))+(((R220*(1+'参数'!$B$39*P220))^2/((R220*(1+'参数'!$B$39*P220))+'参数'!$B$22*(I220)))*(1+'参数'!$B$42*P220)/'参数'!$J$6+((R220*'参数'!$B$45*(1+'参数'!$B$39*P220))^2/((R220*'参数'!$B$45*(1+'参数'!$B$39*P220))+'参数'!$B$22*(I220)))/'参数'!$B$46)+((S220*(1+'参数'!$B$39*P220))^2/((S220*(1+'参数'!$B$39*P220))+'参数'!$B$22*(I220)))*(1+'参数'!$B$42*P220)/'参数'!$J$7)*(1+'参数'!$B$37*('参数'!$B$38-1))*'参数'!$B$25</x:f>
        <x:v>32341.093035109254</x:v>
      </x:c>
      <x:c r="W220" s="18" t="n">
        <x:f>(('参数'!$K$5*(((Q220*(1+'参数'!$B$39*P220))^2/((Q220*(1+'参数'!$B$39*P220))+'参数'!$B$22*(M220)))*(1+'参数'!$B$42*P220)/'参数'!$J$5+((Q220*'参数'!$B$43*(1+'参数'!$B$39*P220))^2/((Q220*'参数'!$B$43*(1+'参数'!$B$39*P220))+'参数'!$B$22*(M220)))/'参数'!$B$44))+(((R220*(1+'参数'!$B$39*P220))^2/((R220*(1+'参数'!$B$39*P220))+'参数'!$B$22*(M220)))*(1+'参数'!$B$42*P220)/'参数'!$J$6+((R220*'参数'!$B$45*(1+'参数'!$B$39*P220))^2/((R220*'参数'!$B$45*(1+'参数'!$B$39*P220))+'参数'!$B$22*(M220)))/'参数'!$B$46)+((S220*(1+'参数'!$B$39*P220))^2/((S220*(1+'参数'!$B$39*P220))+'参数'!$B$22*(M220)))*(1+'参数'!$B$42*P220)/'参数'!$J$7)*(1+'参数'!$B$37*('参数'!$B$38-1))</x:f>
        <x:v>24908.181708505774</x:v>
      </x:c>
      <x:c r="X220" s="25" t="n">
        <x:f>('参数'!$B$26+'参数'!$B$27*(D220-1)/99)*'参数'!$K$27*AD220</x:f>
        <x:v>18.8</x:v>
      </x:c>
      <x:c r="Y220" s="25" t="n">
        <x:f>('参数'!$B$28+'参数'!$B$29*(D220-1)/99)*'参数'!$K$27*AD220*IF(AE220=1,'参数'!$B$51,1)</x:f>
        <x:v>51.66666666666667</x:v>
      </x:c>
      <x:c r="Z220" s="21" t="n">
        <x:f>MIN('参数'!$B$36,U220/(U220+'参数'!$B$35))</x:f>
        <x:v>0.4269636287526196</x:v>
      </x:c>
      <x:c r="AA220" s="18" t="n">
        <x:f>T220*'参数'!$B$30/('参数'!$B$32*'参数'!$B$33)/(1-Z220)*AC220</x:f>
        <x:v>2626.3922064639305</x:v>
      </x:c>
      <x:c r="AB220" s="18" t="n">
        <x:f>T220*'参数'!$B$31/'参数'!$B$34/(1-Z220)*AC220</x:f>
        <x:v>5252.784412927862</x:v>
      </x:c>
      <x:c r="AC220" s="15" t="n">
        <x:f>'参数'!$L$27*1</x:f>
        <x:v>1.05</x:v>
      </x:c>
      <x:c r="AD220" s="15" t="n">
        <x:f>1</x:f>
        <x:v>1</x:v>
      </x:c>
      <x:c r="AE220" s="18" t="n">
        <x:f>IF(MOD(B220,12)=0,1,0)</x:f>
        <x:v>0</x:v>
      </x:c>
    </x:row>
    <x:row r="221" ht="22" customHeight="1">
      <x:c r="A221" s="19" t="str">
        <x:v>困难</x:v>
      </x:c>
      <x:c r="B221" s="19" t="n">
        <x:v>96</x:v>
      </x:c>
      <x:c r="C221" s="19" t="n">
        <x:f>ROUNDUP(B221/12,0)</x:f>
        <x:v>8</x:v>
      </x:c>
      <x:c r="D221" s="19" t="n">
        <x:f>ROUND(MAX('参数'!$G$27,E221)+(IF(C221&lt;10,INDEX('参数'!$G$35:$P$35,1,MIN(10,C221+1)),'参数'!$H$27)-MAX('参数'!$G$27,E221))*MOD(B221-1,12)/11,0)</x:f>
        <x:v>85</x:v>
      </x:c>
      <x:c r="E221" s="19" t="n">
        <x:f>INDEX('参数'!$G$35:$P$35,1,C221)</x:f>
        <x:v>80</x:v>
      </x:c>
      <x:c r="F221" s="20" t="n">
        <x:f>'参数'!$I$27</x:f>
        <x:v>1.1</x:v>
      </x:c>
      <x:c r="G221" s="19" t="n">
        <x:f>ROUND(V221*X221/'参数'!$B$56,0)</x:f>
        <x:v>132177</x:v>
      </x:c>
      <x:c r="H221" s="19" t="n">
        <x:f>ROUND((AA221+SQRT(AA221^2+4*AA221*'参数'!$B$22*U221))/2,0)</x:f>
        <x:v>4706</x:v>
      </x:c>
      <x:c r="I221" s="19" t="n">
        <x:f>ROUND(Q221*'参数'!$B$23/'参数'!$B$22,0)</x:f>
        <x:v>967</x:v>
      </x:c>
      <x:c r="J221" s="19" t="n">
        <x:f>ROUND(G221*'参数'!$B$50,0)</x:f>
        <x:v>396531</x:v>
      </x:c>
      <x:c r="K221" s="19" t="n">
        <x:f>ROUND(W221*Y221,0)</x:f>
        <x:v>1479961</x:v>
      </x:c>
      <x:c r="L221" s="19" t="n">
        <x:f>ROUND((AB221+SQRT(AB221^2+4*AB221*'参数'!$B$22*U221))/2,0)</x:f>
        <x:v>7771</x:v>
      </x:c>
      <x:c r="M221" s="19" t="n">
        <x:f>ROUND(I221*'参数'!$B$24,0)</x:f>
        <x:v>1209</x:v>
      </x:c>
      <x:c r="N221" s="19" t="n">
        <x:f>'参数'!$B$9*'参数'!$B$10^(D221-1)</x:f>
        <x:v>7185.849640504808</x:v>
      </x:c>
      <x:c r="O221" s="19" t="n">
        <x:f>'参数'!$B$18*'参数'!$B$19^(MIN(E221,MAX(1,5*INT(D221/5)))-1)*F221*'参数'!$J$27*P221</x:f>
        <x:v>726.5245262891327</x:v>
      </x:c>
      <x:c r="P221" s="22" t="n">
        <x:f>MIN(1,(D221-1)/19)</x:f>
        <x:v>1</x:v>
      </x:c>
      <x:c r="Q221" s="19" t="n">
        <x:f>INDEX('角色成长'!$F$6:$F$105,D221)+O221*'参数'!$K$21</x:f>
        <x:v>4836.594899924028</x:v>
      </x:c>
      <x:c r="R221" s="19" t="n">
        <x:f>INDEX('角色成长'!$I$6:$I$105,D221)+O221*'参数'!$K$21</x:f>
        <x:v>4061.594899924028</x:v>
      </x:c>
      <x:c r="S221" s="19" t="n">
        <x:f>INDEX('角色成长'!$L$6:$L$105,D221)+O221*'参数'!$K$21</x:f>
        <x:v>3619.594899924028</x:v>
      </x:c>
      <x:c r="T221" s="19" t="n">
        <x:f>(INDEX('角色成长'!$J$6:$J$105,D221)+O221*'参数'!$L$21)*(1+'参数'!$B$40*P221)</x:f>
        <x:v>57334.028931980625</x:v>
      </x:c>
      <x:c r="U221" s="19" t="n">
        <x:f>(INDEX('角色成长'!$K$6:$K$105,D221)+O221*'参数'!$M$21)*(1+'参数'!$B$41*P221)</x:f>
        <x:v>2980.3597131065803</x:v>
      </x:c>
      <x:c r="V221" s="19" t="n">
        <x:f>(('参数'!$K$5*(((Q221*(1+'参数'!$B$39*P221))^2/((Q221*(1+'参数'!$B$39*P221))+'参数'!$B$22*(I221)))*(1+'参数'!$B$42*P221)/'参数'!$J$5+((Q221*'参数'!$B$43*(1+'参数'!$B$39*P221))^2/((Q221*'参数'!$B$43*(1+'参数'!$B$39*P221))+'参数'!$B$22*(I221)))/'参数'!$B$44))+(((R221*(1+'参数'!$B$39*P221))^2/((R221*(1+'参数'!$B$39*P221))+'参数'!$B$22*(I221)))*(1+'参数'!$B$42*P221)/'参数'!$J$6+((R221*'参数'!$B$45*(1+'参数'!$B$39*P221))^2/((R221*'参数'!$B$45*(1+'参数'!$B$39*P221))+'参数'!$B$22*(I221)))/'参数'!$B$46)+((S221*(1+'参数'!$B$39*P221))^2/((S221*(1+'参数'!$B$39*P221))+'参数'!$B$22*(I221)))*(1+'参数'!$B$42*P221)/'参数'!$J$7)*(1+'参数'!$B$37*('参数'!$B$38-1))*'参数'!$B$25</x:f>
        <x:v>32341.093035109254</x:v>
      </x:c>
      <x:c r="W221" s="19" t="n">
        <x:f>(('参数'!$K$5*(((Q221*(1+'参数'!$B$39*P221))^2/((Q221*(1+'参数'!$B$39*P221))+'参数'!$B$22*(M221)))*(1+'参数'!$B$42*P221)/'参数'!$J$5+((Q221*'参数'!$B$43*(1+'参数'!$B$39*P221))^2/((Q221*'参数'!$B$43*(1+'参数'!$B$39*P221))+'参数'!$B$22*(M221)))/'参数'!$B$44))+(((R221*(1+'参数'!$B$39*P221))^2/((R221*(1+'参数'!$B$39*P221))+'参数'!$B$22*(M221)))*(1+'参数'!$B$42*P221)/'参数'!$J$6+((R221*'参数'!$B$45*(1+'参数'!$B$39*P221))^2/((R221*'参数'!$B$45*(1+'参数'!$B$39*P221))+'参数'!$B$22*(M221)))/'参数'!$B$46)+((S221*(1+'参数'!$B$39*P221))^2/((S221*(1+'参数'!$B$39*P221))+'参数'!$B$22*(M221)))*(1+'参数'!$B$42*P221)/'参数'!$J$7)*(1+'参数'!$B$37*('参数'!$B$38-1))</x:f>
        <x:v>24908.181708505774</x:v>
      </x:c>
      <x:c r="X221" s="26" t="n">
        <x:f>('参数'!$B$26+'参数'!$B$27*(D221-1)/99)*'参数'!$K$27*AD221</x:f>
        <x:v>18.8</x:v>
      </x:c>
      <x:c r="Y221" s="26" t="n">
        <x:f>('参数'!$B$28+'参数'!$B$29*(D221-1)/99)*'参数'!$K$27*AD221*IF(AE221=1,'参数'!$B$51,1)</x:f>
        <x:v>59.416666666666664</x:v>
      </x:c>
      <x:c r="Z221" s="22" t="n">
        <x:f>MIN('参数'!$B$36,U221/(U221+'参数'!$B$35))</x:f>
        <x:v>0.4269636287526196</x:v>
      </x:c>
      <x:c r="AA221" s="19" t="n">
        <x:f>T221*'参数'!$B$30/('参数'!$B$32*'参数'!$B$33)/(1-Z221)*AC221</x:f>
        <x:v>2626.3922064639305</x:v>
      </x:c>
      <x:c r="AB221" s="19" t="n">
        <x:f>T221*'参数'!$B$31/'参数'!$B$34/(1-Z221)*AC221</x:f>
        <x:v>5252.784412927862</x:v>
      </x:c>
      <x:c r="AC221" s="20" t="n">
        <x:f>'参数'!$L$27*1</x:f>
        <x:v>1.05</x:v>
      </x:c>
      <x:c r="AD221" s="20" t="n">
        <x:f>1</x:f>
        <x:v>1</x:v>
      </x:c>
      <x:c r="AE221" s="19" t="n">
        <x:f>IF(MOD(B221,12)=0,1,0)</x:f>
        <x:v>1</x:v>
      </x:c>
    </x:row>
    <x:row r="222" ht="22" customHeight="1">
      <x:c r="A222" s="18" t="str">
        <x:v>困难</x:v>
      </x:c>
      <x:c r="B222" s="18" t="n">
        <x:v>97</x:v>
      </x:c>
      <x:c r="C222" s="18" t="n">
        <x:f>ROUNDUP(B222/12,0)</x:f>
        <x:v>9</x:v>
      </x:c>
      <x:c r="D222" s="18" t="n">
        <x:f>ROUND(MAX('参数'!$G$27,E222)+(IF(C222&lt;10,INDEX('参数'!$G$35:$P$35,1,MIN(10,C222+1)),'参数'!$H$27)-MAX('参数'!$G$27,E222))*MOD(B222-1,12)/11,0)</x:f>
        <x:v>85</x:v>
      </x:c>
      <x:c r="E222" s="18" t="n">
        <x:f>INDEX('参数'!$G$35:$P$35,1,C222)</x:f>
        <x:v>85</x:v>
      </x:c>
      <x:c r="F222" s="15" t="n">
        <x:f>'参数'!$I$27</x:f>
        <x:v>1.1</x:v>
      </x:c>
      <x:c r="G222" s="18" t="n">
        <x:f>ROUND(V222*X222/'参数'!$B$56,0)</x:f>
        <x:v>144242</x:v>
      </x:c>
      <x:c r="H222" s="18" t="n">
        <x:f>ROUND((AA222+SQRT(AA222^2+4*AA222*'参数'!$B$22*U222))/2,0)</x:f>
        <x:v>5180</x:v>
      </x:c>
      <x:c r="I222" s="18" t="n">
        <x:f>ROUND(Q222*'参数'!$B$23/'参数'!$B$22,0)</x:f>
        <x:v>1050</x:v>
      </x:c>
      <x:c r="J222" s="18" t="n">
        <x:f>ROUND(G222*'参数'!$B$50,0)</x:f>
        <x:v>432726</x:v>
      </x:c>
      <x:c r="K222" s="18" t="n">
        <x:f>ROUND(W222*Y222,0)</x:f>
        <x:v>1404484</x:v>
      </x:c>
      <x:c r="L222" s="18" t="n">
        <x:f>ROUND((AB222+SQRT(AB222^2+4*AB222*'参数'!$B$22*U222))/2,0)</x:f>
        <x:v>8559</x:v>
      </x:c>
      <x:c r="M222" s="18" t="n">
        <x:f>ROUND(I222*'参数'!$B$24,0)</x:f>
        <x:v>1313</x:v>
      </x:c>
      <x:c r="N222" s="18" t="n">
        <x:f>'参数'!$B$9*'参数'!$B$10^(D222-1)</x:f>
        <x:v>7185.849640504808</x:v>
      </x:c>
      <x:c r="O222" s="18" t="n">
        <x:f>'参数'!$B$18*'参数'!$B$19^(MIN(E222,MAX(1,5*INT(D222/5)))-1)*F222*'参数'!$J$27*P222</x:f>
        <x:v>871.2525493855705</x:v>
      </x:c>
      <x:c r="P222" s="21" t="n">
        <x:f>MIN(1,(D222-1)/19)</x:f>
        <x:v>1</x:v>
      </x:c>
      <x:c r="Q222" s="18" t="n">
        <x:f>INDEX('角色成长'!$F$6:$F$105,D222)+O222*'参数'!$K$21</x:f>
        <x:v>5249.069765748876</x:v>
      </x:c>
      <x:c r="R222" s="18" t="n">
        <x:f>INDEX('角色成长'!$I$6:$I$105,D222)+O222*'参数'!$K$21</x:f>
        <x:v>4474.069765748876</x:v>
      </x:c>
      <x:c r="S222" s="18" t="n">
        <x:f>INDEX('角色成长'!$L$6:$L$105,D222)+O222*'参数'!$K$21</x:f>
        <x:v>4032.0697657488763</x:v>
      </x:c>
      <x:c r="T222" s="18" t="n">
        <x:f>(INDEX('角色成长'!$J$6:$J$105,D222)+O222*'参数'!$L$21)*(1+'参数'!$B$40*P222)</x:f>
        <x:v>60868.28725599564</x:v>
      </x:c>
      <x:c r="U222" s="18" t="n">
        <x:f>(INDEX('角色成长'!$K$6:$K$105,D222)+O222*'参数'!$M$21)*(1+'参数'!$B$41*P222)</x:f>
        <x:v>3258.961157567224</x:v>
      </x:c>
      <x:c r="V222" s="18" t="n">
        <x:f>(('参数'!$K$5*(((Q222*(1+'参数'!$B$39*P222))^2/((Q222*(1+'参数'!$B$39*P222))+'参数'!$B$22*(I222)))*(1+'参数'!$B$42*P222)/'参数'!$J$5+((Q222*'参数'!$B$43*(1+'参数'!$B$39*P222))^2/((Q222*'参数'!$B$43*(1+'参数'!$B$39*P222))+'参数'!$B$22*(I222)))/'参数'!$B$44))+(((R222*(1+'参数'!$B$39*P222))^2/((R222*(1+'参数'!$B$39*P222))+'参数'!$B$22*(I222)))*(1+'参数'!$B$42*P222)/'参数'!$J$6+((R222*'参数'!$B$45*(1+'参数'!$B$39*P222))^2/((R222*'参数'!$B$45*(1+'参数'!$B$39*P222))+'参数'!$B$22*(I222)))/'参数'!$B$46)+((S222*(1+'参数'!$B$39*P222))^2/((S222*(1+'参数'!$B$39*P222))+'参数'!$B$22*(I222)))*(1+'参数'!$B$42*P222)/'参数'!$J$7)*(1+'参数'!$B$37*('参数'!$B$38-1))*'参数'!$B$25</x:f>
        <x:v>35293.15645716733</x:v>
      </x:c>
      <x:c r="W222" s="18" t="n">
        <x:f>(('参数'!$K$5*(((Q222*(1+'参数'!$B$39*P222))^2/((Q222*(1+'参数'!$B$39*P222))+'参数'!$B$22*(M222)))*(1+'参数'!$B$42*P222)/'参数'!$J$5+((Q222*'参数'!$B$43*(1+'参数'!$B$39*P222))^2/((Q222*'参数'!$B$43*(1+'参数'!$B$39*P222))+'参数'!$B$22*(M222)))/'参数'!$B$44))+(((R222*(1+'参数'!$B$39*P222))^2/((R222*(1+'参数'!$B$39*P222))+'参数'!$B$22*(M222)))*(1+'参数'!$B$42*P222)/'参数'!$J$6+((R222*'参数'!$B$45*(1+'参数'!$B$39*P222))^2/((R222*'参数'!$B$45*(1+'参数'!$B$39*P222))+'参数'!$B$22*(M222)))/'参数'!$B$46)+((S222*(1+'参数'!$B$39*P222))^2/((S222*(1+'参数'!$B$39*P222))+'参数'!$B$22*(M222)))*(1+'参数'!$B$42*P222)/'参数'!$J$7)*(1+'参数'!$B$37*('参数'!$B$38-1))</x:f>
        <x:v>27183.555188116585</x:v>
      </x:c>
      <x:c r="X222" s="25" t="n">
        <x:f>('参数'!$B$26+'参数'!$B$27*(D222-1)/99)*'参数'!$K$27*AD222</x:f>
        <x:v>18.8</x:v>
      </x:c>
      <x:c r="Y222" s="25" t="n">
        <x:f>('参数'!$B$28+'参数'!$B$29*(D222-1)/99)*'参数'!$K$27*AD222*IF(AE222=1,'参数'!$B$51,1)</x:f>
        <x:v>51.66666666666667</x:v>
      </x:c>
      <x:c r="Z222" s="21" t="n">
        <x:f>MIN('参数'!$B$36,U222/(U222+'参数'!$B$35))</x:f>
        <x:v>0.44895696323844714</x:v>
      </x:c>
      <x:c r="AA222" s="18" t="n">
        <x:f>T222*'参数'!$B$30/('参数'!$B$32*'参数'!$B$33)/(1-Z222)*AC222</x:f>
        <x:v>2899.5784972803885</x:v>
      </x:c>
      <x:c r="AB222" s="18" t="n">
        <x:f>T222*'参数'!$B$31/'参数'!$B$34/(1-Z222)*AC222</x:f>
        <x:v>5799.156994560777</x:v>
      </x:c>
      <x:c r="AC222" s="15" t="n">
        <x:f>'参数'!$L$27*1</x:f>
        <x:v>1.05</x:v>
      </x:c>
      <x:c r="AD222" s="15" t="n">
        <x:f>1</x:f>
        <x:v>1</x:v>
      </x:c>
      <x:c r="AE222" s="18" t="n">
        <x:f>IF(MOD(B222,12)=0,1,0)</x:f>
        <x:v>0</x:v>
      </x:c>
    </x:row>
    <x:row r="223" ht="22" customHeight="1">
      <x:c r="A223" s="19" t="str">
        <x:v>困难</x:v>
      </x:c>
      <x:c r="B223" s="19" t="n">
        <x:v>98</x:v>
      </x:c>
      <x:c r="C223" s="19" t="n">
        <x:f>ROUNDUP(B223/12,0)</x:f>
        <x:v>9</x:v>
      </x:c>
      <x:c r="D223" s="19" t="n">
        <x:f>ROUND(MAX('参数'!$G$27,E223)+(IF(C223&lt;10,INDEX('参数'!$G$35:$P$35,1,MIN(10,C223+1)),'参数'!$H$27)-MAX('参数'!$G$27,E223))*MOD(B223-1,12)/11,0)</x:f>
        <x:v>85</x:v>
      </x:c>
      <x:c r="E223" s="19" t="n">
        <x:f>INDEX('参数'!$G$35:$P$35,1,C223)</x:f>
        <x:v>85</x:v>
      </x:c>
      <x:c r="F223" s="20" t="n">
        <x:f>'参数'!$I$27</x:f>
        <x:v>1.1</x:v>
      </x:c>
      <x:c r="G223" s="19" t="n">
        <x:f>ROUND(V223*X223/'参数'!$B$56,0)</x:f>
        <x:v>144242</x:v>
      </x:c>
      <x:c r="H223" s="19" t="n">
        <x:f>ROUND((AA223+SQRT(AA223^2+4*AA223*'参数'!$B$22*U223))/2,0)</x:f>
        <x:v>5180</x:v>
      </x:c>
      <x:c r="I223" s="19" t="n">
        <x:f>ROUND(Q223*'参数'!$B$23/'参数'!$B$22,0)</x:f>
        <x:v>1050</x:v>
      </x:c>
      <x:c r="J223" s="19" t="n">
        <x:f>ROUND(G223*'参数'!$B$50,0)</x:f>
        <x:v>432726</x:v>
      </x:c>
      <x:c r="K223" s="19" t="n">
        <x:f>ROUND(W223*Y223,0)</x:f>
        <x:v>1404484</x:v>
      </x:c>
      <x:c r="L223" s="19" t="n">
        <x:f>ROUND((AB223+SQRT(AB223^2+4*AB223*'参数'!$B$22*U223))/2,0)</x:f>
        <x:v>8559</x:v>
      </x:c>
      <x:c r="M223" s="19" t="n">
        <x:f>ROUND(I223*'参数'!$B$24,0)</x:f>
        <x:v>1313</x:v>
      </x:c>
      <x:c r="N223" s="19" t="n">
        <x:f>'参数'!$B$9*'参数'!$B$10^(D223-1)</x:f>
        <x:v>7185.849640504808</x:v>
      </x:c>
      <x:c r="O223" s="19" t="n">
        <x:f>'参数'!$B$18*'参数'!$B$19^(MIN(E223,MAX(1,5*INT(D223/5)))-1)*F223*'参数'!$J$27*P223</x:f>
        <x:v>871.2525493855705</x:v>
      </x:c>
      <x:c r="P223" s="22" t="n">
        <x:f>MIN(1,(D223-1)/19)</x:f>
        <x:v>1</x:v>
      </x:c>
      <x:c r="Q223" s="19" t="n">
        <x:f>INDEX('角色成长'!$F$6:$F$105,D223)+O223*'参数'!$K$21</x:f>
        <x:v>5249.069765748876</x:v>
      </x:c>
      <x:c r="R223" s="19" t="n">
        <x:f>INDEX('角色成长'!$I$6:$I$105,D223)+O223*'参数'!$K$21</x:f>
        <x:v>4474.069765748876</x:v>
      </x:c>
      <x:c r="S223" s="19" t="n">
        <x:f>INDEX('角色成长'!$L$6:$L$105,D223)+O223*'参数'!$K$21</x:f>
        <x:v>4032.0697657488763</x:v>
      </x:c>
      <x:c r="T223" s="19" t="n">
        <x:f>(INDEX('角色成长'!$J$6:$J$105,D223)+O223*'参数'!$L$21)*(1+'参数'!$B$40*P223)</x:f>
        <x:v>60868.28725599564</x:v>
      </x:c>
      <x:c r="U223" s="19" t="n">
        <x:f>(INDEX('角色成长'!$K$6:$K$105,D223)+O223*'参数'!$M$21)*(1+'参数'!$B$41*P223)</x:f>
        <x:v>3258.961157567224</x:v>
      </x:c>
      <x:c r="V223" s="19" t="n">
        <x:f>(('参数'!$K$5*(((Q223*(1+'参数'!$B$39*P223))^2/((Q223*(1+'参数'!$B$39*P223))+'参数'!$B$22*(I223)))*(1+'参数'!$B$42*P223)/'参数'!$J$5+((Q223*'参数'!$B$43*(1+'参数'!$B$39*P223))^2/((Q223*'参数'!$B$43*(1+'参数'!$B$39*P223))+'参数'!$B$22*(I223)))/'参数'!$B$44))+(((R223*(1+'参数'!$B$39*P223))^2/((R223*(1+'参数'!$B$39*P223))+'参数'!$B$22*(I223)))*(1+'参数'!$B$42*P223)/'参数'!$J$6+((R223*'参数'!$B$45*(1+'参数'!$B$39*P223))^2/((R223*'参数'!$B$45*(1+'参数'!$B$39*P223))+'参数'!$B$22*(I223)))/'参数'!$B$46)+((S223*(1+'参数'!$B$39*P223))^2/((S223*(1+'参数'!$B$39*P223))+'参数'!$B$22*(I223)))*(1+'参数'!$B$42*P223)/'参数'!$J$7)*(1+'参数'!$B$37*('参数'!$B$38-1))*'参数'!$B$25</x:f>
        <x:v>35293.15645716733</x:v>
      </x:c>
      <x:c r="W223" s="19" t="n">
        <x:f>(('参数'!$K$5*(((Q223*(1+'参数'!$B$39*P223))^2/((Q223*(1+'参数'!$B$39*P223))+'参数'!$B$22*(M223)))*(1+'参数'!$B$42*P223)/'参数'!$J$5+((Q223*'参数'!$B$43*(1+'参数'!$B$39*P223))^2/((Q223*'参数'!$B$43*(1+'参数'!$B$39*P223))+'参数'!$B$22*(M223)))/'参数'!$B$44))+(((R223*(1+'参数'!$B$39*P223))^2/((R223*(1+'参数'!$B$39*P223))+'参数'!$B$22*(M223)))*(1+'参数'!$B$42*P223)/'参数'!$J$6+((R223*'参数'!$B$45*(1+'参数'!$B$39*P223))^2/((R223*'参数'!$B$45*(1+'参数'!$B$39*P223))+'参数'!$B$22*(M223)))/'参数'!$B$46)+((S223*(1+'参数'!$B$39*P223))^2/((S223*(1+'参数'!$B$39*P223))+'参数'!$B$22*(M223)))*(1+'参数'!$B$42*P223)/'参数'!$J$7)*(1+'参数'!$B$37*('参数'!$B$38-1))</x:f>
        <x:v>27183.555188116585</x:v>
      </x:c>
      <x:c r="X223" s="26" t="n">
        <x:f>('参数'!$B$26+'参数'!$B$27*(D223-1)/99)*'参数'!$K$27*AD223</x:f>
        <x:v>18.8</x:v>
      </x:c>
      <x:c r="Y223" s="26" t="n">
        <x:f>('参数'!$B$28+'参数'!$B$29*(D223-1)/99)*'参数'!$K$27*AD223*IF(AE223=1,'参数'!$B$51,1)</x:f>
        <x:v>51.66666666666667</x:v>
      </x:c>
      <x:c r="Z223" s="22" t="n">
        <x:f>MIN('参数'!$B$36,U223/(U223+'参数'!$B$35))</x:f>
        <x:v>0.44895696323844714</x:v>
      </x:c>
      <x:c r="AA223" s="19" t="n">
        <x:f>T223*'参数'!$B$30/('参数'!$B$32*'参数'!$B$33)/(1-Z223)*AC223</x:f>
        <x:v>2899.5784972803885</x:v>
      </x:c>
      <x:c r="AB223" s="19" t="n">
        <x:f>T223*'参数'!$B$31/'参数'!$B$34/(1-Z223)*AC223</x:f>
        <x:v>5799.156994560777</x:v>
      </x:c>
      <x:c r="AC223" s="20" t="n">
        <x:f>'参数'!$L$27*1</x:f>
        <x:v>1.05</x:v>
      </x:c>
      <x:c r="AD223" s="20" t="n">
        <x:f>1</x:f>
        <x:v>1</x:v>
      </x:c>
      <x:c r="AE223" s="19" t="n">
        <x:f>IF(MOD(B223,12)=0,1,0)</x:f>
        <x:v>0</x:v>
      </x:c>
    </x:row>
    <x:row r="224" ht="22" customHeight="1">
      <x:c r="A224" s="18" t="str">
        <x:v>困难</x:v>
      </x:c>
      <x:c r="B224" s="18" t="n">
        <x:v>99</x:v>
      </x:c>
      <x:c r="C224" s="18" t="n">
        <x:f>ROUNDUP(B224/12,0)</x:f>
        <x:v>9</x:v>
      </x:c>
      <x:c r="D224" s="18" t="n">
        <x:f>ROUND(MAX('参数'!$G$27,E224)+(IF(C224&lt;10,INDEX('参数'!$G$35:$P$35,1,MIN(10,C224+1)),'参数'!$H$27)-MAX('参数'!$G$27,E224))*MOD(B224-1,12)/11,0)</x:f>
        <x:v>85</x:v>
      </x:c>
      <x:c r="E224" s="18" t="n">
        <x:f>INDEX('参数'!$G$35:$P$35,1,C224)</x:f>
        <x:v>85</x:v>
      </x:c>
      <x:c r="F224" s="15" t="n">
        <x:f>'参数'!$I$27</x:f>
        <x:v>1.1</x:v>
      </x:c>
      <x:c r="G224" s="18" t="n">
        <x:f>ROUND(V224*X224/'参数'!$B$56,0)</x:f>
        <x:v>144242</x:v>
      </x:c>
      <x:c r="H224" s="18" t="n">
        <x:f>ROUND((AA224+SQRT(AA224^2+4*AA224*'参数'!$B$22*U224))/2,0)</x:f>
        <x:v>5180</x:v>
      </x:c>
      <x:c r="I224" s="18" t="n">
        <x:f>ROUND(Q224*'参数'!$B$23/'参数'!$B$22,0)</x:f>
        <x:v>1050</x:v>
      </x:c>
      <x:c r="J224" s="18" t="n">
        <x:f>ROUND(G224*'参数'!$B$50,0)</x:f>
        <x:v>432726</x:v>
      </x:c>
      <x:c r="K224" s="18" t="n">
        <x:f>ROUND(W224*Y224,0)</x:f>
        <x:v>1404484</x:v>
      </x:c>
      <x:c r="L224" s="18" t="n">
        <x:f>ROUND((AB224+SQRT(AB224^2+4*AB224*'参数'!$B$22*U224))/2,0)</x:f>
        <x:v>8559</x:v>
      </x:c>
      <x:c r="M224" s="18" t="n">
        <x:f>ROUND(I224*'参数'!$B$24,0)</x:f>
        <x:v>1313</x:v>
      </x:c>
      <x:c r="N224" s="18" t="n">
        <x:f>'参数'!$B$9*'参数'!$B$10^(D224-1)</x:f>
        <x:v>7185.849640504808</x:v>
      </x:c>
      <x:c r="O224" s="18" t="n">
        <x:f>'参数'!$B$18*'参数'!$B$19^(MIN(E224,MAX(1,5*INT(D224/5)))-1)*F224*'参数'!$J$27*P224</x:f>
        <x:v>871.2525493855705</x:v>
      </x:c>
      <x:c r="P224" s="21" t="n">
        <x:f>MIN(1,(D224-1)/19)</x:f>
        <x:v>1</x:v>
      </x:c>
      <x:c r="Q224" s="18" t="n">
        <x:f>INDEX('角色成长'!$F$6:$F$105,D224)+O224*'参数'!$K$21</x:f>
        <x:v>5249.069765748876</x:v>
      </x:c>
      <x:c r="R224" s="18" t="n">
        <x:f>INDEX('角色成长'!$I$6:$I$105,D224)+O224*'参数'!$K$21</x:f>
        <x:v>4474.069765748876</x:v>
      </x:c>
      <x:c r="S224" s="18" t="n">
        <x:f>INDEX('角色成长'!$L$6:$L$105,D224)+O224*'参数'!$K$21</x:f>
        <x:v>4032.0697657488763</x:v>
      </x:c>
      <x:c r="T224" s="18" t="n">
        <x:f>(INDEX('角色成长'!$J$6:$J$105,D224)+O224*'参数'!$L$21)*(1+'参数'!$B$40*P224)</x:f>
        <x:v>60868.28725599564</x:v>
      </x:c>
      <x:c r="U224" s="18" t="n">
        <x:f>(INDEX('角色成长'!$K$6:$K$105,D224)+O224*'参数'!$M$21)*(1+'参数'!$B$41*P224)</x:f>
        <x:v>3258.961157567224</x:v>
      </x:c>
      <x:c r="V224" s="18" t="n">
        <x:f>(('参数'!$K$5*(((Q224*(1+'参数'!$B$39*P224))^2/((Q224*(1+'参数'!$B$39*P224))+'参数'!$B$22*(I224)))*(1+'参数'!$B$42*P224)/'参数'!$J$5+((Q224*'参数'!$B$43*(1+'参数'!$B$39*P224))^2/((Q224*'参数'!$B$43*(1+'参数'!$B$39*P224))+'参数'!$B$22*(I224)))/'参数'!$B$44))+(((R224*(1+'参数'!$B$39*P224))^2/((R224*(1+'参数'!$B$39*P224))+'参数'!$B$22*(I224)))*(1+'参数'!$B$42*P224)/'参数'!$J$6+((R224*'参数'!$B$45*(1+'参数'!$B$39*P224))^2/((R224*'参数'!$B$45*(1+'参数'!$B$39*P224))+'参数'!$B$22*(I224)))/'参数'!$B$46)+((S224*(1+'参数'!$B$39*P224))^2/((S224*(1+'参数'!$B$39*P224))+'参数'!$B$22*(I224)))*(1+'参数'!$B$42*P224)/'参数'!$J$7)*(1+'参数'!$B$37*('参数'!$B$38-1))*'参数'!$B$25</x:f>
        <x:v>35293.15645716733</x:v>
      </x:c>
      <x:c r="W224" s="18" t="n">
        <x:f>(('参数'!$K$5*(((Q224*(1+'参数'!$B$39*P224))^2/((Q224*(1+'参数'!$B$39*P224))+'参数'!$B$22*(M224)))*(1+'参数'!$B$42*P224)/'参数'!$J$5+((Q224*'参数'!$B$43*(1+'参数'!$B$39*P224))^2/((Q224*'参数'!$B$43*(1+'参数'!$B$39*P224))+'参数'!$B$22*(M224)))/'参数'!$B$44))+(((R224*(1+'参数'!$B$39*P224))^2/((R224*(1+'参数'!$B$39*P224))+'参数'!$B$22*(M224)))*(1+'参数'!$B$42*P224)/'参数'!$J$6+((R224*'参数'!$B$45*(1+'参数'!$B$39*P224))^2/((R224*'参数'!$B$45*(1+'参数'!$B$39*P224))+'参数'!$B$22*(M224)))/'参数'!$B$46)+((S224*(1+'参数'!$B$39*P224))^2/((S224*(1+'参数'!$B$39*P224))+'参数'!$B$22*(M224)))*(1+'参数'!$B$42*P224)/'参数'!$J$7)*(1+'参数'!$B$37*('参数'!$B$38-1))</x:f>
        <x:v>27183.555188116585</x:v>
      </x:c>
      <x:c r="X224" s="25" t="n">
        <x:f>('参数'!$B$26+'参数'!$B$27*(D224-1)/99)*'参数'!$K$27*AD224</x:f>
        <x:v>18.8</x:v>
      </x:c>
      <x:c r="Y224" s="25" t="n">
        <x:f>('参数'!$B$28+'参数'!$B$29*(D224-1)/99)*'参数'!$K$27*AD224*IF(AE224=1,'参数'!$B$51,1)</x:f>
        <x:v>51.66666666666667</x:v>
      </x:c>
      <x:c r="Z224" s="21" t="n">
        <x:f>MIN('参数'!$B$36,U224/(U224+'参数'!$B$35))</x:f>
        <x:v>0.44895696323844714</x:v>
      </x:c>
      <x:c r="AA224" s="18" t="n">
        <x:f>T224*'参数'!$B$30/('参数'!$B$32*'参数'!$B$33)/(1-Z224)*AC224</x:f>
        <x:v>2899.5784972803885</x:v>
      </x:c>
      <x:c r="AB224" s="18" t="n">
        <x:f>T224*'参数'!$B$31/'参数'!$B$34/(1-Z224)*AC224</x:f>
        <x:v>5799.156994560777</x:v>
      </x:c>
      <x:c r="AC224" s="15" t="n">
        <x:f>'参数'!$L$27*1</x:f>
        <x:v>1.05</x:v>
      </x:c>
      <x:c r="AD224" s="15" t="n">
        <x:f>1</x:f>
        <x:v>1</x:v>
      </x:c>
      <x:c r="AE224" s="18" t="n">
        <x:f>IF(MOD(B224,12)=0,1,0)</x:f>
        <x:v>0</x:v>
      </x:c>
    </x:row>
    <x:row r="225" ht="22" customHeight="1">
      <x:c r="A225" s="19" t="str">
        <x:v>困难</x:v>
      </x:c>
      <x:c r="B225" s="19" t="n">
        <x:v>100</x:v>
      </x:c>
      <x:c r="C225" s="19" t="n">
        <x:f>ROUNDUP(B225/12,0)</x:f>
        <x:v>9</x:v>
      </x:c>
      <x:c r="D225" s="19" t="n">
        <x:f>ROUND(MAX('参数'!$G$27,E225)+(IF(C225&lt;10,INDEX('参数'!$G$35:$P$35,1,MIN(10,C225+1)),'参数'!$H$27)-MAX('参数'!$G$27,E225))*MOD(B225-1,12)/11,0)</x:f>
        <x:v>85</x:v>
      </x:c>
      <x:c r="E225" s="19" t="n">
        <x:f>INDEX('参数'!$G$35:$P$35,1,C225)</x:f>
        <x:v>85</x:v>
      </x:c>
      <x:c r="F225" s="20" t="n">
        <x:f>'参数'!$I$27</x:f>
        <x:v>1.1</x:v>
      </x:c>
      <x:c r="G225" s="19" t="n">
        <x:f>ROUND(V225*X225/'参数'!$B$56,0)</x:f>
        <x:v>144242</x:v>
      </x:c>
      <x:c r="H225" s="19" t="n">
        <x:f>ROUND((AA225+SQRT(AA225^2+4*AA225*'参数'!$B$22*U225))/2,0)</x:f>
        <x:v>5180</x:v>
      </x:c>
      <x:c r="I225" s="19" t="n">
        <x:f>ROUND(Q225*'参数'!$B$23/'参数'!$B$22,0)</x:f>
        <x:v>1050</x:v>
      </x:c>
      <x:c r="J225" s="19" t="n">
        <x:f>ROUND(G225*'参数'!$B$50,0)</x:f>
        <x:v>432726</x:v>
      </x:c>
      <x:c r="K225" s="19" t="n">
        <x:f>ROUND(W225*Y225,0)</x:f>
        <x:v>1404484</x:v>
      </x:c>
      <x:c r="L225" s="19" t="n">
        <x:f>ROUND((AB225+SQRT(AB225^2+4*AB225*'参数'!$B$22*U225))/2,0)</x:f>
        <x:v>8559</x:v>
      </x:c>
      <x:c r="M225" s="19" t="n">
        <x:f>ROUND(I225*'参数'!$B$24,0)</x:f>
        <x:v>1313</x:v>
      </x:c>
      <x:c r="N225" s="19" t="n">
        <x:f>'参数'!$B$9*'参数'!$B$10^(D225-1)</x:f>
        <x:v>7185.849640504808</x:v>
      </x:c>
      <x:c r="O225" s="19" t="n">
        <x:f>'参数'!$B$18*'参数'!$B$19^(MIN(E225,MAX(1,5*INT(D225/5)))-1)*F225*'参数'!$J$27*P225</x:f>
        <x:v>871.2525493855705</x:v>
      </x:c>
      <x:c r="P225" s="22" t="n">
        <x:f>MIN(1,(D225-1)/19)</x:f>
        <x:v>1</x:v>
      </x:c>
      <x:c r="Q225" s="19" t="n">
        <x:f>INDEX('角色成长'!$F$6:$F$105,D225)+O225*'参数'!$K$21</x:f>
        <x:v>5249.069765748876</x:v>
      </x:c>
      <x:c r="R225" s="19" t="n">
        <x:f>INDEX('角色成长'!$I$6:$I$105,D225)+O225*'参数'!$K$21</x:f>
        <x:v>4474.069765748876</x:v>
      </x:c>
      <x:c r="S225" s="19" t="n">
        <x:f>INDEX('角色成长'!$L$6:$L$105,D225)+O225*'参数'!$K$21</x:f>
        <x:v>4032.0697657488763</x:v>
      </x:c>
      <x:c r="T225" s="19" t="n">
        <x:f>(INDEX('角色成长'!$J$6:$J$105,D225)+O225*'参数'!$L$21)*(1+'参数'!$B$40*P225)</x:f>
        <x:v>60868.28725599564</x:v>
      </x:c>
      <x:c r="U225" s="19" t="n">
        <x:f>(INDEX('角色成长'!$K$6:$K$105,D225)+O225*'参数'!$M$21)*(1+'参数'!$B$41*P225)</x:f>
        <x:v>3258.961157567224</x:v>
      </x:c>
      <x:c r="V225" s="19" t="n">
        <x:f>(('参数'!$K$5*(((Q225*(1+'参数'!$B$39*P225))^2/((Q225*(1+'参数'!$B$39*P225))+'参数'!$B$22*(I225)))*(1+'参数'!$B$42*P225)/'参数'!$J$5+((Q225*'参数'!$B$43*(1+'参数'!$B$39*P225))^2/((Q225*'参数'!$B$43*(1+'参数'!$B$39*P225))+'参数'!$B$22*(I225)))/'参数'!$B$44))+(((R225*(1+'参数'!$B$39*P225))^2/((R225*(1+'参数'!$B$39*P225))+'参数'!$B$22*(I225)))*(1+'参数'!$B$42*P225)/'参数'!$J$6+((R225*'参数'!$B$45*(1+'参数'!$B$39*P225))^2/((R225*'参数'!$B$45*(1+'参数'!$B$39*P225))+'参数'!$B$22*(I225)))/'参数'!$B$46)+((S225*(1+'参数'!$B$39*P225))^2/((S225*(1+'参数'!$B$39*P225))+'参数'!$B$22*(I225)))*(1+'参数'!$B$42*P225)/'参数'!$J$7)*(1+'参数'!$B$37*('参数'!$B$38-1))*'参数'!$B$25</x:f>
        <x:v>35293.15645716733</x:v>
      </x:c>
      <x:c r="W225" s="19" t="n">
        <x:f>(('参数'!$K$5*(((Q225*(1+'参数'!$B$39*P225))^2/((Q225*(1+'参数'!$B$39*P225))+'参数'!$B$22*(M225)))*(1+'参数'!$B$42*P225)/'参数'!$J$5+((Q225*'参数'!$B$43*(1+'参数'!$B$39*P225))^2/((Q225*'参数'!$B$43*(1+'参数'!$B$39*P225))+'参数'!$B$22*(M225)))/'参数'!$B$44))+(((R225*(1+'参数'!$B$39*P225))^2/((R225*(1+'参数'!$B$39*P225))+'参数'!$B$22*(M225)))*(1+'参数'!$B$42*P225)/'参数'!$J$6+((R225*'参数'!$B$45*(1+'参数'!$B$39*P225))^2/((R225*'参数'!$B$45*(1+'参数'!$B$39*P225))+'参数'!$B$22*(M225)))/'参数'!$B$46)+((S225*(1+'参数'!$B$39*P225))^2/((S225*(1+'参数'!$B$39*P225))+'参数'!$B$22*(M225)))*(1+'参数'!$B$42*P225)/'参数'!$J$7)*(1+'参数'!$B$37*('参数'!$B$38-1))</x:f>
        <x:v>27183.555188116585</x:v>
      </x:c>
      <x:c r="X225" s="26" t="n">
        <x:f>('参数'!$B$26+'参数'!$B$27*(D225-1)/99)*'参数'!$K$27*AD225</x:f>
        <x:v>18.8</x:v>
      </x:c>
      <x:c r="Y225" s="26" t="n">
        <x:f>('参数'!$B$28+'参数'!$B$29*(D225-1)/99)*'参数'!$K$27*AD225*IF(AE225=1,'参数'!$B$51,1)</x:f>
        <x:v>51.66666666666667</x:v>
      </x:c>
      <x:c r="Z225" s="22" t="n">
        <x:f>MIN('参数'!$B$36,U225/(U225+'参数'!$B$35))</x:f>
        <x:v>0.44895696323844714</x:v>
      </x:c>
      <x:c r="AA225" s="19" t="n">
        <x:f>T225*'参数'!$B$30/('参数'!$B$32*'参数'!$B$33)/(1-Z225)*AC225</x:f>
        <x:v>2899.5784972803885</x:v>
      </x:c>
      <x:c r="AB225" s="19" t="n">
        <x:f>T225*'参数'!$B$31/'参数'!$B$34/(1-Z225)*AC225</x:f>
        <x:v>5799.156994560777</x:v>
      </x:c>
      <x:c r="AC225" s="20" t="n">
        <x:f>'参数'!$L$27*1</x:f>
        <x:v>1.05</x:v>
      </x:c>
      <x:c r="AD225" s="20" t="n">
        <x:f>1</x:f>
        <x:v>1</x:v>
      </x:c>
      <x:c r="AE225" s="19" t="n">
        <x:f>IF(MOD(B225,12)=0,1,0)</x:f>
        <x:v>0</x:v>
      </x:c>
    </x:row>
    <x:row r="226" ht="22" customHeight="1">
      <x:c r="A226" s="18" t="str">
        <x:v>困难</x:v>
      </x:c>
      <x:c r="B226" s="18" t="n">
        <x:v>101</x:v>
      </x:c>
      <x:c r="C226" s="18" t="n">
        <x:f>ROUNDUP(B226/12,0)</x:f>
        <x:v>9</x:v>
      </x:c>
      <x:c r="D226" s="18" t="n">
        <x:f>ROUND(MAX('参数'!$G$27,E226)+(IF(C226&lt;10,INDEX('参数'!$G$35:$P$35,1,MIN(10,C226+1)),'参数'!$H$27)-MAX('参数'!$G$27,E226))*MOD(B226-1,12)/11,0)</x:f>
        <x:v>85</x:v>
      </x:c>
      <x:c r="E226" s="18" t="n">
        <x:f>INDEX('参数'!$G$35:$P$35,1,C226)</x:f>
        <x:v>85</x:v>
      </x:c>
      <x:c r="F226" s="15" t="n">
        <x:f>'参数'!$I$27</x:f>
        <x:v>1.1</x:v>
      </x:c>
      <x:c r="G226" s="18" t="n">
        <x:f>ROUND(V226*X226/'参数'!$B$56,0)</x:f>
        <x:v>144242</x:v>
      </x:c>
      <x:c r="H226" s="18" t="n">
        <x:f>ROUND((AA226+SQRT(AA226^2+4*AA226*'参数'!$B$22*U226))/2,0)</x:f>
        <x:v>5180</x:v>
      </x:c>
      <x:c r="I226" s="18" t="n">
        <x:f>ROUND(Q226*'参数'!$B$23/'参数'!$B$22,0)</x:f>
        <x:v>1050</x:v>
      </x:c>
      <x:c r="J226" s="18" t="n">
        <x:f>ROUND(G226*'参数'!$B$50,0)</x:f>
        <x:v>432726</x:v>
      </x:c>
      <x:c r="K226" s="18" t="n">
        <x:f>ROUND(W226*Y226,0)</x:f>
        <x:v>1404484</x:v>
      </x:c>
      <x:c r="L226" s="18" t="n">
        <x:f>ROUND((AB226+SQRT(AB226^2+4*AB226*'参数'!$B$22*U226))/2,0)</x:f>
        <x:v>8559</x:v>
      </x:c>
      <x:c r="M226" s="18" t="n">
        <x:f>ROUND(I226*'参数'!$B$24,0)</x:f>
        <x:v>1313</x:v>
      </x:c>
      <x:c r="N226" s="18" t="n">
        <x:f>'参数'!$B$9*'参数'!$B$10^(D226-1)</x:f>
        <x:v>7185.849640504808</x:v>
      </x:c>
      <x:c r="O226" s="18" t="n">
        <x:f>'参数'!$B$18*'参数'!$B$19^(MIN(E226,MAX(1,5*INT(D226/5)))-1)*F226*'参数'!$J$27*P226</x:f>
        <x:v>871.2525493855705</x:v>
      </x:c>
      <x:c r="P226" s="21" t="n">
        <x:f>MIN(1,(D226-1)/19)</x:f>
        <x:v>1</x:v>
      </x:c>
      <x:c r="Q226" s="18" t="n">
        <x:f>INDEX('角色成长'!$F$6:$F$105,D226)+O226*'参数'!$K$21</x:f>
        <x:v>5249.069765748876</x:v>
      </x:c>
      <x:c r="R226" s="18" t="n">
        <x:f>INDEX('角色成长'!$I$6:$I$105,D226)+O226*'参数'!$K$21</x:f>
        <x:v>4474.069765748876</x:v>
      </x:c>
      <x:c r="S226" s="18" t="n">
        <x:f>INDEX('角色成长'!$L$6:$L$105,D226)+O226*'参数'!$K$21</x:f>
        <x:v>4032.0697657488763</x:v>
      </x:c>
      <x:c r="T226" s="18" t="n">
        <x:f>(INDEX('角色成长'!$J$6:$J$105,D226)+O226*'参数'!$L$21)*(1+'参数'!$B$40*P226)</x:f>
        <x:v>60868.28725599564</x:v>
      </x:c>
      <x:c r="U226" s="18" t="n">
        <x:f>(INDEX('角色成长'!$K$6:$K$105,D226)+O226*'参数'!$M$21)*(1+'参数'!$B$41*P226)</x:f>
        <x:v>3258.961157567224</x:v>
      </x:c>
      <x:c r="V226" s="18" t="n">
        <x:f>(('参数'!$K$5*(((Q226*(1+'参数'!$B$39*P226))^2/((Q226*(1+'参数'!$B$39*P226))+'参数'!$B$22*(I226)))*(1+'参数'!$B$42*P226)/'参数'!$J$5+((Q226*'参数'!$B$43*(1+'参数'!$B$39*P226))^2/((Q226*'参数'!$B$43*(1+'参数'!$B$39*P226))+'参数'!$B$22*(I226)))/'参数'!$B$44))+(((R226*(1+'参数'!$B$39*P226))^2/((R226*(1+'参数'!$B$39*P226))+'参数'!$B$22*(I226)))*(1+'参数'!$B$42*P226)/'参数'!$J$6+((R226*'参数'!$B$45*(1+'参数'!$B$39*P226))^2/((R226*'参数'!$B$45*(1+'参数'!$B$39*P226))+'参数'!$B$22*(I226)))/'参数'!$B$46)+((S226*(1+'参数'!$B$39*P226))^2/((S226*(1+'参数'!$B$39*P226))+'参数'!$B$22*(I226)))*(1+'参数'!$B$42*P226)/'参数'!$J$7)*(1+'参数'!$B$37*('参数'!$B$38-1))*'参数'!$B$25</x:f>
        <x:v>35293.15645716733</x:v>
      </x:c>
      <x:c r="W226" s="18" t="n">
        <x:f>(('参数'!$K$5*(((Q226*(1+'参数'!$B$39*P226))^2/((Q226*(1+'参数'!$B$39*P226))+'参数'!$B$22*(M226)))*(1+'参数'!$B$42*P226)/'参数'!$J$5+((Q226*'参数'!$B$43*(1+'参数'!$B$39*P226))^2/((Q226*'参数'!$B$43*(1+'参数'!$B$39*P226))+'参数'!$B$22*(M226)))/'参数'!$B$44))+(((R226*(1+'参数'!$B$39*P226))^2/((R226*(1+'参数'!$B$39*P226))+'参数'!$B$22*(M226)))*(1+'参数'!$B$42*P226)/'参数'!$J$6+((R226*'参数'!$B$45*(1+'参数'!$B$39*P226))^2/((R226*'参数'!$B$45*(1+'参数'!$B$39*P226))+'参数'!$B$22*(M226)))/'参数'!$B$46)+((S226*(1+'参数'!$B$39*P226))^2/((S226*(1+'参数'!$B$39*P226))+'参数'!$B$22*(M226)))*(1+'参数'!$B$42*P226)/'参数'!$J$7)*(1+'参数'!$B$37*('参数'!$B$38-1))</x:f>
        <x:v>27183.555188116585</x:v>
      </x:c>
      <x:c r="X226" s="25" t="n">
        <x:f>('参数'!$B$26+'参数'!$B$27*(D226-1)/99)*'参数'!$K$27*AD226</x:f>
        <x:v>18.8</x:v>
      </x:c>
      <x:c r="Y226" s="25" t="n">
        <x:f>('参数'!$B$28+'参数'!$B$29*(D226-1)/99)*'参数'!$K$27*AD226*IF(AE226=1,'参数'!$B$51,1)</x:f>
        <x:v>51.66666666666667</x:v>
      </x:c>
      <x:c r="Z226" s="21" t="n">
        <x:f>MIN('参数'!$B$36,U226/(U226+'参数'!$B$35))</x:f>
        <x:v>0.44895696323844714</x:v>
      </x:c>
      <x:c r="AA226" s="18" t="n">
        <x:f>T226*'参数'!$B$30/('参数'!$B$32*'参数'!$B$33)/(1-Z226)*AC226</x:f>
        <x:v>2899.5784972803885</x:v>
      </x:c>
      <x:c r="AB226" s="18" t="n">
        <x:f>T226*'参数'!$B$31/'参数'!$B$34/(1-Z226)*AC226</x:f>
        <x:v>5799.156994560777</x:v>
      </x:c>
      <x:c r="AC226" s="15" t="n">
        <x:f>'参数'!$L$27*1</x:f>
        <x:v>1.05</x:v>
      </x:c>
      <x:c r="AD226" s="15" t="n">
        <x:f>1</x:f>
        <x:v>1</x:v>
      </x:c>
      <x:c r="AE226" s="18" t="n">
        <x:f>IF(MOD(B226,12)=0,1,0)</x:f>
        <x:v>0</x:v>
      </x:c>
    </x:row>
    <x:row r="227" ht="22" customHeight="1">
      <x:c r="A227" s="19" t="str">
        <x:v>困难</x:v>
      </x:c>
      <x:c r="B227" s="19" t="n">
        <x:v>102</x:v>
      </x:c>
      <x:c r="C227" s="19" t="n">
        <x:f>ROUNDUP(B227/12,0)</x:f>
        <x:v>9</x:v>
      </x:c>
      <x:c r="D227" s="19" t="n">
        <x:f>ROUND(MAX('参数'!$G$27,E227)+(IF(C227&lt;10,INDEX('参数'!$G$35:$P$35,1,MIN(10,C227+1)),'参数'!$H$27)-MAX('参数'!$G$27,E227))*MOD(B227-1,12)/11,0)</x:f>
        <x:v>85</x:v>
      </x:c>
      <x:c r="E227" s="19" t="n">
        <x:f>INDEX('参数'!$G$35:$P$35,1,C227)</x:f>
        <x:v>85</x:v>
      </x:c>
      <x:c r="F227" s="20" t="n">
        <x:f>'参数'!$I$27</x:f>
        <x:v>1.1</x:v>
      </x:c>
      <x:c r="G227" s="19" t="n">
        <x:f>ROUND(V227*X227/'参数'!$B$56,0)</x:f>
        <x:v>144242</x:v>
      </x:c>
      <x:c r="H227" s="19" t="n">
        <x:f>ROUND((AA227+SQRT(AA227^2+4*AA227*'参数'!$B$22*U227))/2,0)</x:f>
        <x:v>5180</x:v>
      </x:c>
      <x:c r="I227" s="19" t="n">
        <x:f>ROUND(Q227*'参数'!$B$23/'参数'!$B$22,0)</x:f>
        <x:v>1050</x:v>
      </x:c>
      <x:c r="J227" s="19" t="n">
        <x:f>ROUND(G227*'参数'!$B$50,0)</x:f>
        <x:v>432726</x:v>
      </x:c>
      <x:c r="K227" s="19" t="n">
        <x:f>ROUND(W227*Y227,0)</x:f>
        <x:v>1404484</x:v>
      </x:c>
      <x:c r="L227" s="19" t="n">
        <x:f>ROUND((AB227+SQRT(AB227^2+4*AB227*'参数'!$B$22*U227))/2,0)</x:f>
        <x:v>8559</x:v>
      </x:c>
      <x:c r="M227" s="19" t="n">
        <x:f>ROUND(I227*'参数'!$B$24,0)</x:f>
        <x:v>1313</x:v>
      </x:c>
      <x:c r="N227" s="19" t="n">
        <x:f>'参数'!$B$9*'参数'!$B$10^(D227-1)</x:f>
        <x:v>7185.849640504808</x:v>
      </x:c>
      <x:c r="O227" s="19" t="n">
        <x:f>'参数'!$B$18*'参数'!$B$19^(MIN(E227,MAX(1,5*INT(D227/5)))-1)*F227*'参数'!$J$27*P227</x:f>
        <x:v>871.2525493855705</x:v>
      </x:c>
      <x:c r="P227" s="22" t="n">
        <x:f>MIN(1,(D227-1)/19)</x:f>
        <x:v>1</x:v>
      </x:c>
      <x:c r="Q227" s="19" t="n">
        <x:f>INDEX('角色成长'!$F$6:$F$105,D227)+O227*'参数'!$K$21</x:f>
        <x:v>5249.069765748876</x:v>
      </x:c>
      <x:c r="R227" s="19" t="n">
        <x:f>INDEX('角色成长'!$I$6:$I$105,D227)+O227*'参数'!$K$21</x:f>
        <x:v>4474.069765748876</x:v>
      </x:c>
      <x:c r="S227" s="19" t="n">
        <x:f>INDEX('角色成长'!$L$6:$L$105,D227)+O227*'参数'!$K$21</x:f>
        <x:v>4032.0697657488763</x:v>
      </x:c>
      <x:c r="T227" s="19" t="n">
        <x:f>(INDEX('角色成长'!$J$6:$J$105,D227)+O227*'参数'!$L$21)*(1+'参数'!$B$40*P227)</x:f>
        <x:v>60868.28725599564</x:v>
      </x:c>
      <x:c r="U227" s="19" t="n">
        <x:f>(INDEX('角色成长'!$K$6:$K$105,D227)+O227*'参数'!$M$21)*(1+'参数'!$B$41*P227)</x:f>
        <x:v>3258.961157567224</x:v>
      </x:c>
      <x:c r="V227" s="19" t="n">
        <x:f>(('参数'!$K$5*(((Q227*(1+'参数'!$B$39*P227))^2/((Q227*(1+'参数'!$B$39*P227))+'参数'!$B$22*(I227)))*(1+'参数'!$B$42*P227)/'参数'!$J$5+((Q227*'参数'!$B$43*(1+'参数'!$B$39*P227))^2/((Q227*'参数'!$B$43*(1+'参数'!$B$39*P227))+'参数'!$B$22*(I227)))/'参数'!$B$44))+(((R227*(1+'参数'!$B$39*P227))^2/((R227*(1+'参数'!$B$39*P227))+'参数'!$B$22*(I227)))*(1+'参数'!$B$42*P227)/'参数'!$J$6+((R227*'参数'!$B$45*(1+'参数'!$B$39*P227))^2/((R227*'参数'!$B$45*(1+'参数'!$B$39*P227))+'参数'!$B$22*(I227)))/'参数'!$B$46)+((S227*(1+'参数'!$B$39*P227))^2/((S227*(1+'参数'!$B$39*P227))+'参数'!$B$22*(I227)))*(1+'参数'!$B$42*P227)/'参数'!$J$7)*(1+'参数'!$B$37*('参数'!$B$38-1))*'参数'!$B$25</x:f>
        <x:v>35293.15645716733</x:v>
      </x:c>
      <x:c r="W227" s="19" t="n">
        <x:f>(('参数'!$K$5*(((Q227*(1+'参数'!$B$39*P227))^2/((Q227*(1+'参数'!$B$39*P227))+'参数'!$B$22*(M227)))*(1+'参数'!$B$42*P227)/'参数'!$J$5+((Q227*'参数'!$B$43*(1+'参数'!$B$39*P227))^2/((Q227*'参数'!$B$43*(1+'参数'!$B$39*P227))+'参数'!$B$22*(M227)))/'参数'!$B$44))+(((R227*(1+'参数'!$B$39*P227))^2/((R227*(1+'参数'!$B$39*P227))+'参数'!$B$22*(M227)))*(1+'参数'!$B$42*P227)/'参数'!$J$6+((R227*'参数'!$B$45*(1+'参数'!$B$39*P227))^2/((R227*'参数'!$B$45*(1+'参数'!$B$39*P227))+'参数'!$B$22*(M227)))/'参数'!$B$46)+((S227*(1+'参数'!$B$39*P227))^2/((S227*(1+'参数'!$B$39*P227))+'参数'!$B$22*(M227)))*(1+'参数'!$B$42*P227)/'参数'!$J$7)*(1+'参数'!$B$37*('参数'!$B$38-1))</x:f>
        <x:v>27183.555188116585</x:v>
      </x:c>
      <x:c r="X227" s="26" t="n">
        <x:f>('参数'!$B$26+'参数'!$B$27*(D227-1)/99)*'参数'!$K$27*AD227</x:f>
        <x:v>18.8</x:v>
      </x:c>
      <x:c r="Y227" s="26" t="n">
        <x:f>('参数'!$B$28+'参数'!$B$29*(D227-1)/99)*'参数'!$K$27*AD227*IF(AE227=1,'参数'!$B$51,1)</x:f>
        <x:v>51.66666666666667</x:v>
      </x:c>
      <x:c r="Z227" s="22" t="n">
        <x:f>MIN('参数'!$B$36,U227/(U227+'参数'!$B$35))</x:f>
        <x:v>0.44895696323844714</x:v>
      </x:c>
      <x:c r="AA227" s="19" t="n">
        <x:f>T227*'参数'!$B$30/('参数'!$B$32*'参数'!$B$33)/(1-Z227)*AC227</x:f>
        <x:v>2899.5784972803885</x:v>
      </x:c>
      <x:c r="AB227" s="19" t="n">
        <x:f>T227*'参数'!$B$31/'参数'!$B$34/(1-Z227)*AC227</x:f>
        <x:v>5799.156994560777</x:v>
      </x:c>
      <x:c r="AC227" s="20" t="n">
        <x:f>'参数'!$L$27*1</x:f>
        <x:v>1.05</x:v>
      </x:c>
      <x:c r="AD227" s="20" t="n">
        <x:f>1</x:f>
        <x:v>1</x:v>
      </x:c>
      <x:c r="AE227" s="19" t="n">
        <x:f>IF(MOD(B227,12)=0,1,0)</x:f>
        <x:v>0</x:v>
      </x:c>
    </x:row>
    <x:row r="228" ht="22" customHeight="1">
      <x:c r="A228" s="18" t="str">
        <x:v>困难</x:v>
      </x:c>
      <x:c r="B228" s="18" t="n">
        <x:v>103</x:v>
      </x:c>
      <x:c r="C228" s="18" t="n">
        <x:f>ROUNDUP(B228/12,0)</x:f>
        <x:v>9</x:v>
      </x:c>
      <x:c r="D228" s="18" t="n">
        <x:f>ROUND(MAX('参数'!$G$27,E228)+(IF(C228&lt;10,INDEX('参数'!$G$35:$P$35,1,MIN(10,C228+1)),'参数'!$H$27)-MAX('参数'!$G$27,E228))*MOD(B228-1,12)/11,0)</x:f>
        <x:v>85</x:v>
      </x:c>
      <x:c r="E228" s="18" t="n">
        <x:f>INDEX('参数'!$G$35:$P$35,1,C228)</x:f>
        <x:v>85</x:v>
      </x:c>
      <x:c r="F228" s="15" t="n">
        <x:f>'参数'!$I$27</x:f>
        <x:v>1.1</x:v>
      </x:c>
      <x:c r="G228" s="18" t="n">
        <x:f>ROUND(V228*X228/'参数'!$B$56,0)</x:f>
        <x:v>144242</x:v>
      </x:c>
      <x:c r="H228" s="18" t="n">
        <x:f>ROUND((AA228+SQRT(AA228^2+4*AA228*'参数'!$B$22*U228))/2,0)</x:f>
        <x:v>5180</x:v>
      </x:c>
      <x:c r="I228" s="18" t="n">
        <x:f>ROUND(Q228*'参数'!$B$23/'参数'!$B$22,0)</x:f>
        <x:v>1050</x:v>
      </x:c>
      <x:c r="J228" s="18" t="n">
        <x:f>ROUND(G228*'参数'!$B$50,0)</x:f>
        <x:v>432726</x:v>
      </x:c>
      <x:c r="K228" s="18" t="n">
        <x:f>ROUND(W228*Y228,0)</x:f>
        <x:v>1404484</x:v>
      </x:c>
      <x:c r="L228" s="18" t="n">
        <x:f>ROUND((AB228+SQRT(AB228^2+4*AB228*'参数'!$B$22*U228))/2,0)</x:f>
        <x:v>8559</x:v>
      </x:c>
      <x:c r="M228" s="18" t="n">
        <x:f>ROUND(I228*'参数'!$B$24,0)</x:f>
        <x:v>1313</x:v>
      </x:c>
      <x:c r="N228" s="18" t="n">
        <x:f>'参数'!$B$9*'参数'!$B$10^(D228-1)</x:f>
        <x:v>7185.849640504808</x:v>
      </x:c>
      <x:c r="O228" s="18" t="n">
        <x:f>'参数'!$B$18*'参数'!$B$19^(MIN(E228,MAX(1,5*INT(D228/5)))-1)*F228*'参数'!$J$27*P228</x:f>
        <x:v>871.2525493855705</x:v>
      </x:c>
      <x:c r="P228" s="21" t="n">
        <x:f>MIN(1,(D228-1)/19)</x:f>
        <x:v>1</x:v>
      </x:c>
      <x:c r="Q228" s="18" t="n">
        <x:f>INDEX('角色成长'!$F$6:$F$105,D228)+O228*'参数'!$K$21</x:f>
        <x:v>5249.069765748876</x:v>
      </x:c>
      <x:c r="R228" s="18" t="n">
        <x:f>INDEX('角色成长'!$I$6:$I$105,D228)+O228*'参数'!$K$21</x:f>
        <x:v>4474.069765748876</x:v>
      </x:c>
      <x:c r="S228" s="18" t="n">
        <x:f>INDEX('角色成长'!$L$6:$L$105,D228)+O228*'参数'!$K$21</x:f>
        <x:v>4032.0697657488763</x:v>
      </x:c>
      <x:c r="T228" s="18" t="n">
        <x:f>(INDEX('角色成长'!$J$6:$J$105,D228)+O228*'参数'!$L$21)*(1+'参数'!$B$40*P228)</x:f>
        <x:v>60868.28725599564</x:v>
      </x:c>
      <x:c r="U228" s="18" t="n">
        <x:f>(INDEX('角色成长'!$K$6:$K$105,D228)+O228*'参数'!$M$21)*(1+'参数'!$B$41*P228)</x:f>
        <x:v>3258.961157567224</x:v>
      </x:c>
      <x:c r="V228" s="18" t="n">
        <x:f>(('参数'!$K$5*(((Q228*(1+'参数'!$B$39*P228))^2/((Q228*(1+'参数'!$B$39*P228))+'参数'!$B$22*(I228)))*(1+'参数'!$B$42*P228)/'参数'!$J$5+((Q228*'参数'!$B$43*(1+'参数'!$B$39*P228))^2/((Q228*'参数'!$B$43*(1+'参数'!$B$39*P228))+'参数'!$B$22*(I228)))/'参数'!$B$44))+(((R228*(1+'参数'!$B$39*P228))^2/((R228*(1+'参数'!$B$39*P228))+'参数'!$B$22*(I228)))*(1+'参数'!$B$42*P228)/'参数'!$J$6+((R228*'参数'!$B$45*(1+'参数'!$B$39*P228))^2/((R228*'参数'!$B$45*(1+'参数'!$B$39*P228))+'参数'!$B$22*(I228)))/'参数'!$B$46)+((S228*(1+'参数'!$B$39*P228))^2/((S228*(1+'参数'!$B$39*P228))+'参数'!$B$22*(I228)))*(1+'参数'!$B$42*P228)/'参数'!$J$7)*(1+'参数'!$B$37*('参数'!$B$38-1))*'参数'!$B$25</x:f>
        <x:v>35293.15645716733</x:v>
      </x:c>
      <x:c r="W228" s="18" t="n">
        <x:f>(('参数'!$K$5*(((Q228*(1+'参数'!$B$39*P228))^2/((Q228*(1+'参数'!$B$39*P228))+'参数'!$B$22*(M228)))*(1+'参数'!$B$42*P228)/'参数'!$J$5+((Q228*'参数'!$B$43*(1+'参数'!$B$39*P228))^2/((Q228*'参数'!$B$43*(1+'参数'!$B$39*P228))+'参数'!$B$22*(M228)))/'参数'!$B$44))+(((R228*(1+'参数'!$B$39*P228))^2/((R228*(1+'参数'!$B$39*P228))+'参数'!$B$22*(M228)))*(1+'参数'!$B$42*P228)/'参数'!$J$6+((R228*'参数'!$B$45*(1+'参数'!$B$39*P228))^2/((R228*'参数'!$B$45*(1+'参数'!$B$39*P228))+'参数'!$B$22*(M228)))/'参数'!$B$46)+((S228*(1+'参数'!$B$39*P228))^2/((S228*(1+'参数'!$B$39*P228))+'参数'!$B$22*(M228)))*(1+'参数'!$B$42*P228)/'参数'!$J$7)*(1+'参数'!$B$37*('参数'!$B$38-1))</x:f>
        <x:v>27183.555188116585</x:v>
      </x:c>
      <x:c r="X228" s="25" t="n">
        <x:f>('参数'!$B$26+'参数'!$B$27*(D228-1)/99)*'参数'!$K$27*AD228</x:f>
        <x:v>18.8</x:v>
      </x:c>
      <x:c r="Y228" s="25" t="n">
        <x:f>('参数'!$B$28+'参数'!$B$29*(D228-1)/99)*'参数'!$K$27*AD228*IF(AE228=1,'参数'!$B$51,1)</x:f>
        <x:v>51.66666666666667</x:v>
      </x:c>
      <x:c r="Z228" s="21" t="n">
        <x:f>MIN('参数'!$B$36,U228/(U228+'参数'!$B$35))</x:f>
        <x:v>0.44895696323844714</x:v>
      </x:c>
      <x:c r="AA228" s="18" t="n">
        <x:f>T228*'参数'!$B$30/('参数'!$B$32*'参数'!$B$33)/(1-Z228)*AC228</x:f>
        <x:v>2899.5784972803885</x:v>
      </x:c>
      <x:c r="AB228" s="18" t="n">
        <x:f>T228*'参数'!$B$31/'参数'!$B$34/(1-Z228)*AC228</x:f>
        <x:v>5799.156994560777</x:v>
      </x:c>
      <x:c r="AC228" s="15" t="n">
        <x:f>'参数'!$L$27*1</x:f>
        <x:v>1.05</x:v>
      </x:c>
      <x:c r="AD228" s="15" t="n">
        <x:f>1</x:f>
        <x:v>1</x:v>
      </x:c>
      <x:c r="AE228" s="18" t="n">
        <x:f>IF(MOD(B228,12)=0,1,0)</x:f>
        <x:v>0</x:v>
      </x:c>
    </x:row>
    <x:row r="229" ht="22" customHeight="1">
      <x:c r="A229" s="19" t="str">
        <x:v>困难</x:v>
      </x:c>
      <x:c r="B229" s="19" t="n">
        <x:v>104</x:v>
      </x:c>
      <x:c r="C229" s="19" t="n">
        <x:f>ROUNDUP(B229/12,0)</x:f>
        <x:v>9</x:v>
      </x:c>
      <x:c r="D229" s="19" t="n">
        <x:f>ROUND(MAX('参数'!$G$27,E229)+(IF(C229&lt;10,INDEX('参数'!$G$35:$P$35,1,MIN(10,C229+1)),'参数'!$H$27)-MAX('参数'!$G$27,E229))*MOD(B229-1,12)/11,0)</x:f>
        <x:v>85</x:v>
      </x:c>
      <x:c r="E229" s="19" t="n">
        <x:f>INDEX('参数'!$G$35:$P$35,1,C229)</x:f>
        <x:v>85</x:v>
      </x:c>
      <x:c r="F229" s="20" t="n">
        <x:f>'参数'!$I$27</x:f>
        <x:v>1.1</x:v>
      </x:c>
      <x:c r="G229" s="19" t="n">
        <x:f>ROUND(V229*X229/'参数'!$B$56,0)</x:f>
        <x:v>144242</x:v>
      </x:c>
      <x:c r="H229" s="19" t="n">
        <x:f>ROUND((AA229+SQRT(AA229^2+4*AA229*'参数'!$B$22*U229))/2,0)</x:f>
        <x:v>5180</x:v>
      </x:c>
      <x:c r="I229" s="19" t="n">
        <x:f>ROUND(Q229*'参数'!$B$23/'参数'!$B$22,0)</x:f>
        <x:v>1050</x:v>
      </x:c>
      <x:c r="J229" s="19" t="n">
        <x:f>ROUND(G229*'参数'!$B$50,0)</x:f>
        <x:v>432726</x:v>
      </x:c>
      <x:c r="K229" s="19" t="n">
        <x:f>ROUND(W229*Y229,0)</x:f>
        <x:v>1404484</x:v>
      </x:c>
      <x:c r="L229" s="19" t="n">
        <x:f>ROUND((AB229+SQRT(AB229^2+4*AB229*'参数'!$B$22*U229))/2,0)</x:f>
        <x:v>8559</x:v>
      </x:c>
      <x:c r="M229" s="19" t="n">
        <x:f>ROUND(I229*'参数'!$B$24,0)</x:f>
        <x:v>1313</x:v>
      </x:c>
      <x:c r="N229" s="19" t="n">
        <x:f>'参数'!$B$9*'参数'!$B$10^(D229-1)</x:f>
        <x:v>7185.849640504808</x:v>
      </x:c>
      <x:c r="O229" s="19" t="n">
        <x:f>'参数'!$B$18*'参数'!$B$19^(MIN(E229,MAX(1,5*INT(D229/5)))-1)*F229*'参数'!$J$27*P229</x:f>
        <x:v>871.2525493855705</x:v>
      </x:c>
      <x:c r="P229" s="22" t="n">
        <x:f>MIN(1,(D229-1)/19)</x:f>
        <x:v>1</x:v>
      </x:c>
      <x:c r="Q229" s="19" t="n">
        <x:f>INDEX('角色成长'!$F$6:$F$105,D229)+O229*'参数'!$K$21</x:f>
        <x:v>5249.069765748876</x:v>
      </x:c>
      <x:c r="R229" s="19" t="n">
        <x:f>INDEX('角色成长'!$I$6:$I$105,D229)+O229*'参数'!$K$21</x:f>
        <x:v>4474.069765748876</x:v>
      </x:c>
      <x:c r="S229" s="19" t="n">
        <x:f>INDEX('角色成长'!$L$6:$L$105,D229)+O229*'参数'!$K$21</x:f>
        <x:v>4032.0697657488763</x:v>
      </x:c>
      <x:c r="T229" s="19" t="n">
        <x:f>(INDEX('角色成长'!$J$6:$J$105,D229)+O229*'参数'!$L$21)*(1+'参数'!$B$40*P229)</x:f>
        <x:v>60868.28725599564</x:v>
      </x:c>
      <x:c r="U229" s="19" t="n">
        <x:f>(INDEX('角色成长'!$K$6:$K$105,D229)+O229*'参数'!$M$21)*(1+'参数'!$B$41*P229)</x:f>
        <x:v>3258.961157567224</x:v>
      </x:c>
      <x:c r="V229" s="19" t="n">
        <x:f>(('参数'!$K$5*(((Q229*(1+'参数'!$B$39*P229))^2/((Q229*(1+'参数'!$B$39*P229))+'参数'!$B$22*(I229)))*(1+'参数'!$B$42*P229)/'参数'!$J$5+((Q229*'参数'!$B$43*(1+'参数'!$B$39*P229))^2/((Q229*'参数'!$B$43*(1+'参数'!$B$39*P229))+'参数'!$B$22*(I229)))/'参数'!$B$44))+(((R229*(1+'参数'!$B$39*P229))^2/((R229*(1+'参数'!$B$39*P229))+'参数'!$B$22*(I229)))*(1+'参数'!$B$42*P229)/'参数'!$J$6+((R229*'参数'!$B$45*(1+'参数'!$B$39*P229))^2/((R229*'参数'!$B$45*(1+'参数'!$B$39*P229))+'参数'!$B$22*(I229)))/'参数'!$B$46)+((S229*(1+'参数'!$B$39*P229))^2/((S229*(1+'参数'!$B$39*P229))+'参数'!$B$22*(I229)))*(1+'参数'!$B$42*P229)/'参数'!$J$7)*(1+'参数'!$B$37*('参数'!$B$38-1))*'参数'!$B$25</x:f>
        <x:v>35293.15645716733</x:v>
      </x:c>
      <x:c r="W229" s="19" t="n">
        <x:f>(('参数'!$K$5*(((Q229*(1+'参数'!$B$39*P229))^2/((Q229*(1+'参数'!$B$39*P229))+'参数'!$B$22*(M229)))*(1+'参数'!$B$42*P229)/'参数'!$J$5+((Q229*'参数'!$B$43*(1+'参数'!$B$39*P229))^2/((Q229*'参数'!$B$43*(1+'参数'!$B$39*P229))+'参数'!$B$22*(M229)))/'参数'!$B$44))+(((R229*(1+'参数'!$B$39*P229))^2/((R229*(1+'参数'!$B$39*P229))+'参数'!$B$22*(M229)))*(1+'参数'!$B$42*P229)/'参数'!$J$6+((R229*'参数'!$B$45*(1+'参数'!$B$39*P229))^2/((R229*'参数'!$B$45*(1+'参数'!$B$39*P229))+'参数'!$B$22*(M229)))/'参数'!$B$46)+((S229*(1+'参数'!$B$39*P229))^2/((S229*(1+'参数'!$B$39*P229))+'参数'!$B$22*(M229)))*(1+'参数'!$B$42*P229)/'参数'!$J$7)*(1+'参数'!$B$37*('参数'!$B$38-1))</x:f>
        <x:v>27183.555188116585</x:v>
      </x:c>
      <x:c r="X229" s="26" t="n">
        <x:f>('参数'!$B$26+'参数'!$B$27*(D229-1)/99)*'参数'!$K$27*AD229</x:f>
        <x:v>18.8</x:v>
      </x:c>
      <x:c r="Y229" s="26" t="n">
        <x:f>('参数'!$B$28+'参数'!$B$29*(D229-1)/99)*'参数'!$K$27*AD229*IF(AE229=1,'参数'!$B$51,1)</x:f>
        <x:v>51.66666666666667</x:v>
      </x:c>
      <x:c r="Z229" s="22" t="n">
        <x:f>MIN('参数'!$B$36,U229/(U229+'参数'!$B$35))</x:f>
        <x:v>0.44895696323844714</x:v>
      </x:c>
      <x:c r="AA229" s="19" t="n">
        <x:f>T229*'参数'!$B$30/('参数'!$B$32*'参数'!$B$33)/(1-Z229)*AC229</x:f>
        <x:v>2899.5784972803885</x:v>
      </x:c>
      <x:c r="AB229" s="19" t="n">
        <x:f>T229*'参数'!$B$31/'参数'!$B$34/(1-Z229)*AC229</x:f>
        <x:v>5799.156994560777</x:v>
      </x:c>
      <x:c r="AC229" s="20" t="n">
        <x:f>'参数'!$L$27*1</x:f>
        <x:v>1.05</x:v>
      </x:c>
      <x:c r="AD229" s="20" t="n">
        <x:f>1</x:f>
        <x:v>1</x:v>
      </x:c>
      <x:c r="AE229" s="19" t="n">
        <x:f>IF(MOD(B229,12)=0,1,0)</x:f>
        <x:v>0</x:v>
      </x:c>
    </x:row>
    <x:row r="230" ht="22" customHeight="1">
      <x:c r="A230" s="18" t="str">
        <x:v>困难</x:v>
      </x:c>
      <x:c r="B230" s="18" t="n">
        <x:v>105</x:v>
      </x:c>
      <x:c r="C230" s="18" t="n">
        <x:f>ROUNDUP(B230/12,0)</x:f>
        <x:v>9</x:v>
      </x:c>
      <x:c r="D230" s="18" t="n">
        <x:f>ROUND(MAX('参数'!$G$27,E230)+(IF(C230&lt;10,INDEX('参数'!$G$35:$P$35,1,MIN(10,C230+1)),'参数'!$H$27)-MAX('参数'!$G$27,E230))*MOD(B230-1,12)/11,0)</x:f>
        <x:v>85</x:v>
      </x:c>
      <x:c r="E230" s="18" t="n">
        <x:f>INDEX('参数'!$G$35:$P$35,1,C230)</x:f>
        <x:v>85</x:v>
      </x:c>
      <x:c r="F230" s="15" t="n">
        <x:f>'参数'!$I$27</x:f>
        <x:v>1.1</x:v>
      </x:c>
      <x:c r="G230" s="18" t="n">
        <x:f>ROUND(V230*X230/'参数'!$B$56,0)</x:f>
        <x:v>144242</x:v>
      </x:c>
      <x:c r="H230" s="18" t="n">
        <x:f>ROUND((AA230+SQRT(AA230^2+4*AA230*'参数'!$B$22*U230))/2,0)</x:f>
        <x:v>5180</x:v>
      </x:c>
      <x:c r="I230" s="18" t="n">
        <x:f>ROUND(Q230*'参数'!$B$23/'参数'!$B$22,0)</x:f>
        <x:v>1050</x:v>
      </x:c>
      <x:c r="J230" s="18" t="n">
        <x:f>ROUND(G230*'参数'!$B$50,0)</x:f>
        <x:v>432726</x:v>
      </x:c>
      <x:c r="K230" s="18" t="n">
        <x:f>ROUND(W230*Y230,0)</x:f>
        <x:v>1404484</x:v>
      </x:c>
      <x:c r="L230" s="18" t="n">
        <x:f>ROUND((AB230+SQRT(AB230^2+4*AB230*'参数'!$B$22*U230))/2,0)</x:f>
        <x:v>8559</x:v>
      </x:c>
      <x:c r="M230" s="18" t="n">
        <x:f>ROUND(I230*'参数'!$B$24,0)</x:f>
        <x:v>1313</x:v>
      </x:c>
      <x:c r="N230" s="18" t="n">
        <x:f>'参数'!$B$9*'参数'!$B$10^(D230-1)</x:f>
        <x:v>7185.849640504808</x:v>
      </x:c>
      <x:c r="O230" s="18" t="n">
        <x:f>'参数'!$B$18*'参数'!$B$19^(MIN(E230,MAX(1,5*INT(D230/5)))-1)*F230*'参数'!$J$27*P230</x:f>
        <x:v>871.2525493855705</x:v>
      </x:c>
      <x:c r="P230" s="21" t="n">
        <x:f>MIN(1,(D230-1)/19)</x:f>
        <x:v>1</x:v>
      </x:c>
      <x:c r="Q230" s="18" t="n">
        <x:f>INDEX('角色成长'!$F$6:$F$105,D230)+O230*'参数'!$K$21</x:f>
        <x:v>5249.069765748876</x:v>
      </x:c>
      <x:c r="R230" s="18" t="n">
        <x:f>INDEX('角色成长'!$I$6:$I$105,D230)+O230*'参数'!$K$21</x:f>
        <x:v>4474.069765748876</x:v>
      </x:c>
      <x:c r="S230" s="18" t="n">
        <x:f>INDEX('角色成长'!$L$6:$L$105,D230)+O230*'参数'!$K$21</x:f>
        <x:v>4032.0697657488763</x:v>
      </x:c>
      <x:c r="T230" s="18" t="n">
        <x:f>(INDEX('角色成长'!$J$6:$J$105,D230)+O230*'参数'!$L$21)*(1+'参数'!$B$40*P230)</x:f>
        <x:v>60868.28725599564</x:v>
      </x:c>
      <x:c r="U230" s="18" t="n">
        <x:f>(INDEX('角色成长'!$K$6:$K$105,D230)+O230*'参数'!$M$21)*(1+'参数'!$B$41*P230)</x:f>
        <x:v>3258.961157567224</x:v>
      </x:c>
      <x:c r="V230" s="18" t="n">
        <x:f>(('参数'!$K$5*(((Q230*(1+'参数'!$B$39*P230))^2/((Q230*(1+'参数'!$B$39*P230))+'参数'!$B$22*(I230)))*(1+'参数'!$B$42*P230)/'参数'!$J$5+((Q230*'参数'!$B$43*(1+'参数'!$B$39*P230))^2/((Q230*'参数'!$B$43*(1+'参数'!$B$39*P230))+'参数'!$B$22*(I230)))/'参数'!$B$44))+(((R230*(1+'参数'!$B$39*P230))^2/((R230*(1+'参数'!$B$39*P230))+'参数'!$B$22*(I230)))*(1+'参数'!$B$42*P230)/'参数'!$J$6+((R230*'参数'!$B$45*(1+'参数'!$B$39*P230))^2/((R230*'参数'!$B$45*(1+'参数'!$B$39*P230))+'参数'!$B$22*(I230)))/'参数'!$B$46)+((S230*(1+'参数'!$B$39*P230))^2/((S230*(1+'参数'!$B$39*P230))+'参数'!$B$22*(I230)))*(1+'参数'!$B$42*P230)/'参数'!$J$7)*(1+'参数'!$B$37*('参数'!$B$38-1))*'参数'!$B$25</x:f>
        <x:v>35293.15645716733</x:v>
      </x:c>
      <x:c r="W230" s="18" t="n">
        <x:f>(('参数'!$K$5*(((Q230*(1+'参数'!$B$39*P230))^2/((Q230*(1+'参数'!$B$39*P230))+'参数'!$B$22*(M230)))*(1+'参数'!$B$42*P230)/'参数'!$J$5+((Q230*'参数'!$B$43*(1+'参数'!$B$39*P230))^2/((Q230*'参数'!$B$43*(1+'参数'!$B$39*P230))+'参数'!$B$22*(M230)))/'参数'!$B$44))+(((R230*(1+'参数'!$B$39*P230))^2/((R230*(1+'参数'!$B$39*P230))+'参数'!$B$22*(M230)))*(1+'参数'!$B$42*P230)/'参数'!$J$6+((R230*'参数'!$B$45*(1+'参数'!$B$39*P230))^2/((R230*'参数'!$B$45*(1+'参数'!$B$39*P230))+'参数'!$B$22*(M230)))/'参数'!$B$46)+((S230*(1+'参数'!$B$39*P230))^2/((S230*(1+'参数'!$B$39*P230))+'参数'!$B$22*(M230)))*(1+'参数'!$B$42*P230)/'参数'!$J$7)*(1+'参数'!$B$37*('参数'!$B$38-1))</x:f>
        <x:v>27183.555188116585</x:v>
      </x:c>
      <x:c r="X230" s="25" t="n">
        <x:f>('参数'!$B$26+'参数'!$B$27*(D230-1)/99)*'参数'!$K$27*AD230</x:f>
        <x:v>18.8</x:v>
      </x:c>
      <x:c r="Y230" s="25" t="n">
        <x:f>('参数'!$B$28+'参数'!$B$29*(D230-1)/99)*'参数'!$K$27*AD230*IF(AE230=1,'参数'!$B$51,1)</x:f>
        <x:v>51.66666666666667</x:v>
      </x:c>
      <x:c r="Z230" s="21" t="n">
        <x:f>MIN('参数'!$B$36,U230/(U230+'参数'!$B$35))</x:f>
        <x:v>0.44895696323844714</x:v>
      </x:c>
      <x:c r="AA230" s="18" t="n">
        <x:f>T230*'参数'!$B$30/('参数'!$B$32*'参数'!$B$33)/(1-Z230)*AC230</x:f>
        <x:v>2899.5784972803885</x:v>
      </x:c>
      <x:c r="AB230" s="18" t="n">
        <x:f>T230*'参数'!$B$31/'参数'!$B$34/(1-Z230)*AC230</x:f>
        <x:v>5799.156994560777</x:v>
      </x:c>
      <x:c r="AC230" s="15" t="n">
        <x:f>'参数'!$L$27*1</x:f>
        <x:v>1.05</x:v>
      </x:c>
      <x:c r="AD230" s="15" t="n">
        <x:f>1</x:f>
        <x:v>1</x:v>
      </x:c>
      <x:c r="AE230" s="18" t="n">
        <x:f>IF(MOD(B230,12)=0,1,0)</x:f>
        <x:v>0</x:v>
      </x:c>
    </x:row>
    <x:row r="231" ht="22" customHeight="1">
      <x:c r="A231" s="19" t="str">
        <x:v>困难</x:v>
      </x:c>
      <x:c r="B231" s="19" t="n">
        <x:v>106</x:v>
      </x:c>
      <x:c r="C231" s="19" t="n">
        <x:f>ROUNDUP(B231/12,0)</x:f>
        <x:v>9</x:v>
      </x:c>
      <x:c r="D231" s="19" t="n">
        <x:f>ROUND(MAX('参数'!$G$27,E231)+(IF(C231&lt;10,INDEX('参数'!$G$35:$P$35,1,MIN(10,C231+1)),'参数'!$H$27)-MAX('参数'!$G$27,E231))*MOD(B231-1,12)/11,0)</x:f>
        <x:v>85</x:v>
      </x:c>
      <x:c r="E231" s="19" t="n">
        <x:f>INDEX('参数'!$G$35:$P$35,1,C231)</x:f>
        <x:v>85</x:v>
      </x:c>
      <x:c r="F231" s="20" t="n">
        <x:f>'参数'!$I$27</x:f>
        <x:v>1.1</x:v>
      </x:c>
      <x:c r="G231" s="19" t="n">
        <x:f>ROUND(V231*X231/'参数'!$B$56,0)</x:f>
        <x:v>144242</x:v>
      </x:c>
      <x:c r="H231" s="19" t="n">
        <x:f>ROUND((AA231+SQRT(AA231^2+4*AA231*'参数'!$B$22*U231))/2,0)</x:f>
        <x:v>5180</x:v>
      </x:c>
      <x:c r="I231" s="19" t="n">
        <x:f>ROUND(Q231*'参数'!$B$23/'参数'!$B$22,0)</x:f>
        <x:v>1050</x:v>
      </x:c>
      <x:c r="J231" s="19" t="n">
        <x:f>ROUND(G231*'参数'!$B$50,0)</x:f>
        <x:v>432726</x:v>
      </x:c>
      <x:c r="K231" s="19" t="n">
        <x:f>ROUND(W231*Y231,0)</x:f>
        <x:v>1404484</x:v>
      </x:c>
      <x:c r="L231" s="19" t="n">
        <x:f>ROUND((AB231+SQRT(AB231^2+4*AB231*'参数'!$B$22*U231))/2,0)</x:f>
        <x:v>8559</x:v>
      </x:c>
      <x:c r="M231" s="19" t="n">
        <x:f>ROUND(I231*'参数'!$B$24,0)</x:f>
        <x:v>1313</x:v>
      </x:c>
      <x:c r="N231" s="19" t="n">
        <x:f>'参数'!$B$9*'参数'!$B$10^(D231-1)</x:f>
        <x:v>7185.849640504808</x:v>
      </x:c>
      <x:c r="O231" s="19" t="n">
        <x:f>'参数'!$B$18*'参数'!$B$19^(MIN(E231,MAX(1,5*INT(D231/5)))-1)*F231*'参数'!$J$27*P231</x:f>
        <x:v>871.2525493855705</x:v>
      </x:c>
      <x:c r="P231" s="22" t="n">
        <x:f>MIN(1,(D231-1)/19)</x:f>
        <x:v>1</x:v>
      </x:c>
      <x:c r="Q231" s="19" t="n">
        <x:f>INDEX('角色成长'!$F$6:$F$105,D231)+O231*'参数'!$K$21</x:f>
        <x:v>5249.069765748876</x:v>
      </x:c>
      <x:c r="R231" s="19" t="n">
        <x:f>INDEX('角色成长'!$I$6:$I$105,D231)+O231*'参数'!$K$21</x:f>
        <x:v>4474.069765748876</x:v>
      </x:c>
      <x:c r="S231" s="19" t="n">
        <x:f>INDEX('角色成长'!$L$6:$L$105,D231)+O231*'参数'!$K$21</x:f>
        <x:v>4032.0697657488763</x:v>
      </x:c>
      <x:c r="T231" s="19" t="n">
        <x:f>(INDEX('角色成长'!$J$6:$J$105,D231)+O231*'参数'!$L$21)*(1+'参数'!$B$40*P231)</x:f>
        <x:v>60868.28725599564</x:v>
      </x:c>
      <x:c r="U231" s="19" t="n">
        <x:f>(INDEX('角色成长'!$K$6:$K$105,D231)+O231*'参数'!$M$21)*(1+'参数'!$B$41*P231)</x:f>
        <x:v>3258.961157567224</x:v>
      </x:c>
      <x:c r="V231" s="19" t="n">
        <x:f>(('参数'!$K$5*(((Q231*(1+'参数'!$B$39*P231))^2/((Q231*(1+'参数'!$B$39*P231))+'参数'!$B$22*(I231)))*(1+'参数'!$B$42*P231)/'参数'!$J$5+((Q231*'参数'!$B$43*(1+'参数'!$B$39*P231))^2/((Q231*'参数'!$B$43*(1+'参数'!$B$39*P231))+'参数'!$B$22*(I231)))/'参数'!$B$44))+(((R231*(1+'参数'!$B$39*P231))^2/((R231*(1+'参数'!$B$39*P231))+'参数'!$B$22*(I231)))*(1+'参数'!$B$42*P231)/'参数'!$J$6+((R231*'参数'!$B$45*(1+'参数'!$B$39*P231))^2/((R231*'参数'!$B$45*(1+'参数'!$B$39*P231))+'参数'!$B$22*(I231)))/'参数'!$B$46)+((S231*(1+'参数'!$B$39*P231))^2/((S231*(1+'参数'!$B$39*P231))+'参数'!$B$22*(I231)))*(1+'参数'!$B$42*P231)/'参数'!$J$7)*(1+'参数'!$B$37*('参数'!$B$38-1))*'参数'!$B$25</x:f>
        <x:v>35293.15645716733</x:v>
      </x:c>
      <x:c r="W231" s="19" t="n">
        <x:f>(('参数'!$K$5*(((Q231*(1+'参数'!$B$39*P231))^2/((Q231*(1+'参数'!$B$39*P231))+'参数'!$B$22*(M231)))*(1+'参数'!$B$42*P231)/'参数'!$J$5+((Q231*'参数'!$B$43*(1+'参数'!$B$39*P231))^2/((Q231*'参数'!$B$43*(1+'参数'!$B$39*P231))+'参数'!$B$22*(M231)))/'参数'!$B$44))+(((R231*(1+'参数'!$B$39*P231))^2/((R231*(1+'参数'!$B$39*P231))+'参数'!$B$22*(M231)))*(1+'参数'!$B$42*P231)/'参数'!$J$6+((R231*'参数'!$B$45*(1+'参数'!$B$39*P231))^2/((R231*'参数'!$B$45*(1+'参数'!$B$39*P231))+'参数'!$B$22*(M231)))/'参数'!$B$46)+((S231*(1+'参数'!$B$39*P231))^2/((S231*(1+'参数'!$B$39*P231))+'参数'!$B$22*(M231)))*(1+'参数'!$B$42*P231)/'参数'!$J$7)*(1+'参数'!$B$37*('参数'!$B$38-1))</x:f>
        <x:v>27183.555188116585</x:v>
      </x:c>
      <x:c r="X231" s="26" t="n">
        <x:f>('参数'!$B$26+'参数'!$B$27*(D231-1)/99)*'参数'!$K$27*AD231</x:f>
        <x:v>18.8</x:v>
      </x:c>
      <x:c r="Y231" s="26" t="n">
        <x:f>('参数'!$B$28+'参数'!$B$29*(D231-1)/99)*'参数'!$K$27*AD231*IF(AE231=1,'参数'!$B$51,1)</x:f>
        <x:v>51.66666666666667</x:v>
      </x:c>
      <x:c r="Z231" s="22" t="n">
        <x:f>MIN('参数'!$B$36,U231/(U231+'参数'!$B$35))</x:f>
        <x:v>0.44895696323844714</x:v>
      </x:c>
      <x:c r="AA231" s="19" t="n">
        <x:f>T231*'参数'!$B$30/('参数'!$B$32*'参数'!$B$33)/(1-Z231)*AC231</x:f>
        <x:v>2899.5784972803885</x:v>
      </x:c>
      <x:c r="AB231" s="19" t="n">
        <x:f>T231*'参数'!$B$31/'参数'!$B$34/(1-Z231)*AC231</x:f>
        <x:v>5799.156994560777</x:v>
      </x:c>
      <x:c r="AC231" s="20" t="n">
        <x:f>'参数'!$L$27*1</x:f>
        <x:v>1.05</x:v>
      </x:c>
      <x:c r="AD231" s="20" t="n">
        <x:f>1</x:f>
        <x:v>1</x:v>
      </x:c>
      <x:c r="AE231" s="19" t="n">
        <x:f>IF(MOD(B231,12)=0,1,0)</x:f>
        <x:v>0</x:v>
      </x:c>
    </x:row>
    <x:row r="232" ht="22" customHeight="1">
      <x:c r="A232" s="18" t="str">
        <x:v>困难</x:v>
      </x:c>
      <x:c r="B232" s="18" t="n">
        <x:v>107</x:v>
      </x:c>
      <x:c r="C232" s="18" t="n">
        <x:f>ROUNDUP(B232/12,0)</x:f>
        <x:v>9</x:v>
      </x:c>
      <x:c r="D232" s="18" t="n">
        <x:f>ROUND(MAX('参数'!$G$27,E232)+(IF(C232&lt;10,INDEX('参数'!$G$35:$P$35,1,MIN(10,C232+1)),'参数'!$H$27)-MAX('参数'!$G$27,E232))*MOD(B232-1,12)/11,0)</x:f>
        <x:v>85</x:v>
      </x:c>
      <x:c r="E232" s="18" t="n">
        <x:f>INDEX('参数'!$G$35:$P$35,1,C232)</x:f>
        <x:v>85</x:v>
      </x:c>
      <x:c r="F232" s="15" t="n">
        <x:f>'参数'!$I$27</x:f>
        <x:v>1.1</x:v>
      </x:c>
      <x:c r="G232" s="18" t="n">
        <x:f>ROUND(V232*X232/'参数'!$B$56,0)</x:f>
        <x:v>144242</x:v>
      </x:c>
      <x:c r="H232" s="18" t="n">
        <x:f>ROUND((AA232+SQRT(AA232^2+4*AA232*'参数'!$B$22*U232))/2,0)</x:f>
        <x:v>5180</x:v>
      </x:c>
      <x:c r="I232" s="18" t="n">
        <x:f>ROUND(Q232*'参数'!$B$23/'参数'!$B$22,0)</x:f>
        <x:v>1050</x:v>
      </x:c>
      <x:c r="J232" s="18" t="n">
        <x:f>ROUND(G232*'参数'!$B$50,0)</x:f>
        <x:v>432726</x:v>
      </x:c>
      <x:c r="K232" s="18" t="n">
        <x:f>ROUND(W232*Y232,0)</x:f>
        <x:v>1404484</x:v>
      </x:c>
      <x:c r="L232" s="18" t="n">
        <x:f>ROUND((AB232+SQRT(AB232^2+4*AB232*'参数'!$B$22*U232))/2,0)</x:f>
        <x:v>8559</x:v>
      </x:c>
      <x:c r="M232" s="18" t="n">
        <x:f>ROUND(I232*'参数'!$B$24,0)</x:f>
        <x:v>1313</x:v>
      </x:c>
      <x:c r="N232" s="18" t="n">
        <x:f>'参数'!$B$9*'参数'!$B$10^(D232-1)</x:f>
        <x:v>7185.849640504808</x:v>
      </x:c>
      <x:c r="O232" s="18" t="n">
        <x:f>'参数'!$B$18*'参数'!$B$19^(MIN(E232,MAX(1,5*INT(D232/5)))-1)*F232*'参数'!$J$27*P232</x:f>
        <x:v>871.2525493855705</x:v>
      </x:c>
      <x:c r="P232" s="21" t="n">
        <x:f>MIN(1,(D232-1)/19)</x:f>
        <x:v>1</x:v>
      </x:c>
      <x:c r="Q232" s="18" t="n">
        <x:f>INDEX('角色成长'!$F$6:$F$105,D232)+O232*'参数'!$K$21</x:f>
        <x:v>5249.069765748876</x:v>
      </x:c>
      <x:c r="R232" s="18" t="n">
        <x:f>INDEX('角色成长'!$I$6:$I$105,D232)+O232*'参数'!$K$21</x:f>
        <x:v>4474.069765748876</x:v>
      </x:c>
      <x:c r="S232" s="18" t="n">
        <x:f>INDEX('角色成长'!$L$6:$L$105,D232)+O232*'参数'!$K$21</x:f>
        <x:v>4032.0697657488763</x:v>
      </x:c>
      <x:c r="T232" s="18" t="n">
        <x:f>(INDEX('角色成长'!$J$6:$J$105,D232)+O232*'参数'!$L$21)*(1+'参数'!$B$40*P232)</x:f>
        <x:v>60868.28725599564</x:v>
      </x:c>
      <x:c r="U232" s="18" t="n">
        <x:f>(INDEX('角色成长'!$K$6:$K$105,D232)+O232*'参数'!$M$21)*(1+'参数'!$B$41*P232)</x:f>
        <x:v>3258.961157567224</x:v>
      </x:c>
      <x:c r="V232" s="18" t="n">
        <x:f>(('参数'!$K$5*(((Q232*(1+'参数'!$B$39*P232))^2/((Q232*(1+'参数'!$B$39*P232))+'参数'!$B$22*(I232)))*(1+'参数'!$B$42*P232)/'参数'!$J$5+((Q232*'参数'!$B$43*(1+'参数'!$B$39*P232))^2/((Q232*'参数'!$B$43*(1+'参数'!$B$39*P232))+'参数'!$B$22*(I232)))/'参数'!$B$44))+(((R232*(1+'参数'!$B$39*P232))^2/((R232*(1+'参数'!$B$39*P232))+'参数'!$B$22*(I232)))*(1+'参数'!$B$42*P232)/'参数'!$J$6+((R232*'参数'!$B$45*(1+'参数'!$B$39*P232))^2/((R232*'参数'!$B$45*(1+'参数'!$B$39*P232))+'参数'!$B$22*(I232)))/'参数'!$B$46)+((S232*(1+'参数'!$B$39*P232))^2/((S232*(1+'参数'!$B$39*P232))+'参数'!$B$22*(I232)))*(1+'参数'!$B$42*P232)/'参数'!$J$7)*(1+'参数'!$B$37*('参数'!$B$38-1))*'参数'!$B$25</x:f>
        <x:v>35293.15645716733</x:v>
      </x:c>
      <x:c r="W232" s="18" t="n">
        <x:f>(('参数'!$K$5*(((Q232*(1+'参数'!$B$39*P232))^2/((Q232*(1+'参数'!$B$39*P232))+'参数'!$B$22*(M232)))*(1+'参数'!$B$42*P232)/'参数'!$J$5+((Q232*'参数'!$B$43*(1+'参数'!$B$39*P232))^2/((Q232*'参数'!$B$43*(1+'参数'!$B$39*P232))+'参数'!$B$22*(M232)))/'参数'!$B$44))+(((R232*(1+'参数'!$B$39*P232))^2/((R232*(1+'参数'!$B$39*P232))+'参数'!$B$22*(M232)))*(1+'参数'!$B$42*P232)/'参数'!$J$6+((R232*'参数'!$B$45*(1+'参数'!$B$39*P232))^2/((R232*'参数'!$B$45*(1+'参数'!$B$39*P232))+'参数'!$B$22*(M232)))/'参数'!$B$46)+((S232*(1+'参数'!$B$39*P232))^2/((S232*(1+'参数'!$B$39*P232))+'参数'!$B$22*(M232)))*(1+'参数'!$B$42*P232)/'参数'!$J$7)*(1+'参数'!$B$37*('参数'!$B$38-1))</x:f>
        <x:v>27183.555188116585</x:v>
      </x:c>
      <x:c r="X232" s="25" t="n">
        <x:f>('参数'!$B$26+'参数'!$B$27*(D232-1)/99)*'参数'!$K$27*AD232</x:f>
        <x:v>18.8</x:v>
      </x:c>
      <x:c r="Y232" s="25" t="n">
        <x:f>('参数'!$B$28+'参数'!$B$29*(D232-1)/99)*'参数'!$K$27*AD232*IF(AE232=1,'参数'!$B$51,1)</x:f>
        <x:v>51.66666666666667</x:v>
      </x:c>
      <x:c r="Z232" s="21" t="n">
        <x:f>MIN('参数'!$B$36,U232/(U232+'参数'!$B$35))</x:f>
        <x:v>0.44895696323844714</x:v>
      </x:c>
      <x:c r="AA232" s="18" t="n">
        <x:f>T232*'参数'!$B$30/('参数'!$B$32*'参数'!$B$33)/(1-Z232)*AC232</x:f>
        <x:v>2899.5784972803885</x:v>
      </x:c>
      <x:c r="AB232" s="18" t="n">
        <x:f>T232*'参数'!$B$31/'参数'!$B$34/(1-Z232)*AC232</x:f>
        <x:v>5799.156994560777</x:v>
      </x:c>
      <x:c r="AC232" s="15" t="n">
        <x:f>'参数'!$L$27*1</x:f>
        <x:v>1.05</x:v>
      </x:c>
      <x:c r="AD232" s="15" t="n">
        <x:f>1</x:f>
        <x:v>1</x:v>
      </x:c>
      <x:c r="AE232" s="18" t="n">
        <x:f>IF(MOD(B232,12)=0,1,0)</x:f>
        <x:v>0</x:v>
      </x:c>
    </x:row>
    <x:row r="233" ht="22" customHeight="1">
      <x:c r="A233" s="19" t="str">
        <x:v>困难</x:v>
      </x:c>
      <x:c r="B233" s="19" t="n">
        <x:v>108</x:v>
      </x:c>
      <x:c r="C233" s="19" t="n">
        <x:f>ROUNDUP(B233/12,0)</x:f>
        <x:v>9</x:v>
      </x:c>
      <x:c r="D233" s="19" t="n">
        <x:f>ROUND(MAX('参数'!$G$27,E233)+(IF(C233&lt;10,INDEX('参数'!$G$35:$P$35,1,MIN(10,C233+1)),'参数'!$H$27)-MAX('参数'!$G$27,E233))*MOD(B233-1,12)/11,0)</x:f>
        <x:v>85</x:v>
      </x:c>
      <x:c r="E233" s="19" t="n">
        <x:f>INDEX('参数'!$G$35:$P$35,1,C233)</x:f>
        <x:v>85</x:v>
      </x:c>
      <x:c r="F233" s="20" t="n">
        <x:f>'参数'!$I$27</x:f>
        <x:v>1.1</x:v>
      </x:c>
      <x:c r="G233" s="19" t="n">
        <x:f>ROUND(V233*X233/'参数'!$B$56,0)</x:f>
        <x:v>144242</x:v>
      </x:c>
      <x:c r="H233" s="19" t="n">
        <x:f>ROUND((AA233+SQRT(AA233^2+4*AA233*'参数'!$B$22*U233))/2,0)</x:f>
        <x:v>5180</x:v>
      </x:c>
      <x:c r="I233" s="19" t="n">
        <x:f>ROUND(Q233*'参数'!$B$23/'参数'!$B$22,0)</x:f>
        <x:v>1050</x:v>
      </x:c>
      <x:c r="J233" s="19" t="n">
        <x:f>ROUND(G233*'参数'!$B$50,0)</x:f>
        <x:v>432726</x:v>
      </x:c>
      <x:c r="K233" s="19" t="n">
        <x:f>ROUND(W233*Y233,0)</x:f>
        <x:v>1615156</x:v>
      </x:c>
      <x:c r="L233" s="19" t="n">
        <x:f>ROUND((AB233+SQRT(AB233^2+4*AB233*'参数'!$B$22*U233))/2,0)</x:f>
        <x:v>8559</x:v>
      </x:c>
      <x:c r="M233" s="19" t="n">
        <x:f>ROUND(I233*'参数'!$B$24,0)</x:f>
        <x:v>1313</x:v>
      </x:c>
      <x:c r="N233" s="19" t="n">
        <x:f>'参数'!$B$9*'参数'!$B$10^(D233-1)</x:f>
        <x:v>7185.849640504808</x:v>
      </x:c>
      <x:c r="O233" s="19" t="n">
        <x:f>'参数'!$B$18*'参数'!$B$19^(MIN(E233,MAX(1,5*INT(D233/5)))-1)*F233*'参数'!$J$27*P233</x:f>
        <x:v>871.2525493855705</x:v>
      </x:c>
      <x:c r="P233" s="22" t="n">
        <x:f>MIN(1,(D233-1)/19)</x:f>
        <x:v>1</x:v>
      </x:c>
      <x:c r="Q233" s="19" t="n">
        <x:f>INDEX('角色成长'!$F$6:$F$105,D233)+O233*'参数'!$K$21</x:f>
        <x:v>5249.069765748876</x:v>
      </x:c>
      <x:c r="R233" s="19" t="n">
        <x:f>INDEX('角色成长'!$I$6:$I$105,D233)+O233*'参数'!$K$21</x:f>
        <x:v>4474.069765748876</x:v>
      </x:c>
      <x:c r="S233" s="19" t="n">
        <x:f>INDEX('角色成长'!$L$6:$L$105,D233)+O233*'参数'!$K$21</x:f>
        <x:v>4032.0697657488763</x:v>
      </x:c>
      <x:c r="T233" s="19" t="n">
        <x:f>(INDEX('角色成长'!$J$6:$J$105,D233)+O233*'参数'!$L$21)*(1+'参数'!$B$40*P233)</x:f>
        <x:v>60868.28725599564</x:v>
      </x:c>
      <x:c r="U233" s="19" t="n">
        <x:f>(INDEX('角色成长'!$K$6:$K$105,D233)+O233*'参数'!$M$21)*(1+'参数'!$B$41*P233)</x:f>
        <x:v>3258.961157567224</x:v>
      </x:c>
      <x:c r="V233" s="19" t="n">
        <x:f>(('参数'!$K$5*(((Q233*(1+'参数'!$B$39*P233))^2/((Q233*(1+'参数'!$B$39*P233))+'参数'!$B$22*(I233)))*(1+'参数'!$B$42*P233)/'参数'!$J$5+((Q233*'参数'!$B$43*(1+'参数'!$B$39*P233))^2/((Q233*'参数'!$B$43*(1+'参数'!$B$39*P233))+'参数'!$B$22*(I233)))/'参数'!$B$44))+(((R233*(1+'参数'!$B$39*P233))^2/((R233*(1+'参数'!$B$39*P233))+'参数'!$B$22*(I233)))*(1+'参数'!$B$42*P233)/'参数'!$J$6+((R233*'参数'!$B$45*(1+'参数'!$B$39*P233))^2/((R233*'参数'!$B$45*(1+'参数'!$B$39*P233))+'参数'!$B$22*(I233)))/'参数'!$B$46)+((S233*(1+'参数'!$B$39*P233))^2/((S233*(1+'参数'!$B$39*P233))+'参数'!$B$22*(I233)))*(1+'参数'!$B$42*P233)/'参数'!$J$7)*(1+'参数'!$B$37*('参数'!$B$38-1))*'参数'!$B$25</x:f>
        <x:v>35293.15645716733</x:v>
      </x:c>
      <x:c r="W233" s="19" t="n">
        <x:f>(('参数'!$K$5*(((Q233*(1+'参数'!$B$39*P233))^2/((Q233*(1+'参数'!$B$39*P233))+'参数'!$B$22*(M233)))*(1+'参数'!$B$42*P233)/'参数'!$J$5+((Q233*'参数'!$B$43*(1+'参数'!$B$39*P233))^2/((Q233*'参数'!$B$43*(1+'参数'!$B$39*P233))+'参数'!$B$22*(M233)))/'参数'!$B$44))+(((R233*(1+'参数'!$B$39*P233))^2/((R233*(1+'参数'!$B$39*P233))+'参数'!$B$22*(M233)))*(1+'参数'!$B$42*P233)/'参数'!$J$6+((R233*'参数'!$B$45*(1+'参数'!$B$39*P233))^2/((R233*'参数'!$B$45*(1+'参数'!$B$39*P233))+'参数'!$B$22*(M233)))/'参数'!$B$46)+((S233*(1+'参数'!$B$39*P233))^2/((S233*(1+'参数'!$B$39*P233))+'参数'!$B$22*(M233)))*(1+'参数'!$B$42*P233)/'参数'!$J$7)*(1+'参数'!$B$37*('参数'!$B$38-1))</x:f>
        <x:v>27183.555188116585</x:v>
      </x:c>
      <x:c r="X233" s="26" t="n">
        <x:f>('参数'!$B$26+'参数'!$B$27*(D233-1)/99)*'参数'!$K$27*AD233</x:f>
        <x:v>18.8</x:v>
      </x:c>
      <x:c r="Y233" s="26" t="n">
        <x:f>('参数'!$B$28+'参数'!$B$29*(D233-1)/99)*'参数'!$K$27*AD233*IF(AE233=1,'参数'!$B$51,1)</x:f>
        <x:v>59.416666666666664</x:v>
      </x:c>
      <x:c r="Z233" s="22" t="n">
        <x:f>MIN('参数'!$B$36,U233/(U233+'参数'!$B$35))</x:f>
        <x:v>0.44895696323844714</x:v>
      </x:c>
      <x:c r="AA233" s="19" t="n">
        <x:f>T233*'参数'!$B$30/('参数'!$B$32*'参数'!$B$33)/(1-Z233)*AC233</x:f>
        <x:v>2899.5784972803885</x:v>
      </x:c>
      <x:c r="AB233" s="19" t="n">
        <x:f>T233*'参数'!$B$31/'参数'!$B$34/(1-Z233)*AC233</x:f>
        <x:v>5799.156994560777</x:v>
      </x:c>
      <x:c r="AC233" s="20" t="n">
        <x:f>'参数'!$L$27*1</x:f>
        <x:v>1.05</x:v>
      </x:c>
      <x:c r="AD233" s="20" t="n">
        <x:f>1</x:f>
        <x:v>1</x:v>
      </x:c>
      <x:c r="AE233" s="19" t="n">
        <x:f>IF(MOD(B233,12)=0,1,0)</x:f>
        <x:v>1</x:v>
      </x:c>
    </x:row>
    <x:row r="234" ht="22" customHeight="1">
      <x:c r="A234" s="18" t="str">
        <x:v>困难</x:v>
      </x:c>
      <x:c r="B234" s="18" t="n">
        <x:v>109</x:v>
      </x:c>
      <x:c r="C234" s="18" t="n">
        <x:f>ROUNDUP(B234/12,0)</x:f>
        <x:v>10</x:v>
      </x:c>
      <x:c r="D234" s="18" t="n">
        <x:f>ROUND(MAX('参数'!$G$27,E234)+(IF(C234&lt;10,INDEX('参数'!$G$35:$P$35,1,MIN(10,C234+1)),'参数'!$H$27)-MAX('参数'!$G$27,E234))*MOD(B234-1,12)/11,0)</x:f>
        <x:v>85</x:v>
      </x:c>
      <x:c r="E234" s="18" t="n">
        <x:f>INDEX('参数'!$G$35:$P$35,1,C234)</x:f>
        <x:v>85</x:v>
      </x:c>
      <x:c r="F234" s="15" t="n">
        <x:f>'参数'!$I$27</x:f>
        <x:v>1.1</x:v>
      </x:c>
      <x:c r="G234" s="18" t="n">
        <x:f>ROUND(V234*X234/'参数'!$B$56,0)</x:f>
        <x:v>144242</x:v>
      </x:c>
      <x:c r="H234" s="18" t="n">
        <x:f>ROUND((AA234+SQRT(AA234^2+4*AA234*'参数'!$B$22*U234))/2,0)</x:f>
        <x:v>5180</x:v>
      </x:c>
      <x:c r="I234" s="18" t="n">
        <x:f>ROUND(Q234*'参数'!$B$23/'参数'!$B$22,0)</x:f>
        <x:v>1050</x:v>
      </x:c>
      <x:c r="J234" s="18" t="n">
        <x:f>ROUND(G234*'参数'!$B$50,0)</x:f>
        <x:v>432726</x:v>
      </x:c>
      <x:c r="K234" s="18" t="n">
        <x:f>ROUND(W234*Y234,0)</x:f>
        <x:v>1404484</x:v>
      </x:c>
      <x:c r="L234" s="18" t="n">
        <x:f>ROUND((AB234+SQRT(AB234^2+4*AB234*'参数'!$B$22*U234))/2,0)</x:f>
        <x:v>8559</x:v>
      </x:c>
      <x:c r="M234" s="18" t="n">
        <x:f>ROUND(I234*'参数'!$B$24,0)</x:f>
        <x:v>1313</x:v>
      </x:c>
      <x:c r="N234" s="18" t="n">
        <x:f>'参数'!$B$9*'参数'!$B$10^(D234-1)</x:f>
        <x:v>7185.849640504808</x:v>
      </x:c>
      <x:c r="O234" s="18" t="n">
        <x:f>'参数'!$B$18*'参数'!$B$19^(MIN(E234,MAX(1,5*INT(D234/5)))-1)*F234*'参数'!$J$27*P234</x:f>
        <x:v>871.2525493855705</x:v>
      </x:c>
      <x:c r="P234" s="21" t="n">
        <x:f>MIN(1,(D234-1)/19)</x:f>
        <x:v>1</x:v>
      </x:c>
      <x:c r="Q234" s="18" t="n">
        <x:f>INDEX('角色成长'!$F$6:$F$105,D234)+O234*'参数'!$K$21</x:f>
        <x:v>5249.069765748876</x:v>
      </x:c>
      <x:c r="R234" s="18" t="n">
        <x:f>INDEX('角色成长'!$I$6:$I$105,D234)+O234*'参数'!$K$21</x:f>
        <x:v>4474.069765748876</x:v>
      </x:c>
      <x:c r="S234" s="18" t="n">
        <x:f>INDEX('角色成长'!$L$6:$L$105,D234)+O234*'参数'!$K$21</x:f>
        <x:v>4032.0697657488763</x:v>
      </x:c>
      <x:c r="T234" s="18" t="n">
        <x:f>(INDEX('角色成长'!$J$6:$J$105,D234)+O234*'参数'!$L$21)*(1+'参数'!$B$40*P234)</x:f>
        <x:v>60868.28725599564</x:v>
      </x:c>
      <x:c r="U234" s="18" t="n">
        <x:f>(INDEX('角色成长'!$K$6:$K$105,D234)+O234*'参数'!$M$21)*(1+'参数'!$B$41*P234)</x:f>
        <x:v>3258.961157567224</x:v>
      </x:c>
      <x:c r="V234" s="18" t="n">
        <x:f>(('参数'!$K$5*(((Q234*(1+'参数'!$B$39*P234))^2/((Q234*(1+'参数'!$B$39*P234))+'参数'!$B$22*(I234)))*(1+'参数'!$B$42*P234)/'参数'!$J$5+((Q234*'参数'!$B$43*(1+'参数'!$B$39*P234))^2/((Q234*'参数'!$B$43*(1+'参数'!$B$39*P234))+'参数'!$B$22*(I234)))/'参数'!$B$44))+(((R234*(1+'参数'!$B$39*P234))^2/((R234*(1+'参数'!$B$39*P234))+'参数'!$B$22*(I234)))*(1+'参数'!$B$42*P234)/'参数'!$J$6+((R234*'参数'!$B$45*(1+'参数'!$B$39*P234))^2/((R234*'参数'!$B$45*(1+'参数'!$B$39*P234))+'参数'!$B$22*(I234)))/'参数'!$B$46)+((S234*(1+'参数'!$B$39*P234))^2/((S234*(1+'参数'!$B$39*P234))+'参数'!$B$22*(I234)))*(1+'参数'!$B$42*P234)/'参数'!$J$7)*(1+'参数'!$B$37*('参数'!$B$38-1))*'参数'!$B$25</x:f>
        <x:v>35293.15645716733</x:v>
      </x:c>
      <x:c r="W234" s="18" t="n">
        <x:f>(('参数'!$K$5*(((Q234*(1+'参数'!$B$39*P234))^2/((Q234*(1+'参数'!$B$39*P234))+'参数'!$B$22*(M234)))*(1+'参数'!$B$42*P234)/'参数'!$J$5+((Q234*'参数'!$B$43*(1+'参数'!$B$39*P234))^2/((Q234*'参数'!$B$43*(1+'参数'!$B$39*P234))+'参数'!$B$22*(M234)))/'参数'!$B$44))+(((R234*(1+'参数'!$B$39*P234))^2/((R234*(1+'参数'!$B$39*P234))+'参数'!$B$22*(M234)))*(1+'参数'!$B$42*P234)/'参数'!$J$6+((R234*'参数'!$B$45*(1+'参数'!$B$39*P234))^2/((R234*'参数'!$B$45*(1+'参数'!$B$39*P234))+'参数'!$B$22*(M234)))/'参数'!$B$46)+((S234*(1+'参数'!$B$39*P234))^2/((S234*(1+'参数'!$B$39*P234))+'参数'!$B$22*(M234)))*(1+'参数'!$B$42*P234)/'参数'!$J$7)*(1+'参数'!$B$37*('参数'!$B$38-1))</x:f>
        <x:v>27183.555188116585</x:v>
      </x:c>
      <x:c r="X234" s="25" t="n">
        <x:f>('参数'!$B$26+'参数'!$B$27*(D234-1)/99)*'参数'!$K$27*AD234</x:f>
        <x:v>18.8</x:v>
      </x:c>
      <x:c r="Y234" s="25" t="n">
        <x:f>('参数'!$B$28+'参数'!$B$29*(D234-1)/99)*'参数'!$K$27*AD234*IF(AE234=1,'参数'!$B$51,1)</x:f>
        <x:v>51.66666666666667</x:v>
      </x:c>
      <x:c r="Z234" s="21" t="n">
        <x:f>MIN('参数'!$B$36,U234/(U234+'参数'!$B$35))</x:f>
        <x:v>0.44895696323844714</x:v>
      </x:c>
      <x:c r="AA234" s="18" t="n">
        <x:f>T234*'参数'!$B$30/('参数'!$B$32*'参数'!$B$33)/(1-Z234)*AC234</x:f>
        <x:v>2899.5784972803885</x:v>
      </x:c>
      <x:c r="AB234" s="18" t="n">
        <x:f>T234*'参数'!$B$31/'参数'!$B$34/(1-Z234)*AC234</x:f>
        <x:v>5799.156994560777</x:v>
      </x:c>
      <x:c r="AC234" s="15" t="n">
        <x:f>'参数'!$L$27*1</x:f>
        <x:v>1.05</x:v>
      </x:c>
      <x:c r="AD234" s="15" t="n">
        <x:f>1</x:f>
        <x:v>1</x:v>
      </x:c>
      <x:c r="AE234" s="18" t="n">
        <x:f>IF(MOD(B234,12)=0,1,0)</x:f>
        <x:v>0</x:v>
      </x:c>
    </x:row>
    <x:row r="235" ht="22" customHeight="1">
      <x:c r="A235" s="19" t="str">
        <x:v>困难</x:v>
      </x:c>
      <x:c r="B235" s="19" t="n">
        <x:v>110</x:v>
      </x:c>
      <x:c r="C235" s="19" t="n">
        <x:f>ROUNDUP(B235/12,0)</x:f>
        <x:v>10</x:v>
      </x:c>
      <x:c r="D235" s="19" t="n">
        <x:f>ROUND(MAX('参数'!$G$27,E235)+(IF(C235&lt;10,INDEX('参数'!$G$35:$P$35,1,MIN(10,C235+1)),'参数'!$H$27)-MAX('参数'!$G$27,E235))*MOD(B235-1,12)/11,0)</x:f>
        <x:v>85</x:v>
      </x:c>
      <x:c r="E235" s="19" t="n">
        <x:f>INDEX('参数'!$G$35:$P$35,1,C235)</x:f>
        <x:v>85</x:v>
      </x:c>
      <x:c r="F235" s="20" t="n">
        <x:f>'参数'!$I$27</x:f>
        <x:v>1.1</x:v>
      </x:c>
      <x:c r="G235" s="19" t="n">
        <x:f>ROUND(V235*X235/'参数'!$B$56,0)</x:f>
        <x:v>144242</x:v>
      </x:c>
      <x:c r="H235" s="19" t="n">
        <x:f>ROUND((AA235+SQRT(AA235^2+4*AA235*'参数'!$B$22*U235))/2,0)</x:f>
        <x:v>5180</x:v>
      </x:c>
      <x:c r="I235" s="19" t="n">
        <x:f>ROUND(Q235*'参数'!$B$23/'参数'!$B$22,0)</x:f>
        <x:v>1050</x:v>
      </x:c>
      <x:c r="J235" s="19" t="n">
        <x:f>ROUND(G235*'参数'!$B$50,0)</x:f>
        <x:v>432726</x:v>
      </x:c>
      <x:c r="K235" s="19" t="n">
        <x:f>ROUND(W235*Y235,0)</x:f>
        <x:v>1404484</x:v>
      </x:c>
      <x:c r="L235" s="19" t="n">
        <x:f>ROUND((AB235+SQRT(AB235^2+4*AB235*'参数'!$B$22*U235))/2,0)</x:f>
        <x:v>8559</x:v>
      </x:c>
      <x:c r="M235" s="19" t="n">
        <x:f>ROUND(I235*'参数'!$B$24,0)</x:f>
        <x:v>1313</x:v>
      </x:c>
      <x:c r="N235" s="19" t="n">
        <x:f>'参数'!$B$9*'参数'!$B$10^(D235-1)</x:f>
        <x:v>7185.849640504808</x:v>
      </x:c>
      <x:c r="O235" s="19" t="n">
        <x:f>'参数'!$B$18*'参数'!$B$19^(MIN(E235,MAX(1,5*INT(D235/5)))-1)*F235*'参数'!$J$27*P235</x:f>
        <x:v>871.2525493855705</x:v>
      </x:c>
      <x:c r="P235" s="22" t="n">
        <x:f>MIN(1,(D235-1)/19)</x:f>
        <x:v>1</x:v>
      </x:c>
      <x:c r="Q235" s="19" t="n">
        <x:f>INDEX('角色成长'!$F$6:$F$105,D235)+O235*'参数'!$K$21</x:f>
        <x:v>5249.069765748876</x:v>
      </x:c>
      <x:c r="R235" s="19" t="n">
        <x:f>INDEX('角色成长'!$I$6:$I$105,D235)+O235*'参数'!$K$21</x:f>
        <x:v>4474.069765748876</x:v>
      </x:c>
      <x:c r="S235" s="19" t="n">
        <x:f>INDEX('角色成长'!$L$6:$L$105,D235)+O235*'参数'!$K$21</x:f>
        <x:v>4032.0697657488763</x:v>
      </x:c>
      <x:c r="T235" s="19" t="n">
        <x:f>(INDEX('角色成长'!$J$6:$J$105,D235)+O235*'参数'!$L$21)*(1+'参数'!$B$40*P235)</x:f>
        <x:v>60868.28725599564</x:v>
      </x:c>
      <x:c r="U235" s="19" t="n">
        <x:f>(INDEX('角色成长'!$K$6:$K$105,D235)+O235*'参数'!$M$21)*(1+'参数'!$B$41*P235)</x:f>
        <x:v>3258.961157567224</x:v>
      </x:c>
      <x:c r="V235" s="19" t="n">
        <x:f>(('参数'!$K$5*(((Q235*(1+'参数'!$B$39*P235))^2/((Q235*(1+'参数'!$B$39*P235))+'参数'!$B$22*(I235)))*(1+'参数'!$B$42*P235)/'参数'!$J$5+((Q235*'参数'!$B$43*(1+'参数'!$B$39*P235))^2/((Q235*'参数'!$B$43*(1+'参数'!$B$39*P235))+'参数'!$B$22*(I235)))/'参数'!$B$44))+(((R235*(1+'参数'!$B$39*P235))^2/((R235*(1+'参数'!$B$39*P235))+'参数'!$B$22*(I235)))*(1+'参数'!$B$42*P235)/'参数'!$J$6+((R235*'参数'!$B$45*(1+'参数'!$B$39*P235))^2/((R235*'参数'!$B$45*(1+'参数'!$B$39*P235))+'参数'!$B$22*(I235)))/'参数'!$B$46)+((S235*(1+'参数'!$B$39*P235))^2/((S235*(1+'参数'!$B$39*P235))+'参数'!$B$22*(I235)))*(1+'参数'!$B$42*P235)/'参数'!$J$7)*(1+'参数'!$B$37*('参数'!$B$38-1))*'参数'!$B$25</x:f>
        <x:v>35293.15645716733</x:v>
      </x:c>
      <x:c r="W235" s="19" t="n">
        <x:f>(('参数'!$K$5*(((Q235*(1+'参数'!$B$39*P235))^2/((Q235*(1+'参数'!$B$39*P235))+'参数'!$B$22*(M235)))*(1+'参数'!$B$42*P235)/'参数'!$J$5+((Q235*'参数'!$B$43*(1+'参数'!$B$39*P235))^2/((Q235*'参数'!$B$43*(1+'参数'!$B$39*P235))+'参数'!$B$22*(M235)))/'参数'!$B$44))+(((R235*(1+'参数'!$B$39*P235))^2/((R235*(1+'参数'!$B$39*P235))+'参数'!$B$22*(M235)))*(1+'参数'!$B$42*P235)/'参数'!$J$6+((R235*'参数'!$B$45*(1+'参数'!$B$39*P235))^2/((R235*'参数'!$B$45*(1+'参数'!$B$39*P235))+'参数'!$B$22*(M235)))/'参数'!$B$46)+((S235*(1+'参数'!$B$39*P235))^2/((S235*(1+'参数'!$B$39*P235))+'参数'!$B$22*(M235)))*(1+'参数'!$B$42*P235)/'参数'!$J$7)*(1+'参数'!$B$37*('参数'!$B$38-1))</x:f>
        <x:v>27183.555188116585</x:v>
      </x:c>
      <x:c r="X235" s="26" t="n">
        <x:f>('参数'!$B$26+'参数'!$B$27*(D235-1)/99)*'参数'!$K$27*AD235</x:f>
        <x:v>18.8</x:v>
      </x:c>
      <x:c r="Y235" s="26" t="n">
        <x:f>('参数'!$B$28+'参数'!$B$29*(D235-1)/99)*'参数'!$K$27*AD235*IF(AE235=1,'参数'!$B$51,1)</x:f>
        <x:v>51.66666666666667</x:v>
      </x:c>
      <x:c r="Z235" s="22" t="n">
        <x:f>MIN('参数'!$B$36,U235/(U235+'参数'!$B$35))</x:f>
        <x:v>0.44895696323844714</x:v>
      </x:c>
      <x:c r="AA235" s="19" t="n">
        <x:f>T235*'参数'!$B$30/('参数'!$B$32*'参数'!$B$33)/(1-Z235)*AC235</x:f>
        <x:v>2899.5784972803885</x:v>
      </x:c>
      <x:c r="AB235" s="19" t="n">
        <x:f>T235*'参数'!$B$31/'参数'!$B$34/(1-Z235)*AC235</x:f>
        <x:v>5799.156994560777</x:v>
      </x:c>
      <x:c r="AC235" s="20" t="n">
        <x:f>'参数'!$L$27*1</x:f>
        <x:v>1.05</x:v>
      </x:c>
      <x:c r="AD235" s="20" t="n">
        <x:f>1</x:f>
        <x:v>1</x:v>
      </x:c>
      <x:c r="AE235" s="19" t="n">
        <x:f>IF(MOD(B235,12)=0,1,0)</x:f>
        <x:v>0</x:v>
      </x:c>
    </x:row>
    <x:row r="236" ht="22" customHeight="1">
      <x:c r="A236" s="18" t="str">
        <x:v>困难</x:v>
      </x:c>
      <x:c r="B236" s="18" t="n">
        <x:v>111</x:v>
      </x:c>
      <x:c r="C236" s="18" t="n">
        <x:f>ROUNDUP(B236/12,0)</x:f>
        <x:v>10</x:v>
      </x:c>
      <x:c r="D236" s="18" t="n">
        <x:f>ROUND(MAX('参数'!$G$27,E236)+(IF(C236&lt;10,INDEX('参数'!$G$35:$P$35,1,MIN(10,C236+1)),'参数'!$H$27)-MAX('参数'!$G$27,E236))*MOD(B236-1,12)/11,0)</x:f>
        <x:v>86</x:v>
      </x:c>
      <x:c r="E236" s="18" t="n">
        <x:f>INDEX('参数'!$G$35:$P$35,1,C236)</x:f>
        <x:v>85</x:v>
      </x:c>
      <x:c r="F236" s="15" t="n">
        <x:f>'参数'!$I$27</x:f>
        <x:v>1.1</x:v>
      </x:c>
      <x:c r="G236" s="18" t="n">
        <x:f>ROUND(V236*X236/'参数'!$B$56,0)</x:f>
        <x:v>147256</x:v>
      </x:c>
      <x:c r="H236" s="18" t="n">
        <x:f>ROUND((AA236+SQRT(AA236^2+4*AA236*'参数'!$B$22*U236))/2,0)</x:f>
        <x:v>5319</x:v>
      </x:c>
      <x:c r="I236" s="18" t="n">
        <x:f>ROUND(Q236*'参数'!$B$23/'参数'!$B$22,0)</x:f>
        <x:v>1069</x:v>
      </x:c>
      <x:c r="J236" s="18" t="n">
        <x:f>ROUND(G236*'参数'!$B$50,0)</x:f>
        <x:v>441768</x:v>
      </x:c>
      <x:c r="K236" s="18" t="n">
        <x:f>ROUND(W236*Y236,0)</x:f>
        <x:v>1435040</x:v>
      </x:c>
      <x:c r="L236" s="18" t="n">
        <x:f>ROUND((AB236+SQRT(AB236^2+4*AB236*'参数'!$B$22*U236))/2,0)</x:f>
        <x:v>8796</x:v>
      </x:c>
      <x:c r="M236" s="18" t="n">
        <x:f>ROUND(I236*'参数'!$B$24,0)</x:f>
        <x:v>1336</x:v>
      </x:c>
      <x:c r="N236" s="18" t="n">
        <x:f>'参数'!$B$9*'参数'!$B$10^(D236-1)</x:f>
        <x:v>7401.425129719953</x:v>
      </x:c>
      <x:c r="O236" s="18" t="n">
        <x:f>'参数'!$B$18*'参数'!$B$19^(MIN(E236,MAX(1,5*INT(D236/5)))-1)*F236*'参数'!$J$27*P236</x:f>
        <x:v>871.2525493855705</x:v>
      </x:c>
      <x:c r="P236" s="21" t="n">
        <x:f>MIN(1,(D236-1)/19)</x:f>
        <x:v>1</x:v>
      </x:c>
      <x:c r="Q236" s="18" t="n">
        <x:f>INDEX('角色成长'!$F$6:$F$105,D236)+O236*'参数'!$K$21</x:f>
        <x:v>5345.069765748876</x:v>
      </x:c>
      <x:c r="R236" s="18" t="n">
        <x:f>INDEX('角色成长'!$I$6:$I$105,D236)+O236*'参数'!$K$21</x:f>
        <x:v>4544.069765748876</x:v>
      </x:c>
      <x:c r="S236" s="18" t="n">
        <x:f>INDEX('角色成长'!$L$6:$L$105,D236)+O236*'参数'!$K$21</x:f>
        <x:v>4086.0697657488763</x:v>
      </x:c>
      <x:c r="T236" s="18" t="n">
        <x:f>(INDEX('角色成长'!$J$6:$J$105,D236)+O236*'参数'!$L$21)*(1+'参数'!$B$40*P236)</x:f>
        <x:v>62293.887255995636</x:v>
      </x:c>
      <x:c r="U236" s="18" t="n">
        <x:f>(INDEX('角色成长'!$K$6:$K$105,D236)+O236*'参数'!$M$21)*(1+'参数'!$B$41*P236)</x:f>
        <x:v>3313.961157567224</x:v>
      </x:c>
      <x:c r="V236" s="18" t="n">
        <x:f>(('参数'!$K$5*(((Q236*(1+'参数'!$B$39*P236))^2/((Q236*(1+'参数'!$B$39*P236))+'参数'!$B$22*(I236)))*(1+'参数'!$B$42*P236)/'参数'!$J$5+((Q236*'参数'!$B$43*(1+'参数'!$B$39*P236))^2/((Q236*'参数'!$B$43*(1+'参数'!$B$39*P236))+'参数'!$B$22*(I236)))/'参数'!$B$44))+(((R236*(1+'参数'!$B$39*P236))^2/((R236*(1+'参数'!$B$39*P236))+'参数'!$B$22*(I236)))*(1+'参数'!$B$42*P236)/'参数'!$J$6+((R236*'参数'!$B$45*(1+'参数'!$B$39*P236))^2/((R236*'参数'!$B$45*(1+'参数'!$B$39*P236))+'参数'!$B$22*(I236)))/'参数'!$B$46)+((S236*(1+'参数'!$B$39*P236))^2/((S236*(1+'参数'!$B$39*P236))+'参数'!$B$22*(I236)))*(1+'参数'!$B$42*P236)/'参数'!$J$7)*(1+'参数'!$B$37*('参数'!$B$38-1))*'参数'!$B$25</x:f>
        <x:v>35903.311180652825</x:v>
      </x:c>
      <x:c r="W236" s="18" t="n">
        <x:f>(('参数'!$K$5*(((Q236*(1+'参数'!$B$39*P236))^2/((Q236*(1+'参数'!$B$39*P236))+'参数'!$B$22*(M236)))*(1+'参数'!$B$42*P236)/'参数'!$J$5+((Q236*'参数'!$B$43*(1+'参数'!$B$39*P236))^2/((Q236*'参数'!$B$43*(1+'参数'!$B$39*P236))+'参数'!$B$22*(M236)))/'参数'!$B$44))+(((R236*(1+'参数'!$B$39*P236))^2/((R236*(1+'参数'!$B$39*P236))+'参数'!$B$22*(M236)))*(1+'参数'!$B$42*P236)/'参数'!$J$6+((R236*'参数'!$B$45*(1+'参数'!$B$39*P236))^2/((R236*'参数'!$B$45*(1+'参数'!$B$39*P236))+'参数'!$B$22*(M236)))/'参数'!$B$46)+((S236*(1+'参数'!$B$39*P236))^2/((S236*(1+'参数'!$B$39*P236))+'参数'!$B$22*(M236)))*(1+'参数'!$B$42*P236)/'参数'!$J$7)*(1+'参数'!$B$37*('参数'!$B$38-1))</x:f>
        <x:v>27656.008806613678</x:v>
      </x:c>
      <x:c r="X236" s="25" t="n">
        <x:f>('参数'!$B$26+'参数'!$B$27*(D236-1)/99)*'参数'!$K$27*AD236</x:f>
        <x:v>18.86666666666667</x:v>
      </x:c>
      <x:c r="Y236" s="25" t="n">
        <x:f>('参数'!$B$28+'参数'!$B$29*(D236-1)/99)*'参数'!$K$27*AD236*IF(AE236=1,'参数'!$B$51,1)</x:f>
        <x:v>51.8888888888889</x:v>
      </x:c>
      <x:c r="Z236" s="21" t="n">
        <x:f>MIN('参数'!$B$36,U236/(U236+'参数'!$B$35))</x:f>
        <x:v>0.45310073244489535</x:v>
      </x:c>
      <x:c r="AA236" s="18" t="n">
        <x:f>T236*'参数'!$B$30/('参数'!$B$32*'参数'!$B$33)/(1-Z236)*AC236</x:f>
        <x:v>2989.97390832147</x:v>
      </x:c>
      <x:c r="AB236" s="18" t="n">
        <x:f>T236*'参数'!$B$31/'参数'!$B$34/(1-Z236)*AC236</x:f>
        <x:v>5979.94781664294</x:v>
      </x:c>
      <x:c r="AC236" s="15" t="n">
        <x:f>'参数'!$L$27*1</x:f>
        <x:v>1.05</x:v>
      </x:c>
      <x:c r="AD236" s="15" t="n">
        <x:f>1</x:f>
        <x:v>1</x:v>
      </x:c>
      <x:c r="AE236" s="18" t="n">
        <x:f>IF(MOD(B236,12)=0,1,0)</x:f>
        <x:v>0</x:v>
      </x:c>
    </x:row>
    <x:row r="237" ht="22" customHeight="1">
      <x:c r="A237" s="19" t="str">
        <x:v>困难</x:v>
      </x:c>
      <x:c r="B237" s="19" t="n">
        <x:v>112</x:v>
      </x:c>
      <x:c r="C237" s="19" t="n">
        <x:f>ROUNDUP(B237/12,0)</x:f>
        <x:v>10</x:v>
      </x:c>
      <x:c r="D237" s="19" t="n">
        <x:f>ROUND(MAX('参数'!$G$27,E237)+(IF(C237&lt;10,INDEX('参数'!$G$35:$P$35,1,MIN(10,C237+1)),'参数'!$H$27)-MAX('参数'!$G$27,E237))*MOD(B237-1,12)/11,0)</x:f>
        <x:v>86</x:v>
      </x:c>
      <x:c r="E237" s="19" t="n">
        <x:f>INDEX('参数'!$G$35:$P$35,1,C237)</x:f>
        <x:v>85</x:v>
      </x:c>
      <x:c r="F237" s="20" t="n">
        <x:f>'参数'!$I$27</x:f>
        <x:v>1.1</x:v>
      </x:c>
      <x:c r="G237" s="19" t="n">
        <x:f>ROUND(V237*X237/'参数'!$B$56,0)</x:f>
        <x:v>147256</x:v>
      </x:c>
      <x:c r="H237" s="19" t="n">
        <x:f>ROUND((AA237+SQRT(AA237^2+4*AA237*'参数'!$B$22*U237))/2,0)</x:f>
        <x:v>5319</x:v>
      </x:c>
      <x:c r="I237" s="19" t="n">
        <x:f>ROUND(Q237*'参数'!$B$23/'参数'!$B$22,0)</x:f>
        <x:v>1069</x:v>
      </x:c>
      <x:c r="J237" s="19" t="n">
        <x:f>ROUND(G237*'参数'!$B$50,0)</x:f>
        <x:v>441768</x:v>
      </x:c>
      <x:c r="K237" s="19" t="n">
        <x:f>ROUND(W237*Y237,0)</x:f>
        <x:v>1435040</x:v>
      </x:c>
      <x:c r="L237" s="19" t="n">
        <x:f>ROUND((AB237+SQRT(AB237^2+4*AB237*'参数'!$B$22*U237))/2,0)</x:f>
        <x:v>8796</x:v>
      </x:c>
      <x:c r="M237" s="19" t="n">
        <x:f>ROUND(I237*'参数'!$B$24,0)</x:f>
        <x:v>1336</x:v>
      </x:c>
      <x:c r="N237" s="19" t="n">
        <x:f>'参数'!$B$9*'参数'!$B$10^(D237-1)</x:f>
        <x:v>7401.425129719953</x:v>
      </x:c>
      <x:c r="O237" s="19" t="n">
        <x:f>'参数'!$B$18*'参数'!$B$19^(MIN(E237,MAX(1,5*INT(D237/5)))-1)*F237*'参数'!$J$27*P237</x:f>
        <x:v>871.2525493855705</x:v>
      </x:c>
      <x:c r="P237" s="22" t="n">
        <x:f>MIN(1,(D237-1)/19)</x:f>
        <x:v>1</x:v>
      </x:c>
      <x:c r="Q237" s="19" t="n">
        <x:f>INDEX('角色成长'!$F$6:$F$105,D237)+O237*'参数'!$K$21</x:f>
        <x:v>5345.069765748876</x:v>
      </x:c>
      <x:c r="R237" s="19" t="n">
        <x:f>INDEX('角色成长'!$I$6:$I$105,D237)+O237*'参数'!$K$21</x:f>
        <x:v>4544.069765748876</x:v>
      </x:c>
      <x:c r="S237" s="19" t="n">
        <x:f>INDEX('角色成长'!$L$6:$L$105,D237)+O237*'参数'!$K$21</x:f>
        <x:v>4086.0697657488763</x:v>
      </x:c>
      <x:c r="T237" s="19" t="n">
        <x:f>(INDEX('角色成长'!$J$6:$J$105,D237)+O237*'参数'!$L$21)*(1+'参数'!$B$40*P237)</x:f>
        <x:v>62293.887255995636</x:v>
      </x:c>
      <x:c r="U237" s="19" t="n">
        <x:f>(INDEX('角色成长'!$K$6:$K$105,D237)+O237*'参数'!$M$21)*(1+'参数'!$B$41*P237)</x:f>
        <x:v>3313.961157567224</x:v>
      </x:c>
      <x:c r="V237" s="19" t="n">
        <x:f>(('参数'!$K$5*(((Q237*(1+'参数'!$B$39*P237))^2/((Q237*(1+'参数'!$B$39*P237))+'参数'!$B$22*(I237)))*(1+'参数'!$B$42*P237)/'参数'!$J$5+((Q237*'参数'!$B$43*(1+'参数'!$B$39*P237))^2/((Q237*'参数'!$B$43*(1+'参数'!$B$39*P237))+'参数'!$B$22*(I237)))/'参数'!$B$44))+(((R237*(1+'参数'!$B$39*P237))^2/((R237*(1+'参数'!$B$39*P237))+'参数'!$B$22*(I237)))*(1+'参数'!$B$42*P237)/'参数'!$J$6+((R237*'参数'!$B$45*(1+'参数'!$B$39*P237))^2/((R237*'参数'!$B$45*(1+'参数'!$B$39*P237))+'参数'!$B$22*(I237)))/'参数'!$B$46)+((S237*(1+'参数'!$B$39*P237))^2/((S237*(1+'参数'!$B$39*P237))+'参数'!$B$22*(I237)))*(1+'参数'!$B$42*P237)/'参数'!$J$7)*(1+'参数'!$B$37*('参数'!$B$38-1))*'参数'!$B$25</x:f>
        <x:v>35903.311180652825</x:v>
      </x:c>
      <x:c r="W237" s="19" t="n">
        <x:f>(('参数'!$K$5*(((Q237*(1+'参数'!$B$39*P237))^2/((Q237*(1+'参数'!$B$39*P237))+'参数'!$B$22*(M237)))*(1+'参数'!$B$42*P237)/'参数'!$J$5+((Q237*'参数'!$B$43*(1+'参数'!$B$39*P237))^2/((Q237*'参数'!$B$43*(1+'参数'!$B$39*P237))+'参数'!$B$22*(M237)))/'参数'!$B$44))+(((R237*(1+'参数'!$B$39*P237))^2/((R237*(1+'参数'!$B$39*P237))+'参数'!$B$22*(M237)))*(1+'参数'!$B$42*P237)/'参数'!$J$6+((R237*'参数'!$B$45*(1+'参数'!$B$39*P237))^2/((R237*'参数'!$B$45*(1+'参数'!$B$39*P237))+'参数'!$B$22*(M237)))/'参数'!$B$46)+((S237*(1+'参数'!$B$39*P237))^2/((S237*(1+'参数'!$B$39*P237))+'参数'!$B$22*(M237)))*(1+'参数'!$B$42*P237)/'参数'!$J$7)*(1+'参数'!$B$37*('参数'!$B$38-1))</x:f>
        <x:v>27656.008806613678</x:v>
      </x:c>
      <x:c r="X237" s="26" t="n">
        <x:f>('参数'!$B$26+'参数'!$B$27*(D237-1)/99)*'参数'!$K$27*AD237</x:f>
        <x:v>18.86666666666667</x:v>
      </x:c>
      <x:c r="Y237" s="26" t="n">
        <x:f>('参数'!$B$28+'参数'!$B$29*(D237-1)/99)*'参数'!$K$27*AD237*IF(AE237=1,'参数'!$B$51,1)</x:f>
        <x:v>51.8888888888889</x:v>
      </x:c>
      <x:c r="Z237" s="22" t="n">
        <x:f>MIN('参数'!$B$36,U237/(U237+'参数'!$B$35))</x:f>
        <x:v>0.45310073244489535</x:v>
      </x:c>
      <x:c r="AA237" s="19" t="n">
        <x:f>T237*'参数'!$B$30/('参数'!$B$32*'参数'!$B$33)/(1-Z237)*AC237</x:f>
        <x:v>2989.97390832147</x:v>
      </x:c>
      <x:c r="AB237" s="19" t="n">
        <x:f>T237*'参数'!$B$31/'参数'!$B$34/(1-Z237)*AC237</x:f>
        <x:v>5979.94781664294</x:v>
      </x:c>
      <x:c r="AC237" s="20" t="n">
        <x:f>'参数'!$L$27*1</x:f>
        <x:v>1.05</x:v>
      </x:c>
      <x:c r="AD237" s="20" t="n">
        <x:f>1</x:f>
        <x:v>1</x:v>
      </x:c>
      <x:c r="AE237" s="19" t="n">
        <x:f>IF(MOD(B237,12)=0,1,0)</x:f>
        <x:v>0</x:v>
      </x:c>
    </x:row>
    <x:row r="238" ht="22" customHeight="1">
      <x:c r="A238" s="18" t="str">
        <x:v>困难</x:v>
      </x:c>
      <x:c r="B238" s="18" t="n">
        <x:v>113</x:v>
      </x:c>
      <x:c r="C238" s="18" t="n">
        <x:f>ROUNDUP(B238/12,0)</x:f>
        <x:v>10</x:v>
      </x:c>
      <x:c r="D238" s="18" t="n">
        <x:f>ROUND(MAX('参数'!$G$27,E238)+(IF(C238&lt;10,INDEX('参数'!$G$35:$P$35,1,MIN(10,C238+1)),'参数'!$H$27)-MAX('参数'!$G$27,E238))*MOD(B238-1,12)/11,0)</x:f>
        <x:v>87</x:v>
      </x:c>
      <x:c r="E238" s="18" t="n">
        <x:f>INDEX('参数'!$G$35:$P$35,1,C238)</x:f>
        <x:v>85</x:v>
      </x:c>
      <x:c r="F238" s="15" t="n">
        <x:f>'参数'!$I$27</x:f>
        <x:v>1.1</x:v>
      </x:c>
      <x:c r="G238" s="18" t="n">
        <x:f>ROUND(V238*X238/'参数'!$B$56,0)</x:f>
        <x:v>150405</x:v>
      </x:c>
      <x:c r="H238" s="18" t="n">
        <x:f>ROUND((AA238+SQRT(AA238^2+4*AA238*'参数'!$B$22*U238))/2,0)</x:f>
        <x:v>5465</x:v>
      </x:c>
      <x:c r="I238" s="18" t="n">
        <x:f>ROUND(Q238*'参数'!$B$23/'参数'!$B$22,0)</x:f>
        <x:v>1089</x:v>
      </x:c>
      <x:c r="J238" s="18" t="n">
        <x:f>ROUND(G238*'参数'!$B$50,0)</x:f>
        <x:v>451215</x:v>
      </x:c>
      <x:c r="K238" s="18" t="n">
        <x:f>ROUND(W238*Y238,0)</x:f>
        <x:v>1466799</x:v>
      </x:c>
      <x:c r="L238" s="18" t="n">
        <x:f>ROUND((AB238+SQRT(AB238^2+4*AB238*'参数'!$B$22*U238))/2,0)</x:f>
        <x:v>9046</x:v>
      </x:c>
      <x:c r="M238" s="18" t="n">
        <x:f>ROUND(I238*'参数'!$B$24,0)</x:f>
        <x:v>1361</x:v>
      </x:c>
      <x:c r="N238" s="18" t="n">
        <x:f>'参数'!$B$9*'参数'!$B$10^(D238-1)</x:f>
        <x:v>7623.467883611552</x:v>
      </x:c>
      <x:c r="O238" s="18" t="n">
        <x:f>'参数'!$B$18*'参数'!$B$19^(MIN(E238,MAX(1,5*INT(D238/5)))-1)*F238*'参数'!$J$27*P238</x:f>
        <x:v>871.2525493855705</x:v>
      </x:c>
      <x:c r="P238" s="21" t="n">
        <x:f>MIN(1,(D238-1)/19)</x:f>
        <x:v>1</x:v>
      </x:c>
      <x:c r="Q238" s="18" t="n">
        <x:f>INDEX('角色成长'!$F$6:$F$105,D238)+O238*'参数'!$K$21</x:f>
        <x:v>5446.069765748876</x:v>
      </x:c>
      <x:c r="R238" s="18" t="n">
        <x:f>INDEX('角色成长'!$I$6:$I$105,D238)+O238*'参数'!$K$21</x:f>
        <x:v>4616.069765748876</x:v>
      </x:c>
      <x:c r="S238" s="18" t="n">
        <x:f>INDEX('角色成长'!$L$6:$L$105,D238)+O238*'参数'!$K$21</x:f>
        <x:v>4142.069765748876</x:v>
      </x:c>
      <x:c r="T238" s="18" t="n">
        <x:f>(INDEX('角色成长'!$J$6:$J$105,D238)+O238*'参数'!$L$21)*(1+'参数'!$B$40*P238)</x:f>
        <x:v>63770.08725599564</x:v>
      </x:c>
      <x:c r="U238" s="18" t="n">
        <x:f>(INDEX('角色成长'!$K$6:$K$105,D238)+O238*'参数'!$M$21)*(1+'参数'!$B$41*P238)</x:f>
        <x:v>3372.2611575672236</x:v>
      </x:c>
      <x:c r="V238" s="18" t="n">
        <x:f>(('参数'!$K$5*(((Q238*(1+'参数'!$B$39*P238))^2/((Q238*(1+'参数'!$B$39*P238))+'参数'!$B$22*(I238)))*(1+'参数'!$B$42*P238)/'参数'!$J$5+((Q238*'参数'!$B$43*(1+'参数'!$B$39*P238))^2/((Q238*'参数'!$B$43*(1+'参数'!$B$39*P238))+'参数'!$B$22*(I238)))/'参数'!$B$44))+(((R238*(1+'参数'!$B$39*P238))^2/((R238*(1+'参数'!$B$39*P238))+'参数'!$B$22*(I238)))*(1+'参数'!$B$42*P238)/'参数'!$J$6+((R238*'参数'!$B$45*(1+'参数'!$B$39*P238))^2/((R238*'参数'!$B$45*(1+'参数'!$B$39*P238))+'参数'!$B$22*(I238)))/'参数'!$B$46)+((S238*(1+'参数'!$B$39*P238))^2/((S238*(1+'参数'!$B$39*P238))+'参数'!$B$22*(I238)))*(1+'参数'!$B$42*P238)/'参数'!$J$7)*(1+'参数'!$B$37*('参数'!$B$38-1))*'参数'!$B$25</x:f>
        <x:v>36542.05435178052</x:v>
      </x:c>
      <x:c r="W238" s="18" t="n">
        <x:f>(('参数'!$K$5*(((Q238*(1+'参数'!$B$39*P238))^2/((Q238*(1+'参数'!$B$39*P238))+'参数'!$B$22*(M238)))*(1+'参数'!$B$42*P238)/'参数'!$J$5+((Q238*'参数'!$B$43*(1+'参数'!$B$39*P238))^2/((Q238*'参数'!$B$43*(1+'参数'!$B$39*P238))+'参数'!$B$22*(M238)))/'参数'!$B$44))+(((R238*(1+'参数'!$B$39*P238))^2/((R238*(1+'参数'!$B$39*P238))+'参数'!$B$22*(M238)))*(1+'参数'!$B$42*P238)/'参数'!$J$6+((R238*'参数'!$B$45*(1+'参数'!$B$39*P238))^2/((R238*'参数'!$B$45*(1+'参数'!$B$39*P238))+'参数'!$B$22*(M238)))/'参数'!$B$46)+((S238*(1+'参数'!$B$39*P238))^2/((S238*(1+'参数'!$B$39*P238))+'参数'!$B$22*(M238)))*(1+'参数'!$B$42*P238)/'参数'!$J$7)*(1+'参数'!$B$37*('参数'!$B$38-1))</x:f>
        <x:v>28147.528544538603</x:v>
      </x:c>
      <x:c r="X238" s="25" t="n">
        <x:f>('参数'!$B$26+'参数'!$B$27*(D238-1)/99)*'参数'!$K$27*AD238</x:f>
        <x:v>18.933333333333334</x:v>
      </x:c>
      <x:c r="Y238" s="25" t="n">
        <x:f>('参数'!$B$28+'参数'!$B$29*(D238-1)/99)*'参数'!$K$27*AD238*IF(AE238=1,'参数'!$B$51,1)</x:f>
        <x:v>52.111111111111114</x:v>
      </x:c>
      <x:c r="Z238" s="21" t="n">
        <x:f>MIN('参数'!$B$36,U238/(U238+'参数'!$B$35))</x:f>
        <x:v>0.45742562363051686</x:v>
      </x:c>
      <x:c r="AA238" s="18" t="n">
        <x:f>T238*'参数'!$B$30/('参数'!$B$32*'参数'!$B$33)/(1-Z238)*AC238</x:f>
        <x:v>3085.2264009790733</x:v>
      </x:c>
      <x:c r="AB238" s="18" t="n">
        <x:f>T238*'参数'!$B$31/'参数'!$B$34/(1-Z238)*AC238</x:f>
        <x:v>6170.452801958147</x:v>
      </x:c>
      <x:c r="AC238" s="15" t="n">
        <x:f>'参数'!$L$27*1</x:f>
        <x:v>1.05</x:v>
      </x:c>
      <x:c r="AD238" s="15" t="n">
        <x:f>1</x:f>
        <x:v>1</x:v>
      </x:c>
      <x:c r="AE238" s="18" t="n">
        <x:f>IF(MOD(B238,12)=0,1,0)</x:f>
        <x:v>0</x:v>
      </x:c>
    </x:row>
    <x:row r="239" ht="22" customHeight="1">
      <x:c r="A239" s="19" t="str">
        <x:v>困难</x:v>
      </x:c>
      <x:c r="B239" s="19" t="n">
        <x:v>114</x:v>
      </x:c>
      <x:c r="C239" s="19" t="n">
        <x:f>ROUNDUP(B239/12,0)</x:f>
        <x:v>10</x:v>
      </x:c>
      <x:c r="D239" s="19" t="n">
        <x:f>ROUND(MAX('参数'!$G$27,E239)+(IF(C239&lt;10,INDEX('参数'!$G$35:$P$35,1,MIN(10,C239+1)),'参数'!$H$27)-MAX('参数'!$G$27,E239))*MOD(B239-1,12)/11,0)</x:f>
        <x:v>87</x:v>
      </x:c>
      <x:c r="E239" s="19" t="n">
        <x:f>INDEX('参数'!$G$35:$P$35,1,C239)</x:f>
        <x:v>85</x:v>
      </x:c>
      <x:c r="F239" s="20" t="n">
        <x:f>'参数'!$I$27</x:f>
        <x:v>1.1</x:v>
      </x:c>
      <x:c r="G239" s="19" t="n">
        <x:f>ROUND(V239*X239/'参数'!$B$56,0)</x:f>
        <x:v>150405</x:v>
      </x:c>
      <x:c r="H239" s="19" t="n">
        <x:f>ROUND((AA239+SQRT(AA239^2+4*AA239*'参数'!$B$22*U239))/2,0)</x:f>
        <x:v>5465</x:v>
      </x:c>
      <x:c r="I239" s="19" t="n">
        <x:f>ROUND(Q239*'参数'!$B$23/'参数'!$B$22,0)</x:f>
        <x:v>1089</x:v>
      </x:c>
      <x:c r="J239" s="19" t="n">
        <x:f>ROUND(G239*'参数'!$B$50,0)</x:f>
        <x:v>451215</x:v>
      </x:c>
      <x:c r="K239" s="19" t="n">
        <x:f>ROUND(W239*Y239,0)</x:f>
        <x:v>1466799</x:v>
      </x:c>
      <x:c r="L239" s="19" t="n">
        <x:f>ROUND((AB239+SQRT(AB239^2+4*AB239*'参数'!$B$22*U239))/2,0)</x:f>
        <x:v>9046</x:v>
      </x:c>
      <x:c r="M239" s="19" t="n">
        <x:f>ROUND(I239*'参数'!$B$24,0)</x:f>
        <x:v>1361</x:v>
      </x:c>
      <x:c r="N239" s="19" t="n">
        <x:f>'参数'!$B$9*'参数'!$B$10^(D239-1)</x:f>
        <x:v>7623.467883611552</x:v>
      </x:c>
      <x:c r="O239" s="19" t="n">
        <x:f>'参数'!$B$18*'参数'!$B$19^(MIN(E239,MAX(1,5*INT(D239/5)))-1)*F239*'参数'!$J$27*P239</x:f>
        <x:v>871.2525493855705</x:v>
      </x:c>
      <x:c r="P239" s="22" t="n">
        <x:f>MIN(1,(D239-1)/19)</x:f>
        <x:v>1</x:v>
      </x:c>
      <x:c r="Q239" s="19" t="n">
        <x:f>INDEX('角色成长'!$F$6:$F$105,D239)+O239*'参数'!$K$21</x:f>
        <x:v>5446.069765748876</x:v>
      </x:c>
      <x:c r="R239" s="19" t="n">
        <x:f>INDEX('角色成长'!$I$6:$I$105,D239)+O239*'参数'!$K$21</x:f>
        <x:v>4616.069765748876</x:v>
      </x:c>
      <x:c r="S239" s="19" t="n">
        <x:f>INDEX('角色成长'!$L$6:$L$105,D239)+O239*'参数'!$K$21</x:f>
        <x:v>4142.069765748876</x:v>
      </x:c>
      <x:c r="T239" s="19" t="n">
        <x:f>(INDEX('角色成长'!$J$6:$J$105,D239)+O239*'参数'!$L$21)*(1+'参数'!$B$40*P239)</x:f>
        <x:v>63770.08725599564</x:v>
      </x:c>
      <x:c r="U239" s="19" t="n">
        <x:f>(INDEX('角色成长'!$K$6:$K$105,D239)+O239*'参数'!$M$21)*(1+'参数'!$B$41*P239)</x:f>
        <x:v>3372.2611575672236</x:v>
      </x:c>
      <x:c r="V239" s="19" t="n">
        <x:f>(('参数'!$K$5*(((Q239*(1+'参数'!$B$39*P239))^2/((Q239*(1+'参数'!$B$39*P239))+'参数'!$B$22*(I239)))*(1+'参数'!$B$42*P239)/'参数'!$J$5+((Q239*'参数'!$B$43*(1+'参数'!$B$39*P239))^2/((Q239*'参数'!$B$43*(1+'参数'!$B$39*P239))+'参数'!$B$22*(I239)))/'参数'!$B$44))+(((R239*(1+'参数'!$B$39*P239))^2/((R239*(1+'参数'!$B$39*P239))+'参数'!$B$22*(I239)))*(1+'参数'!$B$42*P239)/'参数'!$J$6+((R239*'参数'!$B$45*(1+'参数'!$B$39*P239))^2/((R239*'参数'!$B$45*(1+'参数'!$B$39*P239))+'参数'!$B$22*(I239)))/'参数'!$B$46)+((S239*(1+'参数'!$B$39*P239))^2/((S239*(1+'参数'!$B$39*P239))+'参数'!$B$22*(I239)))*(1+'参数'!$B$42*P239)/'参数'!$J$7)*(1+'参数'!$B$37*('参数'!$B$38-1))*'参数'!$B$25</x:f>
        <x:v>36542.05435178052</x:v>
      </x:c>
      <x:c r="W239" s="19" t="n">
        <x:f>(('参数'!$K$5*(((Q239*(1+'参数'!$B$39*P239))^2/((Q239*(1+'参数'!$B$39*P239))+'参数'!$B$22*(M239)))*(1+'参数'!$B$42*P239)/'参数'!$J$5+((Q239*'参数'!$B$43*(1+'参数'!$B$39*P239))^2/((Q239*'参数'!$B$43*(1+'参数'!$B$39*P239))+'参数'!$B$22*(M239)))/'参数'!$B$44))+(((R239*(1+'参数'!$B$39*P239))^2/((R239*(1+'参数'!$B$39*P239))+'参数'!$B$22*(M239)))*(1+'参数'!$B$42*P239)/'参数'!$J$6+((R239*'参数'!$B$45*(1+'参数'!$B$39*P239))^2/((R239*'参数'!$B$45*(1+'参数'!$B$39*P239))+'参数'!$B$22*(M239)))/'参数'!$B$46)+((S239*(1+'参数'!$B$39*P239))^2/((S239*(1+'参数'!$B$39*P239))+'参数'!$B$22*(M239)))*(1+'参数'!$B$42*P239)/'参数'!$J$7)*(1+'参数'!$B$37*('参数'!$B$38-1))</x:f>
        <x:v>28147.528544538603</x:v>
      </x:c>
      <x:c r="X239" s="26" t="n">
        <x:f>('参数'!$B$26+'参数'!$B$27*(D239-1)/99)*'参数'!$K$27*AD239</x:f>
        <x:v>18.933333333333334</x:v>
      </x:c>
      <x:c r="Y239" s="26" t="n">
        <x:f>('参数'!$B$28+'参数'!$B$29*(D239-1)/99)*'参数'!$K$27*AD239*IF(AE239=1,'参数'!$B$51,1)</x:f>
        <x:v>52.111111111111114</x:v>
      </x:c>
      <x:c r="Z239" s="22" t="n">
        <x:f>MIN('参数'!$B$36,U239/(U239+'参数'!$B$35))</x:f>
        <x:v>0.45742562363051686</x:v>
      </x:c>
      <x:c r="AA239" s="19" t="n">
        <x:f>T239*'参数'!$B$30/('参数'!$B$32*'参数'!$B$33)/(1-Z239)*AC239</x:f>
        <x:v>3085.2264009790733</x:v>
      </x:c>
      <x:c r="AB239" s="19" t="n">
        <x:f>T239*'参数'!$B$31/'参数'!$B$34/(1-Z239)*AC239</x:f>
        <x:v>6170.452801958147</x:v>
      </x:c>
      <x:c r="AC239" s="20" t="n">
        <x:f>'参数'!$L$27*1</x:f>
        <x:v>1.05</x:v>
      </x:c>
      <x:c r="AD239" s="20" t="n">
        <x:f>1</x:f>
        <x:v>1</x:v>
      </x:c>
      <x:c r="AE239" s="19" t="n">
        <x:f>IF(MOD(B239,12)=0,1,0)</x:f>
        <x:v>0</x:v>
      </x:c>
    </x:row>
    <x:row r="240" ht="22" customHeight="1">
      <x:c r="A240" s="18" t="str">
        <x:v>困难</x:v>
      </x:c>
      <x:c r="B240" s="18" t="n">
        <x:v>115</x:v>
      </x:c>
      <x:c r="C240" s="18" t="n">
        <x:f>ROUNDUP(B240/12,0)</x:f>
        <x:v>10</x:v>
      </x:c>
      <x:c r="D240" s="18" t="n">
        <x:f>ROUND(MAX('参数'!$G$27,E240)+(IF(C240&lt;10,INDEX('参数'!$G$35:$P$35,1,MIN(10,C240+1)),'参数'!$H$27)-MAX('参数'!$G$27,E240))*MOD(B240-1,12)/11,0)</x:f>
        <x:v>88</x:v>
      </x:c>
      <x:c r="E240" s="18" t="n">
        <x:f>INDEX('参数'!$G$35:$P$35,1,C240)</x:f>
        <x:v>85</x:v>
      </x:c>
      <x:c r="F240" s="15" t="n">
        <x:f>'参数'!$I$27</x:f>
        <x:v>1.1</x:v>
      </x:c>
      <x:c r="G240" s="18" t="n">
        <x:f>ROUND(V240*X240/'参数'!$B$56,0)</x:f>
        <x:v>153625</x:v>
      </x:c>
      <x:c r="H240" s="18" t="n">
        <x:f>ROUND((AA240+SQRT(AA240^2+4*AA240*'参数'!$B$22*U240))/2,0)</x:f>
        <x:v>5617</x:v>
      </x:c>
      <x:c r="I240" s="18" t="n">
        <x:f>ROUND(Q240*'参数'!$B$23/'参数'!$B$22,0)</x:f>
        <x:v>1110</x:v>
      </x:c>
      <x:c r="J240" s="18" t="n">
        <x:f>ROUND(G240*'参数'!$B$50,0)</x:f>
        <x:v>460875</x:v>
      </x:c>
      <x:c r="K240" s="18" t="n">
        <x:f>ROUND(W240*Y240,0)</x:f>
        <x:v>1499114</x:v>
      </x:c>
      <x:c r="L240" s="18" t="n">
        <x:f>ROUND((AB240+SQRT(AB240^2+4*AB240*'参数'!$B$22*U240))/2,0)</x:f>
        <x:v>9306</x:v>
      </x:c>
      <x:c r="M240" s="18" t="n">
        <x:f>ROUND(I240*'参数'!$B$24,0)</x:f>
        <x:v>1388</x:v>
      </x:c>
      <x:c r="N240" s="18" t="n">
        <x:f>'参数'!$B$9*'参数'!$B$10^(D240-1)</x:f>
        <x:v>7852.1719201198985</x:v>
      </x:c>
      <x:c r="O240" s="18" t="n">
        <x:f>'参数'!$B$18*'参数'!$B$19^(MIN(E240,MAX(1,5*INT(D240/5)))-1)*F240*'参数'!$J$27*P240</x:f>
        <x:v>871.2525493855705</x:v>
      </x:c>
      <x:c r="P240" s="21" t="n">
        <x:f>MIN(1,(D240-1)/19)</x:f>
        <x:v>1</x:v>
      </x:c>
      <x:c r="Q240" s="18" t="n">
        <x:f>INDEX('角色成长'!$F$6:$F$105,D240)+O240*'参数'!$K$21</x:f>
        <x:v>5549.069765748876</x:v>
      </x:c>
      <x:c r="R240" s="18" t="n">
        <x:f>INDEX('角色成长'!$I$6:$I$105,D240)+O240*'参数'!$K$21</x:f>
        <x:v>4691.069765748876</x:v>
      </x:c>
      <x:c r="S240" s="18" t="n">
        <x:f>INDEX('角色成长'!$L$6:$L$105,D240)+O240*'参数'!$K$21</x:f>
        <x:v>4200.069765748876</x:v>
      </x:c>
      <x:c r="T240" s="18" t="n">
        <x:f>(INDEX('角色成长'!$J$6:$J$105,D240)+O240*'参数'!$L$21)*(1+'参数'!$B$40*P240)</x:f>
        <x:v>65300.18725599564</x:v>
      </x:c>
      <x:c r="U240" s="18" t="n">
        <x:f>(INDEX('角色成长'!$K$6:$K$105,D240)+O240*'参数'!$M$21)*(1+'参数'!$B$41*P240)</x:f>
        <x:v>3431.6611575672237</x:v>
      </x:c>
      <x:c r="V240" s="18" t="n">
        <x:f>(('参数'!$K$5*(((Q240*(1+'参数'!$B$39*P240))^2/((Q240*(1+'参数'!$B$39*P240))+'参数'!$B$22*(I240)))*(1+'参数'!$B$42*P240)/'参数'!$J$5+((Q240*'参数'!$B$43*(1+'参数'!$B$39*P240))^2/((Q240*'参数'!$B$43*(1+'参数'!$B$39*P240))+'参数'!$B$22*(I240)))/'参数'!$B$44))+(((R240*(1+'参数'!$B$39*P240))^2/((R240*(1+'参数'!$B$39*P240))+'参数'!$B$22*(I240)))*(1+'参数'!$B$42*P240)/'参数'!$J$6+((R240*'参数'!$B$45*(1+'参数'!$B$39*P240))^2/((R240*'参数'!$B$45*(1+'参数'!$B$39*P240))+'参数'!$B$22*(I240)))/'参数'!$B$46)+((S240*(1+'参数'!$B$39*P240))^2/((S240*(1+'参数'!$B$39*P240))+'参数'!$B$22*(I240)))*(1+'参数'!$B$42*P240)/'参数'!$J$7)*(1+'参数'!$B$37*('参数'!$B$38-1))*'参数'!$B$25</x:f>
        <x:v>37193.43707432535</x:v>
      </x:c>
      <x:c r="W240" s="18" t="n">
        <x:f>(('参数'!$K$5*(((Q240*(1+'参数'!$B$39*P240))^2/((Q240*(1+'参数'!$B$39*P240))+'参数'!$B$22*(M240)))*(1+'参数'!$B$42*P240)/'参数'!$J$5+((Q240*'参数'!$B$43*(1+'参数'!$B$39*P240))^2/((Q240*'参数'!$B$43*(1+'参数'!$B$39*P240))+'参数'!$B$22*(M240)))/'参数'!$B$44))+(((R240*(1+'参数'!$B$39*P240))^2/((R240*(1+'参数'!$B$39*P240))+'参数'!$B$22*(M240)))*(1+'参数'!$B$42*P240)/'参数'!$J$6+((R240*'参数'!$B$45*(1+'参数'!$B$39*P240))^2/((R240*'参数'!$B$45*(1+'参数'!$B$39*P240))+'参数'!$B$22*(M240)))/'参数'!$B$46)+((S240*(1+'参数'!$B$39*P240))^2/((S240*(1+'参数'!$B$39*P240))+'参数'!$B$22*(M240)))*(1+'参数'!$B$42*P240)/'参数'!$J$7)*(1+'参数'!$B$37*('参数'!$B$38-1))</x:f>
        <x:v>28645.484800953178</x:v>
      </x:c>
      <x:c r="X240" s="25" t="n">
        <x:f>('参数'!$B$26+'参数'!$B$27*(D240-1)/99)*'参数'!$K$27*AD240</x:f>
        <x:v>19.000000000000004</x:v>
      </x:c>
      <x:c r="Y240" s="25" t="n">
        <x:f>('参数'!$B$28+'参数'!$B$29*(D240-1)/99)*'参数'!$K$27*AD240*IF(AE240=1,'参数'!$B$51,1)</x:f>
        <x:v>52.33333333333334</x:v>
      </x:c>
      <x:c r="Z240" s="21" t="n">
        <x:f>MIN('参数'!$B$36,U240/(U240+'参数'!$B$35))</x:f>
        <x:v>0.46176232807290535</x:v>
      </x:c>
      <x:c r="AA240" s="18" t="n">
        <x:f>T240*'参数'!$B$30/('参数'!$B$32*'参数'!$B$33)/(1-Z240)*AC240</x:f>
        <x:v>3184.708177955384</x:v>
      </x:c>
      <x:c r="AB240" s="18" t="n">
        <x:f>T240*'参数'!$B$31/'参数'!$B$34/(1-Z240)*AC240</x:f>
        <x:v>6369.416355910768</x:v>
      </x:c>
      <x:c r="AC240" s="15" t="n">
        <x:f>'参数'!$L$27*1</x:f>
        <x:v>1.05</x:v>
      </x:c>
      <x:c r="AD240" s="15" t="n">
        <x:f>1</x:f>
        <x:v>1</x:v>
      </x:c>
      <x:c r="AE240" s="18" t="n">
        <x:f>IF(MOD(B240,12)=0,1,0)</x:f>
        <x:v>0</x:v>
      </x:c>
    </x:row>
    <x:row r="241" ht="22" customHeight="1">
      <x:c r="A241" s="19" t="str">
        <x:v>困难</x:v>
      </x:c>
      <x:c r="B241" s="19" t="n">
        <x:v>116</x:v>
      </x:c>
      <x:c r="C241" s="19" t="n">
        <x:f>ROUNDUP(B241/12,0)</x:f>
        <x:v>10</x:v>
      </x:c>
      <x:c r="D241" s="19" t="n">
        <x:f>ROUND(MAX('参数'!$G$27,E241)+(IF(C241&lt;10,INDEX('参数'!$G$35:$P$35,1,MIN(10,C241+1)),'参数'!$H$27)-MAX('参数'!$G$27,E241))*MOD(B241-1,12)/11,0)</x:f>
        <x:v>88</x:v>
      </x:c>
      <x:c r="E241" s="19" t="n">
        <x:f>INDEX('参数'!$G$35:$P$35,1,C241)</x:f>
        <x:v>85</x:v>
      </x:c>
      <x:c r="F241" s="20" t="n">
        <x:f>'参数'!$I$27</x:f>
        <x:v>1.1</x:v>
      </x:c>
      <x:c r="G241" s="19" t="n">
        <x:f>ROUND(V241*X241/'参数'!$B$56,0)</x:f>
        <x:v>153625</x:v>
      </x:c>
      <x:c r="H241" s="19" t="n">
        <x:f>ROUND((AA241+SQRT(AA241^2+4*AA241*'参数'!$B$22*U241))/2,0)</x:f>
        <x:v>5617</x:v>
      </x:c>
      <x:c r="I241" s="19" t="n">
        <x:f>ROUND(Q241*'参数'!$B$23/'参数'!$B$22,0)</x:f>
        <x:v>1110</x:v>
      </x:c>
      <x:c r="J241" s="19" t="n">
        <x:f>ROUND(G241*'参数'!$B$50,0)</x:f>
        <x:v>460875</x:v>
      </x:c>
      <x:c r="K241" s="19" t="n">
        <x:f>ROUND(W241*Y241,0)</x:f>
        <x:v>1499114</x:v>
      </x:c>
      <x:c r="L241" s="19" t="n">
        <x:f>ROUND((AB241+SQRT(AB241^2+4*AB241*'参数'!$B$22*U241))/2,0)</x:f>
        <x:v>9306</x:v>
      </x:c>
      <x:c r="M241" s="19" t="n">
        <x:f>ROUND(I241*'参数'!$B$24,0)</x:f>
        <x:v>1388</x:v>
      </x:c>
      <x:c r="N241" s="19" t="n">
        <x:f>'参数'!$B$9*'参数'!$B$10^(D241-1)</x:f>
        <x:v>7852.1719201198985</x:v>
      </x:c>
      <x:c r="O241" s="19" t="n">
        <x:f>'参数'!$B$18*'参数'!$B$19^(MIN(E241,MAX(1,5*INT(D241/5)))-1)*F241*'参数'!$J$27*P241</x:f>
        <x:v>871.2525493855705</x:v>
      </x:c>
      <x:c r="P241" s="22" t="n">
        <x:f>MIN(1,(D241-1)/19)</x:f>
        <x:v>1</x:v>
      </x:c>
      <x:c r="Q241" s="19" t="n">
        <x:f>INDEX('角色成长'!$F$6:$F$105,D241)+O241*'参数'!$K$21</x:f>
        <x:v>5549.069765748876</x:v>
      </x:c>
      <x:c r="R241" s="19" t="n">
        <x:f>INDEX('角色成长'!$I$6:$I$105,D241)+O241*'参数'!$K$21</x:f>
        <x:v>4691.069765748876</x:v>
      </x:c>
      <x:c r="S241" s="19" t="n">
        <x:f>INDEX('角色成长'!$L$6:$L$105,D241)+O241*'参数'!$K$21</x:f>
        <x:v>4200.069765748876</x:v>
      </x:c>
      <x:c r="T241" s="19" t="n">
        <x:f>(INDEX('角色成长'!$J$6:$J$105,D241)+O241*'参数'!$L$21)*(1+'参数'!$B$40*P241)</x:f>
        <x:v>65300.18725599564</x:v>
      </x:c>
      <x:c r="U241" s="19" t="n">
        <x:f>(INDEX('角色成长'!$K$6:$K$105,D241)+O241*'参数'!$M$21)*(1+'参数'!$B$41*P241)</x:f>
        <x:v>3431.6611575672237</x:v>
      </x:c>
      <x:c r="V241" s="19" t="n">
        <x:f>(('参数'!$K$5*(((Q241*(1+'参数'!$B$39*P241))^2/((Q241*(1+'参数'!$B$39*P241))+'参数'!$B$22*(I241)))*(1+'参数'!$B$42*P241)/'参数'!$J$5+((Q241*'参数'!$B$43*(1+'参数'!$B$39*P241))^2/((Q241*'参数'!$B$43*(1+'参数'!$B$39*P241))+'参数'!$B$22*(I241)))/'参数'!$B$44))+(((R241*(1+'参数'!$B$39*P241))^2/((R241*(1+'参数'!$B$39*P241))+'参数'!$B$22*(I241)))*(1+'参数'!$B$42*P241)/'参数'!$J$6+((R241*'参数'!$B$45*(1+'参数'!$B$39*P241))^2/((R241*'参数'!$B$45*(1+'参数'!$B$39*P241))+'参数'!$B$22*(I241)))/'参数'!$B$46)+((S241*(1+'参数'!$B$39*P241))^2/((S241*(1+'参数'!$B$39*P241))+'参数'!$B$22*(I241)))*(1+'参数'!$B$42*P241)/'参数'!$J$7)*(1+'参数'!$B$37*('参数'!$B$38-1))*'参数'!$B$25</x:f>
        <x:v>37193.43707432535</x:v>
      </x:c>
      <x:c r="W241" s="19" t="n">
        <x:f>(('参数'!$K$5*(((Q241*(1+'参数'!$B$39*P241))^2/((Q241*(1+'参数'!$B$39*P241))+'参数'!$B$22*(M241)))*(1+'参数'!$B$42*P241)/'参数'!$J$5+((Q241*'参数'!$B$43*(1+'参数'!$B$39*P241))^2/((Q241*'参数'!$B$43*(1+'参数'!$B$39*P241))+'参数'!$B$22*(M241)))/'参数'!$B$44))+(((R241*(1+'参数'!$B$39*P241))^2/((R241*(1+'参数'!$B$39*P241))+'参数'!$B$22*(M241)))*(1+'参数'!$B$42*P241)/'参数'!$J$6+((R241*'参数'!$B$45*(1+'参数'!$B$39*P241))^2/((R241*'参数'!$B$45*(1+'参数'!$B$39*P241))+'参数'!$B$22*(M241)))/'参数'!$B$46)+((S241*(1+'参数'!$B$39*P241))^2/((S241*(1+'参数'!$B$39*P241))+'参数'!$B$22*(M241)))*(1+'参数'!$B$42*P241)/'参数'!$J$7)*(1+'参数'!$B$37*('参数'!$B$38-1))</x:f>
        <x:v>28645.484800953178</x:v>
      </x:c>
      <x:c r="X241" s="26" t="n">
        <x:f>('参数'!$B$26+'参数'!$B$27*(D241-1)/99)*'参数'!$K$27*AD241</x:f>
        <x:v>19.000000000000004</x:v>
      </x:c>
      <x:c r="Y241" s="26" t="n">
        <x:f>('参数'!$B$28+'参数'!$B$29*(D241-1)/99)*'参数'!$K$27*AD241*IF(AE241=1,'参数'!$B$51,1)</x:f>
        <x:v>52.33333333333334</x:v>
      </x:c>
      <x:c r="Z241" s="22" t="n">
        <x:f>MIN('参数'!$B$36,U241/(U241+'参数'!$B$35))</x:f>
        <x:v>0.46176232807290535</x:v>
      </x:c>
      <x:c r="AA241" s="19" t="n">
        <x:f>T241*'参数'!$B$30/('参数'!$B$32*'参数'!$B$33)/(1-Z241)*AC241</x:f>
        <x:v>3184.708177955384</x:v>
      </x:c>
      <x:c r="AB241" s="19" t="n">
        <x:f>T241*'参数'!$B$31/'参数'!$B$34/(1-Z241)*AC241</x:f>
        <x:v>6369.416355910768</x:v>
      </x:c>
      <x:c r="AC241" s="20" t="n">
        <x:f>'参数'!$L$27*1</x:f>
        <x:v>1.05</x:v>
      </x:c>
      <x:c r="AD241" s="20" t="n">
        <x:f>1</x:f>
        <x:v>1</x:v>
      </x:c>
      <x:c r="AE241" s="19" t="n">
        <x:f>IF(MOD(B241,12)=0,1,0)</x:f>
        <x:v>0</x:v>
      </x:c>
    </x:row>
    <x:row r="242" ht="22" customHeight="1">
      <x:c r="A242" s="18" t="str">
        <x:v>困难</x:v>
      </x:c>
      <x:c r="B242" s="18" t="n">
        <x:v>117</x:v>
      </x:c>
      <x:c r="C242" s="18" t="n">
        <x:f>ROUNDUP(B242/12,0)</x:f>
        <x:v>10</x:v>
      </x:c>
      <x:c r="D242" s="18" t="n">
        <x:f>ROUND(MAX('参数'!$G$27,E242)+(IF(C242&lt;10,INDEX('参数'!$G$35:$P$35,1,MIN(10,C242+1)),'参数'!$H$27)-MAX('参数'!$G$27,E242))*MOD(B242-1,12)/11,0)</x:f>
        <x:v>89</x:v>
      </x:c>
      <x:c r="E242" s="18" t="n">
        <x:f>INDEX('参数'!$G$35:$P$35,1,C242)</x:f>
        <x:v>85</x:v>
      </x:c>
      <x:c r="F242" s="15" t="n">
        <x:f>'参数'!$I$27</x:f>
        <x:v>1.1</x:v>
      </x:c>
      <x:c r="G242" s="18" t="n">
        <x:f>ROUND(V242*X242/'参数'!$B$56,0)</x:f>
        <x:v>157004</x:v>
      </x:c>
      <x:c r="H242" s="18" t="n">
        <x:f>ROUND((AA242+SQRT(AA242^2+4*AA242*'参数'!$B$22*U242))/2,0)</x:f>
        <x:v>5774</x:v>
      </x:c>
      <x:c r="I242" s="18" t="n">
        <x:f>ROUND(Q242*'参数'!$B$23/'参数'!$B$22,0)</x:f>
        <x:v>1131</x:v>
      </x:c>
      <x:c r="J242" s="18" t="n">
        <x:f>ROUND(G242*'参数'!$B$50,0)</x:f>
        <x:v>471012</x:v>
      </x:c>
      <x:c r="K242" s="18" t="n">
        <x:f>ROUND(W242*Y242,0)</x:f>
        <x:v>1533256</x:v>
      </x:c>
      <x:c r="L242" s="18" t="n">
        <x:f>ROUND((AB242+SQRT(AB242^2+4*AB242*'参数'!$B$22*U242))/2,0)</x:f>
        <x:v>9575</x:v>
      </x:c>
      <x:c r="M242" s="18" t="n">
        <x:f>ROUND(I242*'参数'!$B$24,0)</x:f>
        <x:v>1414</x:v>
      </x:c>
      <x:c r="N242" s="18" t="n">
        <x:f>'参数'!$B$9*'参数'!$B$10^(D242-1)</x:f>
        <x:v>8087.737077723496</x:v>
      </x:c>
      <x:c r="O242" s="18" t="n">
        <x:f>'参数'!$B$18*'参数'!$B$19^(MIN(E242,MAX(1,5*INT(D242/5)))-1)*F242*'参数'!$J$27*P242</x:f>
        <x:v>871.2525493855705</x:v>
      </x:c>
      <x:c r="P242" s="21" t="n">
        <x:f>MIN(1,(D242-1)/19)</x:f>
        <x:v>1</x:v>
      </x:c>
      <x:c r="Q242" s="18" t="n">
        <x:f>INDEX('角色成长'!$F$6:$F$105,D242)+O242*'参数'!$K$21</x:f>
        <x:v>5657.069765748876</x:v>
      </x:c>
      <x:c r="R242" s="18" t="n">
        <x:f>INDEX('角色成长'!$I$6:$I$105,D242)+O242*'参数'!$K$21</x:f>
        <x:v>4768.069765748876</x:v>
      </x:c>
      <x:c r="S242" s="18" t="n">
        <x:f>INDEX('角色成长'!$L$6:$L$105,D242)+O242*'参数'!$K$21</x:f>
        <x:v>4260.069765748876</x:v>
      </x:c>
      <x:c r="T242" s="18" t="n">
        <x:f>(INDEX('角色成长'!$J$6:$J$105,D242)+O242*'参数'!$L$21)*(1+'参数'!$B$40*P242)</x:f>
        <x:v>66884.18725599564</x:v>
      </x:c>
      <x:c r="U242" s="18" t="n">
        <x:f>(INDEX('角色成长'!$K$6:$K$105,D242)+O242*'参数'!$M$21)*(1+'参数'!$B$41*P242)</x:f>
        <x:v>3492.1611575672237</x:v>
      </x:c>
      <x:c r="V242" s="18" t="n">
        <x:f>(('参数'!$K$5*(((Q242*(1+'参数'!$B$39*P242))^2/((Q242*(1+'参数'!$B$39*P242))+'参数'!$B$22*(I242)))*(1+'参数'!$B$42*P242)/'参数'!$J$5+((Q242*'参数'!$B$43*(1+'参数'!$B$39*P242))^2/((Q242*'参数'!$B$43*(1+'参数'!$B$39*P242))+'参数'!$B$22*(I242)))/'参数'!$B$44))+(((R242*(1+'参数'!$B$39*P242))^2/((R242*(1+'参数'!$B$39*P242))+'参数'!$B$22*(I242)))*(1+'参数'!$B$42*P242)/'参数'!$J$6+((R242*'参数'!$B$45*(1+'参数'!$B$39*P242))^2/((R242*'参数'!$B$45*(1+'参数'!$B$39*P242))+'参数'!$B$22*(I242)))/'参数'!$B$46)+((S242*(1+'参数'!$B$39*P242))^2/((S242*(1+'参数'!$B$39*P242))+'参数'!$B$22*(I242)))*(1+'参数'!$B$42*P242)/'参数'!$J$7)*(1+'参数'!$B$37*('参数'!$B$38-1))*'参数'!$B$25</x:f>
        <x:v>37878.61072306712</x:v>
      </x:c>
      <x:c r="W242" s="18" t="n">
        <x:f>(('参数'!$K$5*(((Q242*(1+'参数'!$B$39*P242))^2/((Q242*(1+'参数'!$B$39*P242))+'参数'!$B$22*(M242)))*(1+'参数'!$B$42*P242)/'参数'!$J$5+((Q242*'参数'!$B$43*(1+'参数'!$B$39*P242))^2/((Q242*'参数'!$B$43*(1+'参数'!$B$39*P242))+'参数'!$B$22*(M242)))/'参数'!$B$44))+(((R242*(1+'参数'!$B$39*P242))^2/((R242*(1+'参数'!$B$39*P242))+'参数'!$B$22*(M242)))*(1+'参数'!$B$42*P242)/'参数'!$J$6+((R242*'参数'!$B$45*(1+'参数'!$B$39*P242))^2/((R242*'参数'!$B$45*(1+'参数'!$B$39*P242))+'参数'!$B$22*(M242)))/'参数'!$B$46)+((S242*(1+'参数'!$B$39*P242))^2/((S242*(1+'参数'!$B$39*P242))+'参数'!$B$22*(M242)))*(1+'参数'!$B$42*P242)/'参数'!$J$7)*(1+'参数'!$B$37*('参数'!$B$38-1))</x:f>
        <x:v>29174.003307700143</x:v>
      </x:c>
      <x:c r="X242" s="25" t="n">
        <x:f>('参数'!$B$26+'参数'!$B$27*(D242-1)/99)*'参数'!$K$27*AD242</x:f>
        <x:v>19.066666666666666</x:v>
      </x:c>
      <x:c r="Y242" s="25" t="n">
        <x:f>('参数'!$B$28+'参数'!$B$29*(D242-1)/99)*'参数'!$K$27*AD242*IF(AE242=1,'参数'!$B$51,1)</x:f>
        <x:v>52.55555555555556</x:v>
      </x:c>
      <x:c r="Z242" s="21" t="n">
        <x:f>MIN('参数'!$B$36,U242/(U242+'参数'!$B$35))</x:f>
        <x:v>0.46610865464900947</x:v>
      </x:c>
      <x:c r="AA242" s="18" t="n">
        <x:f>T242*'参数'!$B$30/('参数'!$B$32*'参数'!$B$33)/(1-Z242)*AC242</x:f>
        <x:v>3288.515408159778</x:v>
      </x:c>
      <x:c r="AB242" s="18" t="n">
        <x:f>T242*'参数'!$B$31/'参数'!$B$34/(1-Z242)*AC242</x:f>
        <x:v>6577.030816319556</x:v>
      </x:c>
      <x:c r="AC242" s="15" t="n">
        <x:f>'参数'!$L$27*1</x:f>
        <x:v>1.05</x:v>
      </x:c>
      <x:c r="AD242" s="15" t="n">
        <x:f>1</x:f>
        <x:v>1</x:v>
      </x:c>
      <x:c r="AE242" s="18" t="n">
        <x:f>IF(MOD(B242,12)=0,1,0)</x:f>
        <x:v>0</x:v>
      </x:c>
    </x:row>
    <x:row r="243" ht="22" customHeight="1">
      <x:c r="A243" s="19" t="str">
        <x:v>困难</x:v>
      </x:c>
      <x:c r="B243" s="19" t="n">
        <x:v>118</x:v>
      </x:c>
      <x:c r="C243" s="19" t="n">
        <x:f>ROUNDUP(B243/12,0)</x:f>
        <x:v>10</x:v>
      </x:c>
      <x:c r="D243" s="19" t="n">
        <x:f>ROUND(MAX('参数'!$G$27,E243)+(IF(C243&lt;10,INDEX('参数'!$G$35:$P$35,1,MIN(10,C243+1)),'参数'!$H$27)-MAX('参数'!$G$27,E243))*MOD(B243-1,12)/11,0)</x:f>
        <x:v>89</x:v>
      </x:c>
      <x:c r="E243" s="19" t="n">
        <x:f>INDEX('参数'!$G$35:$P$35,1,C243)</x:f>
        <x:v>85</x:v>
      </x:c>
      <x:c r="F243" s="20" t="n">
        <x:f>'参数'!$I$27</x:f>
        <x:v>1.1</x:v>
      </x:c>
      <x:c r="G243" s="19" t="n">
        <x:f>ROUND(V243*X243/'参数'!$B$56,0)</x:f>
        <x:v>157004</x:v>
      </x:c>
      <x:c r="H243" s="19" t="n">
        <x:f>ROUND((AA243+SQRT(AA243^2+4*AA243*'参数'!$B$22*U243))/2,0)</x:f>
        <x:v>5774</x:v>
      </x:c>
      <x:c r="I243" s="19" t="n">
        <x:f>ROUND(Q243*'参数'!$B$23/'参数'!$B$22,0)</x:f>
        <x:v>1131</x:v>
      </x:c>
      <x:c r="J243" s="19" t="n">
        <x:f>ROUND(G243*'参数'!$B$50,0)</x:f>
        <x:v>471012</x:v>
      </x:c>
      <x:c r="K243" s="19" t="n">
        <x:f>ROUND(W243*Y243,0)</x:f>
        <x:v>1533256</x:v>
      </x:c>
      <x:c r="L243" s="19" t="n">
        <x:f>ROUND((AB243+SQRT(AB243^2+4*AB243*'参数'!$B$22*U243))/2,0)</x:f>
        <x:v>9575</x:v>
      </x:c>
      <x:c r="M243" s="19" t="n">
        <x:f>ROUND(I243*'参数'!$B$24,0)</x:f>
        <x:v>1414</x:v>
      </x:c>
      <x:c r="N243" s="19" t="n">
        <x:f>'参数'!$B$9*'参数'!$B$10^(D243-1)</x:f>
        <x:v>8087.737077723496</x:v>
      </x:c>
      <x:c r="O243" s="19" t="n">
        <x:f>'参数'!$B$18*'参数'!$B$19^(MIN(E243,MAX(1,5*INT(D243/5)))-1)*F243*'参数'!$J$27*P243</x:f>
        <x:v>871.2525493855705</x:v>
      </x:c>
      <x:c r="P243" s="22" t="n">
        <x:f>MIN(1,(D243-1)/19)</x:f>
        <x:v>1</x:v>
      </x:c>
      <x:c r="Q243" s="19" t="n">
        <x:f>INDEX('角色成长'!$F$6:$F$105,D243)+O243*'参数'!$K$21</x:f>
        <x:v>5657.069765748876</x:v>
      </x:c>
      <x:c r="R243" s="19" t="n">
        <x:f>INDEX('角色成长'!$I$6:$I$105,D243)+O243*'参数'!$K$21</x:f>
        <x:v>4768.069765748876</x:v>
      </x:c>
      <x:c r="S243" s="19" t="n">
        <x:f>INDEX('角色成长'!$L$6:$L$105,D243)+O243*'参数'!$K$21</x:f>
        <x:v>4260.069765748876</x:v>
      </x:c>
      <x:c r="T243" s="19" t="n">
        <x:f>(INDEX('角色成长'!$J$6:$J$105,D243)+O243*'参数'!$L$21)*(1+'参数'!$B$40*P243)</x:f>
        <x:v>66884.18725599564</x:v>
      </x:c>
      <x:c r="U243" s="19" t="n">
        <x:f>(INDEX('角色成长'!$K$6:$K$105,D243)+O243*'参数'!$M$21)*(1+'参数'!$B$41*P243)</x:f>
        <x:v>3492.1611575672237</x:v>
      </x:c>
      <x:c r="V243" s="19" t="n">
        <x:f>(('参数'!$K$5*(((Q243*(1+'参数'!$B$39*P243))^2/((Q243*(1+'参数'!$B$39*P243))+'参数'!$B$22*(I243)))*(1+'参数'!$B$42*P243)/'参数'!$J$5+((Q243*'参数'!$B$43*(1+'参数'!$B$39*P243))^2/((Q243*'参数'!$B$43*(1+'参数'!$B$39*P243))+'参数'!$B$22*(I243)))/'参数'!$B$44))+(((R243*(1+'参数'!$B$39*P243))^2/((R243*(1+'参数'!$B$39*P243))+'参数'!$B$22*(I243)))*(1+'参数'!$B$42*P243)/'参数'!$J$6+((R243*'参数'!$B$45*(1+'参数'!$B$39*P243))^2/((R243*'参数'!$B$45*(1+'参数'!$B$39*P243))+'参数'!$B$22*(I243)))/'参数'!$B$46)+((S243*(1+'参数'!$B$39*P243))^2/((S243*(1+'参数'!$B$39*P243))+'参数'!$B$22*(I243)))*(1+'参数'!$B$42*P243)/'参数'!$J$7)*(1+'参数'!$B$37*('参数'!$B$38-1))*'参数'!$B$25</x:f>
        <x:v>37878.61072306712</x:v>
      </x:c>
      <x:c r="W243" s="19" t="n">
        <x:f>(('参数'!$K$5*(((Q243*(1+'参数'!$B$39*P243))^2/((Q243*(1+'参数'!$B$39*P243))+'参数'!$B$22*(M243)))*(1+'参数'!$B$42*P243)/'参数'!$J$5+((Q243*'参数'!$B$43*(1+'参数'!$B$39*P243))^2/((Q243*'参数'!$B$43*(1+'参数'!$B$39*P243))+'参数'!$B$22*(M243)))/'参数'!$B$44))+(((R243*(1+'参数'!$B$39*P243))^2/((R243*(1+'参数'!$B$39*P243))+'参数'!$B$22*(M243)))*(1+'参数'!$B$42*P243)/'参数'!$J$6+((R243*'参数'!$B$45*(1+'参数'!$B$39*P243))^2/((R243*'参数'!$B$45*(1+'参数'!$B$39*P243))+'参数'!$B$22*(M243)))/'参数'!$B$46)+((S243*(1+'参数'!$B$39*P243))^2/((S243*(1+'参数'!$B$39*P243))+'参数'!$B$22*(M243)))*(1+'参数'!$B$42*P243)/'参数'!$J$7)*(1+'参数'!$B$37*('参数'!$B$38-1))</x:f>
        <x:v>29174.003307700143</x:v>
      </x:c>
      <x:c r="X243" s="26" t="n">
        <x:f>('参数'!$B$26+'参数'!$B$27*(D243-1)/99)*'参数'!$K$27*AD243</x:f>
        <x:v>19.066666666666666</x:v>
      </x:c>
      <x:c r="Y243" s="26" t="n">
        <x:f>('参数'!$B$28+'参数'!$B$29*(D243-1)/99)*'参数'!$K$27*AD243*IF(AE243=1,'参数'!$B$51,1)</x:f>
        <x:v>52.55555555555556</x:v>
      </x:c>
      <x:c r="Z243" s="22" t="n">
        <x:f>MIN('参数'!$B$36,U243/(U243+'参数'!$B$35))</x:f>
        <x:v>0.46610865464900947</x:v>
      </x:c>
      <x:c r="AA243" s="19" t="n">
        <x:f>T243*'参数'!$B$30/('参数'!$B$32*'参数'!$B$33)/(1-Z243)*AC243</x:f>
        <x:v>3288.515408159778</x:v>
      </x:c>
      <x:c r="AB243" s="19" t="n">
        <x:f>T243*'参数'!$B$31/'参数'!$B$34/(1-Z243)*AC243</x:f>
        <x:v>6577.030816319556</x:v>
      </x:c>
      <x:c r="AC243" s="20" t="n">
        <x:f>'参数'!$L$27*1</x:f>
        <x:v>1.05</x:v>
      </x:c>
      <x:c r="AD243" s="20" t="n">
        <x:f>1</x:f>
        <x:v>1</x:v>
      </x:c>
      <x:c r="AE243" s="19" t="n">
        <x:f>IF(MOD(B243,12)=0,1,0)</x:f>
        <x:v>0</x:v>
      </x:c>
    </x:row>
    <x:row r="244" ht="22" customHeight="1">
      <x:c r="A244" s="18" t="str">
        <x:v>困难</x:v>
      </x:c>
      <x:c r="B244" s="18" t="n">
        <x:v>119</x:v>
      </x:c>
      <x:c r="C244" s="18" t="n">
        <x:f>ROUNDUP(B244/12,0)</x:f>
        <x:v>10</x:v>
      </x:c>
      <x:c r="D244" s="18" t="n">
        <x:f>ROUND(MAX('参数'!$G$27,E244)+(IF(C244&lt;10,INDEX('参数'!$G$35:$P$35,1,MIN(10,C244+1)),'参数'!$H$27)-MAX('参数'!$G$27,E244))*MOD(B244-1,12)/11,0)</x:f>
        <x:v>90</x:v>
      </x:c>
      <x:c r="E244" s="18" t="n">
        <x:f>INDEX('参数'!$G$35:$P$35,1,C244)</x:f>
        <x:v>85</x:v>
      </x:c>
      <x:c r="F244" s="15" t="n">
        <x:f>'参数'!$I$27</x:f>
        <x:v>1.1</x:v>
      </x:c>
      <x:c r="G244" s="18" t="n">
        <x:f>ROUND(V244*X244/'参数'!$B$56,0)</x:f>
        <x:v>160458</x:v>
      </x:c>
      <x:c r="H244" s="18" t="n">
        <x:f>ROUND((AA244+SQRT(AA244^2+4*AA244*'参数'!$B$22*U244))/2,0)</x:f>
        <x:v>5940</x:v>
      </x:c>
      <x:c r="I244" s="18" t="n">
        <x:f>ROUND(Q244*'参数'!$B$23/'参数'!$B$22,0)</x:f>
        <x:v>1154</x:v>
      </x:c>
      <x:c r="J244" s="18" t="n">
        <x:f>ROUND(G244*'参数'!$B$50,0)</x:f>
        <x:v>481374</x:v>
      </x:c>
      <x:c r="K244" s="18" t="n">
        <x:f>ROUND(W244*Y244,0)</x:f>
        <x:v>1568013</x:v>
      </x:c>
      <x:c r="L244" s="18" t="n">
        <x:f>ROUND((AB244+SQRT(AB244^2+4*AB244*'参数'!$B$22*U244))/2,0)</x:f>
        <x:v>9860</x:v>
      </x:c>
      <x:c r="M244" s="18" t="n">
        <x:f>ROUND(I244*'参数'!$B$24,0)</x:f>
        <x:v>1443</x:v>
      </x:c>
      <x:c r="N244" s="18" t="n">
        <x:f>'参数'!$B$9*'参数'!$B$10^(D244-1)</x:f>
        <x:v>8330.3691900552</x:v>
      </x:c>
      <x:c r="O244" s="18" t="n">
        <x:f>'参数'!$B$18*'参数'!$B$19^(MIN(E244,MAX(1,5*INT(D244/5)))-1)*F244*'参数'!$J$27*P244</x:f>
        <x:v>871.2525493855705</x:v>
      </x:c>
      <x:c r="P244" s="21" t="n">
        <x:f>MIN(1,(D244-1)/19)</x:f>
        <x:v>1</x:v>
      </x:c>
      <x:c r="Q244" s="18" t="n">
        <x:f>INDEX('角色成长'!$F$6:$F$105,D244)+O244*'参数'!$K$21</x:f>
        <x:v>5768.069765748876</x:v>
      </x:c>
      <x:c r="R244" s="18" t="n">
        <x:f>INDEX('角色成长'!$I$6:$I$105,D244)+O244*'参数'!$K$21</x:f>
        <x:v>4848.069765748876</x:v>
      </x:c>
      <x:c r="S244" s="18" t="n">
        <x:f>INDEX('角色成长'!$L$6:$L$105,D244)+O244*'参数'!$K$21</x:f>
        <x:v>4322.069765748876</x:v>
      </x:c>
      <x:c r="T244" s="18" t="n">
        <x:f>(INDEX('角色成长'!$J$6:$J$105,D244)+O244*'参数'!$L$21)*(1+'参数'!$B$40*P244)</x:f>
        <x:v>68526.48725599564</x:v>
      </x:c>
      <x:c r="U244" s="18" t="n">
        <x:f>(INDEX('角色成长'!$K$6:$K$105,D244)+O244*'参数'!$M$21)*(1+'参数'!$B$41*P244)</x:f>
        <x:v>3555.961157567224</x:v>
      </x:c>
      <x:c r="V244" s="18" t="n">
        <x:f>(('参数'!$K$5*(((Q244*(1+'参数'!$B$39*P244))^2/((Q244*(1+'参数'!$B$39*P244))+'参数'!$B$22*(I244)))*(1+'参数'!$B$42*P244)/'参数'!$J$5+((Q244*'参数'!$B$43*(1+'参数'!$B$39*P244))^2/((Q244*'参数'!$B$43*(1+'参数'!$B$39*P244))+'参数'!$B$22*(I244)))/'参数'!$B$44))+(((R244*(1+'参数'!$B$39*P244))^2/((R244*(1+'参数'!$B$39*P244))+'参数'!$B$22*(I244)))*(1+'参数'!$B$42*P244)/'参数'!$J$6+((R244*'参数'!$B$45*(1+'参数'!$B$39*P244))^2/((R244*'参数'!$B$45*(1+'参数'!$B$39*P244))+'参数'!$B$22*(I244)))/'参数'!$B$46)+((S244*(1+'参数'!$B$39*P244))^2/((S244*(1+'参数'!$B$39*P244))+'参数'!$B$22*(I244)))*(1+'参数'!$B$42*P244)/'参数'!$J$7)*(1+'参数'!$B$37*('参数'!$B$38-1))*'参数'!$B$25</x:f>
        <x:v>38577.021384121734</x:v>
      </x:c>
      <x:c r="W244" s="18" t="n">
        <x:f>(('参数'!$K$5*(((Q244*(1+'参数'!$B$39*P244))^2/((Q244*(1+'参数'!$B$39*P244))+'参数'!$B$22*(M244)))*(1+'参数'!$B$42*P244)/'参数'!$J$5+((Q244*'参数'!$B$43*(1+'参数'!$B$39*P244))^2/((Q244*'参数'!$B$43*(1+'参数'!$B$39*P244))+'参数'!$B$22*(M244)))/'参数'!$B$44))+(((R244*(1+'参数'!$B$39*P244))^2/((R244*(1+'参数'!$B$39*P244))+'参数'!$B$22*(M244)))*(1+'参数'!$B$42*P244)/'参数'!$J$6+((R244*'参数'!$B$45*(1+'参数'!$B$39*P244))^2/((R244*'参数'!$B$45*(1+'参数'!$B$39*P244))+'参数'!$B$22*(M244)))/'参数'!$B$46)+((S244*(1+'参数'!$B$39*P244))^2/((S244*(1+'参数'!$B$39*P244))+'参数'!$B$22*(M244)))*(1+'参数'!$B$42*P244)/'参数'!$J$7)*(1+'参数'!$B$37*('参数'!$B$38-1))</x:f>
        <x:v>29709.722325504703</x:v>
      </x:c>
      <x:c r="X244" s="25" t="n">
        <x:f>('参数'!$B$26+'参数'!$B$27*(D244-1)/99)*'参数'!$K$27*AD244</x:f>
        <x:v>19.133333333333336</x:v>
      </x:c>
      <x:c r="Y244" s="25" t="n">
        <x:f>('参数'!$B$28+'参数'!$B$29*(D244-1)/99)*'参数'!$K$27*AD244*IF(AE244=1,'参数'!$B$51,1)</x:f>
        <x:v>52.77777777777778</x:v>
      </x:c>
      <x:c r="Z244" s="21" t="n">
        <x:f>MIN('参数'!$B$36,U244/(U244+'参数'!$B$35))</x:f>
        <x:v>0.47061665397868835</x:v>
      </x:c>
      <x:c r="AA244" s="18" t="n">
        <x:f>T244*'参数'!$B$30/('参数'!$B$32*'参数'!$B$33)/(1-Z244)*AC244</x:f>
        <x:v>3397.954061058562</x:v>
      </x:c>
      <x:c r="AB244" s="18" t="n">
        <x:f>T244*'参数'!$B$31/'参数'!$B$34/(1-Z244)*AC244</x:f>
        <x:v>6795.908122117124</x:v>
      </x:c>
      <x:c r="AC244" s="15" t="n">
        <x:f>'参数'!$L$27*1</x:f>
        <x:v>1.05</x:v>
      </x:c>
      <x:c r="AD244" s="15" t="n">
        <x:f>1</x:f>
        <x:v>1</x:v>
      </x:c>
      <x:c r="AE244" s="18" t="n">
        <x:f>IF(MOD(B244,12)=0,1,0)</x:f>
        <x:v>0</x:v>
      </x:c>
    </x:row>
    <x:row r="245" ht="22" customHeight="1">
      <x:c r="A245" s="19" t="str">
        <x:v>困难</x:v>
      </x:c>
      <x:c r="B245" s="19" t="n">
        <x:v>120</x:v>
      </x:c>
      <x:c r="C245" s="19" t="n">
        <x:f>ROUNDUP(B245/12,0)</x:f>
        <x:v>10</x:v>
      </x:c>
      <x:c r="D245" s="19" t="n">
        <x:f>ROUND(MAX('参数'!$G$27,E245)+(IF(C245&lt;10,INDEX('参数'!$G$35:$P$35,1,MIN(10,C245+1)),'参数'!$H$27)-MAX('参数'!$G$27,E245))*MOD(B245-1,12)/11,0)</x:f>
        <x:v>90</x:v>
      </x:c>
      <x:c r="E245" s="19" t="n">
        <x:f>INDEX('参数'!$G$35:$P$35,1,C245)</x:f>
        <x:v>85</x:v>
      </x:c>
      <x:c r="F245" s="20" t="n">
        <x:f>'参数'!$I$27</x:f>
        <x:v>1.1</x:v>
      </x:c>
      <x:c r="G245" s="19" t="n">
        <x:f>ROUND(V245*X245/'参数'!$B$56,0)</x:f>
        <x:v>160458</x:v>
      </x:c>
      <x:c r="H245" s="19" t="n">
        <x:f>ROUND((AA245+SQRT(AA245^2+4*AA245*'参数'!$B$22*U245))/2,0)</x:f>
        <x:v>5940</x:v>
      </x:c>
      <x:c r="I245" s="19" t="n">
        <x:f>ROUND(Q245*'参数'!$B$23/'参数'!$B$22,0)</x:f>
        <x:v>1154</x:v>
      </x:c>
      <x:c r="J245" s="19" t="n">
        <x:f>ROUND(G245*'参数'!$B$50,0)</x:f>
        <x:v>481374</x:v>
      </x:c>
      <x:c r="K245" s="19" t="n">
        <x:f>ROUND(W245*Y245,0)</x:f>
        <x:v>1803215</x:v>
      </x:c>
      <x:c r="L245" s="19" t="n">
        <x:f>ROUND((AB245+SQRT(AB245^2+4*AB245*'参数'!$B$22*U245))/2,0)</x:f>
        <x:v>9860</x:v>
      </x:c>
      <x:c r="M245" s="19" t="n">
        <x:f>ROUND(I245*'参数'!$B$24,0)</x:f>
        <x:v>1443</x:v>
      </x:c>
      <x:c r="N245" s="19" t="n">
        <x:f>'参数'!$B$9*'参数'!$B$10^(D245-1)</x:f>
        <x:v>8330.3691900552</x:v>
      </x:c>
      <x:c r="O245" s="19" t="n">
        <x:f>'参数'!$B$18*'参数'!$B$19^(MIN(E245,MAX(1,5*INT(D245/5)))-1)*F245*'参数'!$J$27*P245</x:f>
        <x:v>871.2525493855705</x:v>
      </x:c>
      <x:c r="P245" s="22" t="n">
        <x:f>MIN(1,(D245-1)/19)</x:f>
        <x:v>1</x:v>
      </x:c>
      <x:c r="Q245" s="19" t="n">
        <x:f>INDEX('角色成长'!$F$6:$F$105,D245)+O245*'参数'!$K$21</x:f>
        <x:v>5768.069765748876</x:v>
      </x:c>
      <x:c r="R245" s="19" t="n">
        <x:f>INDEX('角色成长'!$I$6:$I$105,D245)+O245*'参数'!$K$21</x:f>
        <x:v>4848.069765748876</x:v>
      </x:c>
      <x:c r="S245" s="19" t="n">
        <x:f>INDEX('角色成长'!$L$6:$L$105,D245)+O245*'参数'!$K$21</x:f>
        <x:v>4322.069765748876</x:v>
      </x:c>
      <x:c r="T245" s="19" t="n">
        <x:f>(INDEX('角色成长'!$J$6:$J$105,D245)+O245*'参数'!$L$21)*(1+'参数'!$B$40*P245)</x:f>
        <x:v>68526.48725599564</x:v>
      </x:c>
      <x:c r="U245" s="19" t="n">
        <x:f>(INDEX('角色成长'!$K$6:$K$105,D245)+O245*'参数'!$M$21)*(1+'参数'!$B$41*P245)</x:f>
        <x:v>3555.961157567224</x:v>
      </x:c>
      <x:c r="V245" s="19" t="n">
        <x:f>(('参数'!$K$5*(((Q245*(1+'参数'!$B$39*P245))^2/((Q245*(1+'参数'!$B$39*P245))+'参数'!$B$22*(I245)))*(1+'参数'!$B$42*P245)/'参数'!$J$5+((Q245*'参数'!$B$43*(1+'参数'!$B$39*P245))^2/((Q245*'参数'!$B$43*(1+'参数'!$B$39*P245))+'参数'!$B$22*(I245)))/'参数'!$B$44))+(((R245*(1+'参数'!$B$39*P245))^2/((R245*(1+'参数'!$B$39*P245))+'参数'!$B$22*(I245)))*(1+'参数'!$B$42*P245)/'参数'!$J$6+((R245*'参数'!$B$45*(1+'参数'!$B$39*P245))^2/((R245*'参数'!$B$45*(1+'参数'!$B$39*P245))+'参数'!$B$22*(I245)))/'参数'!$B$46)+((S245*(1+'参数'!$B$39*P245))^2/((S245*(1+'参数'!$B$39*P245))+'参数'!$B$22*(I245)))*(1+'参数'!$B$42*P245)/'参数'!$J$7)*(1+'参数'!$B$37*('参数'!$B$38-1))*'参数'!$B$25</x:f>
        <x:v>38577.021384121734</x:v>
      </x:c>
      <x:c r="W245" s="19" t="n">
        <x:f>(('参数'!$K$5*(((Q245*(1+'参数'!$B$39*P245))^2/((Q245*(1+'参数'!$B$39*P245))+'参数'!$B$22*(M245)))*(1+'参数'!$B$42*P245)/'参数'!$J$5+((Q245*'参数'!$B$43*(1+'参数'!$B$39*P245))^2/((Q245*'参数'!$B$43*(1+'参数'!$B$39*P245))+'参数'!$B$22*(M245)))/'参数'!$B$44))+(((R245*(1+'参数'!$B$39*P245))^2/((R245*(1+'参数'!$B$39*P245))+'参数'!$B$22*(M245)))*(1+'参数'!$B$42*P245)/'参数'!$J$6+((R245*'参数'!$B$45*(1+'参数'!$B$39*P245))^2/((R245*'参数'!$B$45*(1+'参数'!$B$39*P245))+'参数'!$B$22*(M245)))/'参数'!$B$46)+((S245*(1+'参数'!$B$39*P245))^2/((S245*(1+'参数'!$B$39*P245))+'参数'!$B$22*(M245)))*(1+'参数'!$B$42*P245)/'参数'!$J$7)*(1+'参数'!$B$37*('参数'!$B$38-1))</x:f>
        <x:v>29709.722325504703</x:v>
      </x:c>
      <x:c r="X245" s="26" t="n">
        <x:f>('参数'!$B$26+'参数'!$B$27*(D245-1)/99)*'参数'!$K$27*AD245</x:f>
        <x:v>19.133333333333336</x:v>
      </x:c>
      <x:c r="Y245" s="26" t="n">
        <x:f>('参数'!$B$28+'参数'!$B$29*(D245-1)/99)*'参数'!$K$27*AD245*IF(AE245=1,'参数'!$B$51,1)</x:f>
        <x:v>60.69444444444444</x:v>
      </x:c>
      <x:c r="Z245" s="22" t="n">
        <x:f>MIN('参数'!$B$36,U245/(U245+'参数'!$B$35))</x:f>
        <x:v>0.47061665397868835</x:v>
      </x:c>
      <x:c r="AA245" s="19" t="n">
        <x:f>T245*'参数'!$B$30/('参数'!$B$32*'参数'!$B$33)/(1-Z245)*AC245</x:f>
        <x:v>3397.954061058562</x:v>
      </x:c>
      <x:c r="AB245" s="19" t="n">
        <x:f>T245*'参数'!$B$31/'参数'!$B$34/(1-Z245)*AC245</x:f>
        <x:v>6795.908122117124</x:v>
      </x:c>
      <x:c r="AC245" s="20" t="n">
        <x:f>'参数'!$L$27*1</x:f>
        <x:v>1.05</x:v>
      </x:c>
      <x:c r="AD245" s="20" t="n">
        <x:f>1</x:f>
        <x:v>1</x:v>
      </x:c>
      <x:c r="AE245" s="19" t="n">
        <x:f>IF(MOD(B245,12)=0,1,0)</x:f>
        <x:v>1</x:v>
      </x:c>
    </x:row>
    <x:row r="246" ht="22" customHeight="1">
      <x:c r="A246" s="18" t="str">
        <x:v>噩梦</x:v>
      </x:c>
      <x:c r="B246" s="18" t="n">
        <x:v>1</x:v>
      </x:c>
      <x:c r="C246" s="18" t="n">
        <x:f>ROUNDUP(B246/12,0)</x:f>
        <x:v>1</x:v>
      </x:c>
      <x:c r="D246" s="18" t="n">
        <x:f>ROUND(MAX('参数'!$G$28,E246)+(IF(C246&lt;10,INDEX('参数'!$G$36:$P$36,1,MIN(10,C246+1)),'参数'!$H$28)-MAX('参数'!$G$28,E246))*MOD(B246-1,12)/11,0)</x:f>
        <x:v>90</x:v>
      </x:c>
      <x:c r="E246" s="18" t="n">
        <x:f>INDEX('参数'!$G$36:$P$36,1,C246)</x:f>
        <x:v>90</x:v>
      </x:c>
      <x:c r="F246" s="15" t="n">
        <x:f>'参数'!$I$28</x:f>
        <x:v>1.16</x:v>
      </x:c>
      <x:c r="G246" s="18" t="n">
        <x:f>ROUND(V246*X246/'参数'!$B$56,0)</x:f>
        <x:v>200342</x:v>
      </x:c>
      <x:c r="H246" s="18" t="n">
        <x:f>ROUND((AA246+SQRT(AA246^2+4*AA246*'参数'!$B$22*U246))/2,0)</x:f>
        <x:v>7156</x:v>
      </x:c>
      <x:c r="I246" s="18" t="n">
        <x:f>ROUND(Q246*'参数'!$B$23/'参数'!$B$22,0)</x:f>
        <x:v>1309</x:v>
      </x:c>
      <x:c r="J246" s="18" t="n">
        <x:f>ROUND(G246*'参数'!$B$50,0)</x:f>
        <x:v>601026</x:v>
      </x:c>
      <x:c r="K246" s="18" t="n">
        <x:f>ROUND(W246*Y246,0)</x:f>
        <x:v>1958308</x:v>
      </x:c>
      <x:c r="L246" s="18" t="n">
        <x:f>ROUND((AB246+SQRT(AB246^2+4*AB246*'参数'!$B$22*U246))/2,0)</x:f>
        <x:v>11929</x:v>
      </x:c>
      <x:c r="M246" s="18" t="n">
        <x:f>ROUND(I246*'参数'!$B$24,0)</x:f>
        <x:v>1636</x:v>
      </x:c>
      <x:c r="N246" s="18" t="n">
        <x:f>'参数'!$B$9*'参数'!$B$10^(D246-1)</x:f>
        <x:v>8330.3691900552</x:v>
      </x:c>
      <x:c r="O246" s="18" t="n">
        <x:f>'参数'!$B$18*'参数'!$B$19^(MIN(E246,MAX(1,5*INT(D246/5)))-1)*F246*'参数'!$J$28*P246</x:f>
        <x:v>1144.1779238966687</x:v>
      </x:c>
      <x:c r="P246" s="21" t="n">
        <x:f>MIN(1,(D246-1)/19)</x:f>
        <x:v>1</x:v>
      </x:c>
      <x:c r="Q246" s="18" t="n">
        <x:f>INDEX('角色成长'!$F$6:$F$105,D246)+O246*'参数'!$K$21</x:f>
        <x:v>6545.907083105506</x:v>
      </x:c>
      <x:c r="R246" s="18" t="n">
        <x:f>INDEX('角色成长'!$I$6:$I$105,D246)+O246*'参数'!$K$21</x:f>
        <x:v>5625.907083105506</x:v>
      </x:c>
      <x:c r="S246" s="18" t="n">
        <x:f>INDEX('角色成长'!$L$6:$L$105,D246)+O246*'参数'!$K$21</x:f>
        <x:v>5099.907083105506</x:v>
      </x:c>
      <x:c r="T246" s="18" t="n">
        <x:f>(INDEX('角色成长'!$J$6:$J$105,D246)+O246*'参数'!$L$21)*(1+'参数'!$B$40*P246)</x:f>
        <x:v>75191.32490155665</x:v>
      </x:c>
      <x:c r="U246" s="18" t="n">
        <x:f>(INDEX('角色成长'!$K$6:$K$105,D246)+O246*'参数'!$M$21)*(1+'参数'!$B$41*P246)</x:f>
        <x:v>4081.342503501088</x:v>
      </x:c>
      <x:c r="V246" s="18" t="n">
        <x:f>(('参数'!$K$5*(((Q246*(1+'参数'!$B$39*P246))^2/((Q246*(1+'参数'!$B$39*P246))+'参数'!$B$22*(I246)))*(1+'参数'!$B$42*P246)/'参数'!$J$5+((Q246*'参数'!$B$43*(1+'参数'!$B$39*P246))^2/((Q246*'参数'!$B$43*(1+'参数'!$B$39*P246))+'参数'!$B$22*(I246)))/'参数'!$B$44))+(((R246*(1+'参数'!$B$39*P246))^2/((R246*(1+'参数'!$B$39*P246))+'参数'!$B$22*(I246)))*(1+'参数'!$B$42*P246)/'参数'!$J$6+((R246*'参数'!$B$45*(1+'参数'!$B$39*P246))^2/((R246*'参数'!$B$45*(1+'参数'!$B$39*P246))+'参数'!$B$22*(I246)))/'参数'!$B$46)+((S246*(1+'参数'!$B$39*P246))^2/((S246*(1+'参数'!$B$39*P246))+'参数'!$B$22*(I246)))*(1+'参数'!$B$42*P246)/'参数'!$J$7)*(1+'参数'!$B$37*('参数'!$B$38-1))*'参数'!$B$25</x:f>
        <x:v>44152.02861136796</x:v>
      </x:c>
      <x:c r="W246" s="18" t="n">
        <x:f>(('参数'!$K$5*(((Q246*(1+'参数'!$B$39*P246))^2/((Q246*(1+'参数'!$B$39*P246))+'参数'!$B$22*(M246)))*(1+'参数'!$B$42*P246)/'参数'!$J$5+((Q246*'参数'!$B$43*(1+'参数'!$B$39*P246))^2/((Q246*'参数'!$B$43*(1+'参数'!$B$39*P246))+'参数'!$B$22*(M246)))/'参数'!$B$44))+(((R246*(1+'参数'!$B$39*P246))^2/((R246*(1+'参数'!$B$39*P246))+'参数'!$B$22*(M246)))*(1+'参数'!$B$42*P246)/'参数'!$J$6+((R246*'参数'!$B$45*(1+'参数'!$B$39*P246))^2/((R246*'参数'!$B$45*(1+'参数'!$B$39*P246))+'参数'!$B$22*(M246)))/'参数'!$B$46)+((S246*(1+'参数'!$B$39*P246))^2/((S246*(1+'参数'!$B$39*P246))+'参数'!$B$22*(M246)))*(1+'参数'!$B$42*P246)/'参数'!$J$7)*(1+'参数'!$B$37*('参数'!$B$38-1))</x:f>
        <x:v>34012.71042209668</x:v>
      </x:c>
      <x:c r="X246" s="25" t="n">
        <x:f>('参数'!$B$26+'参数'!$B$27*(D246-1)/99)*'参数'!$K$28*AD246</x:f>
        <x:v>20.87272727272727</x:v>
      </x:c>
      <x:c r="Y246" s="25" t="n">
        <x:f>('参数'!$B$28+'参数'!$B$29*(D246-1)/99)*'参数'!$K$28*AD246*IF(AE246=1,'参数'!$B$51,1)</x:f>
        <x:v>57.57575757575757</x:v>
      </x:c>
      <x:c r="Z246" s="21" t="n">
        <x:f>MIN('参数'!$B$36,U246/(U246+'参数'!$B$35))</x:f>
        <x:v>0.5050327345651943</x:v>
      </x:c>
      <x:c r="AA246" s="18" t="n">
        <x:f>T246*'参数'!$B$30/('参数'!$B$32*'参数'!$B$33)/(1-Z246)*AC246</x:f>
        <x:v>4177.572092522878</x:v>
      </x:c>
      <x:c r="AB246" s="18" t="n">
        <x:f>T246*'参数'!$B$31/'参数'!$B$34/(1-Z246)*AC246</x:f>
        <x:v>8355.144185045756</x:v>
      </x:c>
      <x:c r="AC246" s="15" t="n">
        <x:f>'参数'!$L$28*1</x:f>
        <x:v>1.1</x:v>
      </x:c>
      <x:c r="AD246" s="15" t="n">
        <x:f>1</x:f>
        <x:v>1</x:v>
      </x:c>
      <x:c r="AE246" s="18" t="n">
        <x:f>IF(MOD(B246,12)=0,1,0)</x:f>
        <x:v>0</x:v>
      </x:c>
    </x:row>
    <x:row r="247" ht="22" customHeight="1">
      <x:c r="A247" s="19" t="str">
        <x:v>噩梦</x:v>
      </x:c>
      <x:c r="B247" s="19" t="n">
        <x:v>2</x:v>
      </x:c>
      <x:c r="C247" s="19" t="n">
        <x:f>ROUNDUP(B247/12,0)</x:f>
        <x:v>1</x:v>
      </x:c>
      <x:c r="D247" s="19" t="n">
        <x:f>ROUND(MAX('参数'!$G$28,E247)+(IF(C247&lt;10,INDEX('参数'!$G$36:$P$36,1,MIN(10,C247+1)),'参数'!$H$28)-MAX('参数'!$G$28,E247))*MOD(B247-1,12)/11,0)</x:f>
        <x:v>90</x:v>
      </x:c>
      <x:c r="E247" s="19" t="n">
        <x:f>INDEX('参数'!$G$36:$P$36,1,C247)</x:f>
        <x:v>90</x:v>
      </x:c>
      <x:c r="F247" s="20" t="n">
        <x:f>'参数'!$I$28</x:f>
        <x:v>1.16</x:v>
      </x:c>
      <x:c r="G247" s="19" t="n">
        <x:f>ROUND(V247*X247/'参数'!$B$56,0)</x:f>
        <x:v>200342</x:v>
      </x:c>
      <x:c r="H247" s="19" t="n">
        <x:f>ROUND((AA247+SQRT(AA247^2+4*AA247*'参数'!$B$22*U247))/2,0)</x:f>
        <x:v>7156</x:v>
      </x:c>
      <x:c r="I247" s="19" t="n">
        <x:f>ROUND(Q247*'参数'!$B$23/'参数'!$B$22,0)</x:f>
        <x:v>1309</x:v>
      </x:c>
      <x:c r="J247" s="19" t="n">
        <x:f>ROUND(G247*'参数'!$B$50,0)</x:f>
        <x:v>601026</x:v>
      </x:c>
      <x:c r="K247" s="19" t="n">
        <x:f>ROUND(W247*Y247,0)</x:f>
        <x:v>1958308</x:v>
      </x:c>
      <x:c r="L247" s="19" t="n">
        <x:f>ROUND((AB247+SQRT(AB247^2+4*AB247*'参数'!$B$22*U247))/2,0)</x:f>
        <x:v>11929</x:v>
      </x:c>
      <x:c r="M247" s="19" t="n">
        <x:f>ROUND(I247*'参数'!$B$24,0)</x:f>
        <x:v>1636</x:v>
      </x:c>
      <x:c r="N247" s="19" t="n">
        <x:f>'参数'!$B$9*'参数'!$B$10^(D247-1)</x:f>
        <x:v>8330.3691900552</x:v>
      </x:c>
      <x:c r="O247" s="19" t="n">
        <x:f>'参数'!$B$18*'参数'!$B$19^(MIN(E247,MAX(1,5*INT(D247/5)))-1)*F247*'参数'!$J$28*P247</x:f>
        <x:v>1144.1779238966687</x:v>
      </x:c>
      <x:c r="P247" s="22" t="n">
        <x:f>MIN(1,(D247-1)/19)</x:f>
        <x:v>1</x:v>
      </x:c>
      <x:c r="Q247" s="19" t="n">
        <x:f>INDEX('角色成长'!$F$6:$F$105,D247)+O247*'参数'!$K$21</x:f>
        <x:v>6545.907083105506</x:v>
      </x:c>
      <x:c r="R247" s="19" t="n">
        <x:f>INDEX('角色成长'!$I$6:$I$105,D247)+O247*'参数'!$K$21</x:f>
        <x:v>5625.907083105506</x:v>
      </x:c>
      <x:c r="S247" s="19" t="n">
        <x:f>INDEX('角色成长'!$L$6:$L$105,D247)+O247*'参数'!$K$21</x:f>
        <x:v>5099.907083105506</x:v>
      </x:c>
      <x:c r="T247" s="19" t="n">
        <x:f>(INDEX('角色成长'!$J$6:$J$105,D247)+O247*'参数'!$L$21)*(1+'参数'!$B$40*P247)</x:f>
        <x:v>75191.32490155665</x:v>
      </x:c>
      <x:c r="U247" s="19" t="n">
        <x:f>(INDEX('角色成长'!$K$6:$K$105,D247)+O247*'参数'!$M$21)*(1+'参数'!$B$41*P247)</x:f>
        <x:v>4081.342503501088</x:v>
      </x:c>
      <x:c r="V247" s="19" t="n">
        <x:f>(('参数'!$K$5*(((Q247*(1+'参数'!$B$39*P247))^2/((Q247*(1+'参数'!$B$39*P247))+'参数'!$B$22*(I247)))*(1+'参数'!$B$42*P247)/'参数'!$J$5+((Q247*'参数'!$B$43*(1+'参数'!$B$39*P247))^2/((Q247*'参数'!$B$43*(1+'参数'!$B$39*P247))+'参数'!$B$22*(I247)))/'参数'!$B$44))+(((R247*(1+'参数'!$B$39*P247))^2/((R247*(1+'参数'!$B$39*P247))+'参数'!$B$22*(I247)))*(1+'参数'!$B$42*P247)/'参数'!$J$6+((R247*'参数'!$B$45*(1+'参数'!$B$39*P247))^2/((R247*'参数'!$B$45*(1+'参数'!$B$39*P247))+'参数'!$B$22*(I247)))/'参数'!$B$46)+((S247*(1+'参数'!$B$39*P247))^2/((S247*(1+'参数'!$B$39*P247))+'参数'!$B$22*(I247)))*(1+'参数'!$B$42*P247)/'参数'!$J$7)*(1+'参数'!$B$37*('参数'!$B$38-1))*'参数'!$B$25</x:f>
        <x:v>44152.02861136796</x:v>
      </x:c>
      <x:c r="W247" s="19" t="n">
        <x:f>(('参数'!$K$5*(((Q247*(1+'参数'!$B$39*P247))^2/((Q247*(1+'参数'!$B$39*P247))+'参数'!$B$22*(M247)))*(1+'参数'!$B$42*P247)/'参数'!$J$5+((Q247*'参数'!$B$43*(1+'参数'!$B$39*P247))^2/((Q247*'参数'!$B$43*(1+'参数'!$B$39*P247))+'参数'!$B$22*(M247)))/'参数'!$B$44))+(((R247*(1+'参数'!$B$39*P247))^2/((R247*(1+'参数'!$B$39*P247))+'参数'!$B$22*(M247)))*(1+'参数'!$B$42*P247)/'参数'!$J$6+((R247*'参数'!$B$45*(1+'参数'!$B$39*P247))^2/((R247*'参数'!$B$45*(1+'参数'!$B$39*P247))+'参数'!$B$22*(M247)))/'参数'!$B$46)+((S247*(1+'参数'!$B$39*P247))^2/((S247*(1+'参数'!$B$39*P247))+'参数'!$B$22*(M247)))*(1+'参数'!$B$42*P247)/'参数'!$J$7)*(1+'参数'!$B$37*('参数'!$B$38-1))</x:f>
        <x:v>34012.71042209668</x:v>
      </x:c>
      <x:c r="X247" s="26" t="n">
        <x:f>('参数'!$B$26+'参数'!$B$27*(D247-1)/99)*'参数'!$K$28*AD247</x:f>
        <x:v>20.87272727272727</x:v>
      </x:c>
      <x:c r="Y247" s="26" t="n">
        <x:f>('参数'!$B$28+'参数'!$B$29*(D247-1)/99)*'参数'!$K$28*AD247*IF(AE247=1,'参数'!$B$51,1)</x:f>
        <x:v>57.57575757575757</x:v>
      </x:c>
      <x:c r="Z247" s="22" t="n">
        <x:f>MIN('参数'!$B$36,U247/(U247+'参数'!$B$35))</x:f>
        <x:v>0.5050327345651943</x:v>
      </x:c>
      <x:c r="AA247" s="19" t="n">
        <x:f>T247*'参数'!$B$30/('参数'!$B$32*'参数'!$B$33)/(1-Z247)*AC247</x:f>
        <x:v>4177.572092522878</x:v>
      </x:c>
      <x:c r="AB247" s="19" t="n">
        <x:f>T247*'参数'!$B$31/'参数'!$B$34/(1-Z247)*AC247</x:f>
        <x:v>8355.144185045756</x:v>
      </x:c>
      <x:c r="AC247" s="20" t="n">
        <x:f>'参数'!$L$28*1</x:f>
        <x:v>1.1</x:v>
      </x:c>
      <x:c r="AD247" s="20" t="n">
        <x:f>1</x:f>
        <x:v>1</x:v>
      </x:c>
      <x:c r="AE247" s="19" t="n">
        <x:f>IF(MOD(B247,12)=0,1,0)</x:f>
        <x:v>0</x:v>
      </x:c>
    </x:row>
    <x:row r="248" ht="22" customHeight="1">
      <x:c r="A248" s="18" t="str">
        <x:v>噩梦</x:v>
      </x:c>
      <x:c r="B248" s="18" t="n">
        <x:v>3</x:v>
      </x:c>
      <x:c r="C248" s="18" t="n">
        <x:f>ROUNDUP(B248/12,0)</x:f>
        <x:v>1</x:v>
      </x:c>
      <x:c r="D248" s="18" t="n">
        <x:f>ROUND(MAX('参数'!$G$28,E248)+(IF(C248&lt;10,INDEX('参数'!$G$36:$P$36,1,MIN(10,C248+1)),'参数'!$H$28)-MAX('参数'!$G$28,E248))*MOD(B248-1,12)/11,0)</x:f>
        <x:v>90</x:v>
      </x:c>
      <x:c r="E248" s="18" t="n">
        <x:f>INDEX('参数'!$G$36:$P$36,1,C248)</x:f>
        <x:v>90</x:v>
      </x:c>
      <x:c r="F248" s="15" t="n">
        <x:f>'参数'!$I$28</x:f>
        <x:v>1.16</x:v>
      </x:c>
      <x:c r="G248" s="18" t="n">
        <x:f>ROUND(V248*X248/'参数'!$B$56,0)</x:f>
        <x:v>200342</x:v>
      </x:c>
      <x:c r="H248" s="18" t="n">
        <x:f>ROUND((AA248+SQRT(AA248^2+4*AA248*'参数'!$B$22*U248))/2,0)</x:f>
        <x:v>7156</x:v>
      </x:c>
      <x:c r="I248" s="18" t="n">
        <x:f>ROUND(Q248*'参数'!$B$23/'参数'!$B$22,0)</x:f>
        <x:v>1309</x:v>
      </x:c>
      <x:c r="J248" s="18" t="n">
        <x:f>ROUND(G248*'参数'!$B$50,0)</x:f>
        <x:v>601026</x:v>
      </x:c>
      <x:c r="K248" s="18" t="n">
        <x:f>ROUND(W248*Y248,0)</x:f>
        <x:v>1958308</x:v>
      </x:c>
      <x:c r="L248" s="18" t="n">
        <x:f>ROUND((AB248+SQRT(AB248^2+4*AB248*'参数'!$B$22*U248))/2,0)</x:f>
        <x:v>11929</x:v>
      </x:c>
      <x:c r="M248" s="18" t="n">
        <x:f>ROUND(I248*'参数'!$B$24,0)</x:f>
        <x:v>1636</x:v>
      </x:c>
      <x:c r="N248" s="18" t="n">
        <x:f>'参数'!$B$9*'参数'!$B$10^(D248-1)</x:f>
        <x:v>8330.3691900552</x:v>
      </x:c>
      <x:c r="O248" s="18" t="n">
        <x:f>'参数'!$B$18*'参数'!$B$19^(MIN(E248,MAX(1,5*INT(D248/5)))-1)*F248*'参数'!$J$28*P248</x:f>
        <x:v>1144.1779238966687</x:v>
      </x:c>
      <x:c r="P248" s="21" t="n">
        <x:f>MIN(1,(D248-1)/19)</x:f>
        <x:v>1</x:v>
      </x:c>
      <x:c r="Q248" s="18" t="n">
        <x:f>INDEX('角色成长'!$F$6:$F$105,D248)+O248*'参数'!$K$21</x:f>
        <x:v>6545.907083105506</x:v>
      </x:c>
      <x:c r="R248" s="18" t="n">
        <x:f>INDEX('角色成长'!$I$6:$I$105,D248)+O248*'参数'!$K$21</x:f>
        <x:v>5625.907083105506</x:v>
      </x:c>
      <x:c r="S248" s="18" t="n">
        <x:f>INDEX('角色成长'!$L$6:$L$105,D248)+O248*'参数'!$K$21</x:f>
        <x:v>5099.907083105506</x:v>
      </x:c>
      <x:c r="T248" s="18" t="n">
        <x:f>(INDEX('角色成长'!$J$6:$J$105,D248)+O248*'参数'!$L$21)*(1+'参数'!$B$40*P248)</x:f>
        <x:v>75191.32490155665</x:v>
      </x:c>
      <x:c r="U248" s="18" t="n">
        <x:f>(INDEX('角色成长'!$K$6:$K$105,D248)+O248*'参数'!$M$21)*(1+'参数'!$B$41*P248)</x:f>
        <x:v>4081.342503501088</x:v>
      </x:c>
      <x:c r="V248" s="18" t="n">
        <x:f>(('参数'!$K$5*(((Q248*(1+'参数'!$B$39*P248))^2/((Q248*(1+'参数'!$B$39*P248))+'参数'!$B$22*(I248)))*(1+'参数'!$B$42*P248)/'参数'!$J$5+((Q248*'参数'!$B$43*(1+'参数'!$B$39*P248))^2/((Q248*'参数'!$B$43*(1+'参数'!$B$39*P248))+'参数'!$B$22*(I248)))/'参数'!$B$44))+(((R248*(1+'参数'!$B$39*P248))^2/((R248*(1+'参数'!$B$39*P248))+'参数'!$B$22*(I248)))*(1+'参数'!$B$42*P248)/'参数'!$J$6+((R248*'参数'!$B$45*(1+'参数'!$B$39*P248))^2/((R248*'参数'!$B$45*(1+'参数'!$B$39*P248))+'参数'!$B$22*(I248)))/'参数'!$B$46)+((S248*(1+'参数'!$B$39*P248))^2/((S248*(1+'参数'!$B$39*P248))+'参数'!$B$22*(I248)))*(1+'参数'!$B$42*P248)/'参数'!$J$7)*(1+'参数'!$B$37*('参数'!$B$38-1))*'参数'!$B$25</x:f>
        <x:v>44152.02861136796</x:v>
      </x:c>
      <x:c r="W248" s="18" t="n">
        <x:f>(('参数'!$K$5*(((Q248*(1+'参数'!$B$39*P248))^2/((Q248*(1+'参数'!$B$39*P248))+'参数'!$B$22*(M248)))*(1+'参数'!$B$42*P248)/'参数'!$J$5+((Q248*'参数'!$B$43*(1+'参数'!$B$39*P248))^2/((Q248*'参数'!$B$43*(1+'参数'!$B$39*P248))+'参数'!$B$22*(M248)))/'参数'!$B$44))+(((R248*(1+'参数'!$B$39*P248))^2/((R248*(1+'参数'!$B$39*P248))+'参数'!$B$22*(M248)))*(1+'参数'!$B$42*P248)/'参数'!$J$6+((R248*'参数'!$B$45*(1+'参数'!$B$39*P248))^2/((R248*'参数'!$B$45*(1+'参数'!$B$39*P248))+'参数'!$B$22*(M248)))/'参数'!$B$46)+((S248*(1+'参数'!$B$39*P248))^2/((S248*(1+'参数'!$B$39*P248))+'参数'!$B$22*(M248)))*(1+'参数'!$B$42*P248)/'参数'!$J$7)*(1+'参数'!$B$37*('参数'!$B$38-1))</x:f>
        <x:v>34012.71042209668</x:v>
      </x:c>
      <x:c r="X248" s="25" t="n">
        <x:f>('参数'!$B$26+'参数'!$B$27*(D248-1)/99)*'参数'!$K$28*AD248</x:f>
        <x:v>20.87272727272727</x:v>
      </x:c>
      <x:c r="Y248" s="25" t="n">
        <x:f>('参数'!$B$28+'参数'!$B$29*(D248-1)/99)*'参数'!$K$28*AD248*IF(AE248=1,'参数'!$B$51,1)</x:f>
        <x:v>57.57575757575757</x:v>
      </x:c>
      <x:c r="Z248" s="21" t="n">
        <x:f>MIN('参数'!$B$36,U248/(U248+'参数'!$B$35))</x:f>
        <x:v>0.5050327345651943</x:v>
      </x:c>
      <x:c r="AA248" s="18" t="n">
        <x:f>T248*'参数'!$B$30/('参数'!$B$32*'参数'!$B$33)/(1-Z248)*AC248</x:f>
        <x:v>4177.572092522878</x:v>
      </x:c>
      <x:c r="AB248" s="18" t="n">
        <x:f>T248*'参数'!$B$31/'参数'!$B$34/(1-Z248)*AC248</x:f>
        <x:v>8355.144185045756</x:v>
      </x:c>
      <x:c r="AC248" s="15" t="n">
        <x:f>'参数'!$L$28*1</x:f>
        <x:v>1.1</x:v>
      </x:c>
      <x:c r="AD248" s="15" t="n">
        <x:f>1</x:f>
        <x:v>1</x:v>
      </x:c>
      <x:c r="AE248" s="18" t="n">
        <x:f>IF(MOD(B248,12)=0,1,0)</x:f>
        <x:v>0</x:v>
      </x:c>
    </x:row>
    <x:row r="249" ht="22" customHeight="1">
      <x:c r="A249" s="19" t="str">
        <x:v>噩梦</x:v>
      </x:c>
      <x:c r="B249" s="19" t="n">
        <x:v>4</x:v>
      </x:c>
      <x:c r="C249" s="19" t="n">
        <x:f>ROUNDUP(B249/12,0)</x:f>
        <x:v>1</x:v>
      </x:c>
      <x:c r="D249" s="19" t="n">
        <x:f>ROUND(MAX('参数'!$G$28,E249)+(IF(C249&lt;10,INDEX('参数'!$G$36:$P$36,1,MIN(10,C249+1)),'参数'!$H$28)-MAX('参数'!$G$28,E249))*MOD(B249-1,12)/11,0)</x:f>
        <x:v>90</x:v>
      </x:c>
      <x:c r="E249" s="19" t="n">
        <x:f>INDEX('参数'!$G$36:$P$36,1,C249)</x:f>
        <x:v>90</x:v>
      </x:c>
      <x:c r="F249" s="20" t="n">
        <x:f>'参数'!$I$28</x:f>
        <x:v>1.16</x:v>
      </x:c>
      <x:c r="G249" s="19" t="n">
        <x:f>ROUND(V249*X249/'参数'!$B$56,0)</x:f>
        <x:v>200342</x:v>
      </x:c>
      <x:c r="H249" s="19" t="n">
        <x:f>ROUND((AA249+SQRT(AA249^2+4*AA249*'参数'!$B$22*U249))/2,0)</x:f>
        <x:v>7156</x:v>
      </x:c>
      <x:c r="I249" s="19" t="n">
        <x:f>ROUND(Q249*'参数'!$B$23/'参数'!$B$22,0)</x:f>
        <x:v>1309</x:v>
      </x:c>
      <x:c r="J249" s="19" t="n">
        <x:f>ROUND(G249*'参数'!$B$50,0)</x:f>
        <x:v>601026</x:v>
      </x:c>
      <x:c r="K249" s="19" t="n">
        <x:f>ROUND(W249*Y249,0)</x:f>
        <x:v>1958308</x:v>
      </x:c>
      <x:c r="L249" s="19" t="n">
        <x:f>ROUND((AB249+SQRT(AB249^2+4*AB249*'参数'!$B$22*U249))/2,0)</x:f>
        <x:v>11929</x:v>
      </x:c>
      <x:c r="M249" s="19" t="n">
        <x:f>ROUND(I249*'参数'!$B$24,0)</x:f>
        <x:v>1636</x:v>
      </x:c>
      <x:c r="N249" s="19" t="n">
        <x:f>'参数'!$B$9*'参数'!$B$10^(D249-1)</x:f>
        <x:v>8330.3691900552</x:v>
      </x:c>
      <x:c r="O249" s="19" t="n">
        <x:f>'参数'!$B$18*'参数'!$B$19^(MIN(E249,MAX(1,5*INT(D249/5)))-1)*F249*'参数'!$J$28*P249</x:f>
        <x:v>1144.1779238966687</x:v>
      </x:c>
      <x:c r="P249" s="22" t="n">
        <x:f>MIN(1,(D249-1)/19)</x:f>
        <x:v>1</x:v>
      </x:c>
      <x:c r="Q249" s="19" t="n">
        <x:f>INDEX('角色成长'!$F$6:$F$105,D249)+O249*'参数'!$K$21</x:f>
        <x:v>6545.907083105506</x:v>
      </x:c>
      <x:c r="R249" s="19" t="n">
        <x:f>INDEX('角色成长'!$I$6:$I$105,D249)+O249*'参数'!$K$21</x:f>
        <x:v>5625.907083105506</x:v>
      </x:c>
      <x:c r="S249" s="19" t="n">
        <x:f>INDEX('角色成长'!$L$6:$L$105,D249)+O249*'参数'!$K$21</x:f>
        <x:v>5099.907083105506</x:v>
      </x:c>
      <x:c r="T249" s="19" t="n">
        <x:f>(INDEX('角色成长'!$J$6:$J$105,D249)+O249*'参数'!$L$21)*(1+'参数'!$B$40*P249)</x:f>
        <x:v>75191.32490155665</x:v>
      </x:c>
      <x:c r="U249" s="19" t="n">
        <x:f>(INDEX('角色成长'!$K$6:$K$105,D249)+O249*'参数'!$M$21)*(1+'参数'!$B$41*P249)</x:f>
        <x:v>4081.342503501088</x:v>
      </x:c>
      <x:c r="V249" s="19" t="n">
        <x:f>(('参数'!$K$5*(((Q249*(1+'参数'!$B$39*P249))^2/((Q249*(1+'参数'!$B$39*P249))+'参数'!$B$22*(I249)))*(1+'参数'!$B$42*P249)/'参数'!$J$5+((Q249*'参数'!$B$43*(1+'参数'!$B$39*P249))^2/((Q249*'参数'!$B$43*(1+'参数'!$B$39*P249))+'参数'!$B$22*(I249)))/'参数'!$B$44))+(((R249*(1+'参数'!$B$39*P249))^2/((R249*(1+'参数'!$B$39*P249))+'参数'!$B$22*(I249)))*(1+'参数'!$B$42*P249)/'参数'!$J$6+((R249*'参数'!$B$45*(1+'参数'!$B$39*P249))^2/((R249*'参数'!$B$45*(1+'参数'!$B$39*P249))+'参数'!$B$22*(I249)))/'参数'!$B$46)+((S249*(1+'参数'!$B$39*P249))^2/((S249*(1+'参数'!$B$39*P249))+'参数'!$B$22*(I249)))*(1+'参数'!$B$42*P249)/'参数'!$J$7)*(1+'参数'!$B$37*('参数'!$B$38-1))*'参数'!$B$25</x:f>
        <x:v>44152.02861136796</x:v>
      </x:c>
      <x:c r="W249" s="19" t="n">
        <x:f>(('参数'!$K$5*(((Q249*(1+'参数'!$B$39*P249))^2/((Q249*(1+'参数'!$B$39*P249))+'参数'!$B$22*(M249)))*(1+'参数'!$B$42*P249)/'参数'!$J$5+((Q249*'参数'!$B$43*(1+'参数'!$B$39*P249))^2/((Q249*'参数'!$B$43*(1+'参数'!$B$39*P249))+'参数'!$B$22*(M249)))/'参数'!$B$44))+(((R249*(1+'参数'!$B$39*P249))^2/((R249*(1+'参数'!$B$39*P249))+'参数'!$B$22*(M249)))*(1+'参数'!$B$42*P249)/'参数'!$J$6+((R249*'参数'!$B$45*(1+'参数'!$B$39*P249))^2/((R249*'参数'!$B$45*(1+'参数'!$B$39*P249))+'参数'!$B$22*(M249)))/'参数'!$B$46)+((S249*(1+'参数'!$B$39*P249))^2/((S249*(1+'参数'!$B$39*P249))+'参数'!$B$22*(M249)))*(1+'参数'!$B$42*P249)/'参数'!$J$7)*(1+'参数'!$B$37*('参数'!$B$38-1))</x:f>
        <x:v>34012.71042209668</x:v>
      </x:c>
      <x:c r="X249" s="26" t="n">
        <x:f>('参数'!$B$26+'参数'!$B$27*(D249-1)/99)*'参数'!$K$28*AD249</x:f>
        <x:v>20.87272727272727</x:v>
      </x:c>
      <x:c r="Y249" s="26" t="n">
        <x:f>('参数'!$B$28+'参数'!$B$29*(D249-1)/99)*'参数'!$K$28*AD249*IF(AE249=1,'参数'!$B$51,1)</x:f>
        <x:v>57.57575757575757</x:v>
      </x:c>
      <x:c r="Z249" s="22" t="n">
        <x:f>MIN('参数'!$B$36,U249/(U249+'参数'!$B$35))</x:f>
        <x:v>0.5050327345651943</x:v>
      </x:c>
      <x:c r="AA249" s="19" t="n">
        <x:f>T249*'参数'!$B$30/('参数'!$B$32*'参数'!$B$33)/(1-Z249)*AC249</x:f>
        <x:v>4177.572092522878</x:v>
      </x:c>
      <x:c r="AB249" s="19" t="n">
        <x:f>T249*'参数'!$B$31/'参数'!$B$34/(1-Z249)*AC249</x:f>
        <x:v>8355.144185045756</x:v>
      </x:c>
      <x:c r="AC249" s="20" t="n">
        <x:f>'参数'!$L$28*1</x:f>
        <x:v>1.1</x:v>
      </x:c>
      <x:c r="AD249" s="20" t="n">
        <x:f>1</x:f>
        <x:v>1</x:v>
      </x:c>
      <x:c r="AE249" s="19" t="n">
        <x:f>IF(MOD(B249,12)=0,1,0)</x:f>
        <x:v>0</x:v>
      </x:c>
    </x:row>
    <x:row r="250" ht="22" customHeight="1">
      <x:c r="A250" s="18" t="str">
        <x:v>噩梦</x:v>
      </x:c>
      <x:c r="B250" s="18" t="n">
        <x:v>5</x:v>
      </x:c>
      <x:c r="C250" s="18" t="n">
        <x:f>ROUNDUP(B250/12,0)</x:f>
        <x:v>1</x:v>
      </x:c>
      <x:c r="D250" s="18" t="n">
        <x:f>ROUND(MAX('参数'!$G$28,E250)+(IF(C250&lt;10,INDEX('参数'!$G$36:$P$36,1,MIN(10,C250+1)),'参数'!$H$28)-MAX('参数'!$G$28,E250))*MOD(B250-1,12)/11,0)</x:f>
        <x:v>90</x:v>
      </x:c>
      <x:c r="E250" s="18" t="n">
        <x:f>INDEX('参数'!$G$36:$P$36,1,C250)</x:f>
        <x:v>90</x:v>
      </x:c>
      <x:c r="F250" s="15" t="n">
        <x:f>'参数'!$I$28</x:f>
        <x:v>1.16</x:v>
      </x:c>
      <x:c r="G250" s="18" t="n">
        <x:f>ROUND(V250*X250/'参数'!$B$56,0)</x:f>
        <x:v>200342</x:v>
      </x:c>
      <x:c r="H250" s="18" t="n">
        <x:f>ROUND((AA250+SQRT(AA250^2+4*AA250*'参数'!$B$22*U250))/2,0)</x:f>
        <x:v>7156</x:v>
      </x:c>
      <x:c r="I250" s="18" t="n">
        <x:f>ROUND(Q250*'参数'!$B$23/'参数'!$B$22,0)</x:f>
        <x:v>1309</x:v>
      </x:c>
      <x:c r="J250" s="18" t="n">
        <x:f>ROUND(G250*'参数'!$B$50,0)</x:f>
        <x:v>601026</x:v>
      </x:c>
      <x:c r="K250" s="18" t="n">
        <x:f>ROUND(W250*Y250,0)</x:f>
        <x:v>1958308</x:v>
      </x:c>
      <x:c r="L250" s="18" t="n">
        <x:f>ROUND((AB250+SQRT(AB250^2+4*AB250*'参数'!$B$22*U250))/2,0)</x:f>
        <x:v>11929</x:v>
      </x:c>
      <x:c r="M250" s="18" t="n">
        <x:f>ROUND(I250*'参数'!$B$24,0)</x:f>
        <x:v>1636</x:v>
      </x:c>
      <x:c r="N250" s="18" t="n">
        <x:f>'参数'!$B$9*'参数'!$B$10^(D250-1)</x:f>
        <x:v>8330.3691900552</x:v>
      </x:c>
      <x:c r="O250" s="18" t="n">
        <x:f>'参数'!$B$18*'参数'!$B$19^(MIN(E250,MAX(1,5*INT(D250/5)))-1)*F250*'参数'!$J$28*P250</x:f>
        <x:v>1144.1779238966687</x:v>
      </x:c>
      <x:c r="P250" s="21" t="n">
        <x:f>MIN(1,(D250-1)/19)</x:f>
        <x:v>1</x:v>
      </x:c>
      <x:c r="Q250" s="18" t="n">
        <x:f>INDEX('角色成长'!$F$6:$F$105,D250)+O250*'参数'!$K$21</x:f>
        <x:v>6545.907083105506</x:v>
      </x:c>
      <x:c r="R250" s="18" t="n">
        <x:f>INDEX('角色成长'!$I$6:$I$105,D250)+O250*'参数'!$K$21</x:f>
        <x:v>5625.907083105506</x:v>
      </x:c>
      <x:c r="S250" s="18" t="n">
        <x:f>INDEX('角色成长'!$L$6:$L$105,D250)+O250*'参数'!$K$21</x:f>
        <x:v>5099.907083105506</x:v>
      </x:c>
      <x:c r="T250" s="18" t="n">
        <x:f>(INDEX('角色成长'!$J$6:$J$105,D250)+O250*'参数'!$L$21)*(1+'参数'!$B$40*P250)</x:f>
        <x:v>75191.32490155665</x:v>
      </x:c>
      <x:c r="U250" s="18" t="n">
        <x:f>(INDEX('角色成长'!$K$6:$K$105,D250)+O250*'参数'!$M$21)*(1+'参数'!$B$41*P250)</x:f>
        <x:v>4081.342503501088</x:v>
      </x:c>
      <x:c r="V250" s="18" t="n">
        <x:f>(('参数'!$K$5*(((Q250*(1+'参数'!$B$39*P250))^2/((Q250*(1+'参数'!$B$39*P250))+'参数'!$B$22*(I250)))*(1+'参数'!$B$42*P250)/'参数'!$J$5+((Q250*'参数'!$B$43*(1+'参数'!$B$39*P250))^2/((Q250*'参数'!$B$43*(1+'参数'!$B$39*P250))+'参数'!$B$22*(I250)))/'参数'!$B$44))+(((R250*(1+'参数'!$B$39*P250))^2/((R250*(1+'参数'!$B$39*P250))+'参数'!$B$22*(I250)))*(1+'参数'!$B$42*P250)/'参数'!$J$6+((R250*'参数'!$B$45*(1+'参数'!$B$39*P250))^2/((R250*'参数'!$B$45*(1+'参数'!$B$39*P250))+'参数'!$B$22*(I250)))/'参数'!$B$46)+((S250*(1+'参数'!$B$39*P250))^2/((S250*(1+'参数'!$B$39*P250))+'参数'!$B$22*(I250)))*(1+'参数'!$B$42*P250)/'参数'!$J$7)*(1+'参数'!$B$37*('参数'!$B$38-1))*'参数'!$B$25</x:f>
        <x:v>44152.02861136796</x:v>
      </x:c>
      <x:c r="W250" s="18" t="n">
        <x:f>(('参数'!$K$5*(((Q250*(1+'参数'!$B$39*P250))^2/((Q250*(1+'参数'!$B$39*P250))+'参数'!$B$22*(M250)))*(1+'参数'!$B$42*P250)/'参数'!$J$5+((Q250*'参数'!$B$43*(1+'参数'!$B$39*P250))^2/((Q250*'参数'!$B$43*(1+'参数'!$B$39*P250))+'参数'!$B$22*(M250)))/'参数'!$B$44))+(((R250*(1+'参数'!$B$39*P250))^2/((R250*(1+'参数'!$B$39*P250))+'参数'!$B$22*(M250)))*(1+'参数'!$B$42*P250)/'参数'!$J$6+((R250*'参数'!$B$45*(1+'参数'!$B$39*P250))^2/((R250*'参数'!$B$45*(1+'参数'!$B$39*P250))+'参数'!$B$22*(M250)))/'参数'!$B$46)+((S250*(1+'参数'!$B$39*P250))^2/((S250*(1+'参数'!$B$39*P250))+'参数'!$B$22*(M250)))*(1+'参数'!$B$42*P250)/'参数'!$J$7)*(1+'参数'!$B$37*('参数'!$B$38-1))</x:f>
        <x:v>34012.71042209668</x:v>
      </x:c>
      <x:c r="X250" s="25" t="n">
        <x:f>('参数'!$B$26+'参数'!$B$27*(D250-1)/99)*'参数'!$K$28*AD250</x:f>
        <x:v>20.87272727272727</x:v>
      </x:c>
      <x:c r="Y250" s="25" t="n">
        <x:f>('参数'!$B$28+'参数'!$B$29*(D250-1)/99)*'参数'!$K$28*AD250*IF(AE250=1,'参数'!$B$51,1)</x:f>
        <x:v>57.57575757575757</x:v>
      </x:c>
      <x:c r="Z250" s="21" t="n">
        <x:f>MIN('参数'!$B$36,U250/(U250+'参数'!$B$35))</x:f>
        <x:v>0.5050327345651943</x:v>
      </x:c>
      <x:c r="AA250" s="18" t="n">
        <x:f>T250*'参数'!$B$30/('参数'!$B$32*'参数'!$B$33)/(1-Z250)*AC250</x:f>
        <x:v>4177.572092522878</x:v>
      </x:c>
      <x:c r="AB250" s="18" t="n">
        <x:f>T250*'参数'!$B$31/'参数'!$B$34/(1-Z250)*AC250</x:f>
        <x:v>8355.144185045756</x:v>
      </x:c>
      <x:c r="AC250" s="15" t="n">
        <x:f>'参数'!$L$28*1</x:f>
        <x:v>1.1</x:v>
      </x:c>
      <x:c r="AD250" s="15" t="n">
        <x:f>1</x:f>
        <x:v>1</x:v>
      </x:c>
      <x:c r="AE250" s="18" t="n">
        <x:f>IF(MOD(B250,12)=0,1,0)</x:f>
        <x:v>0</x:v>
      </x:c>
    </x:row>
    <x:row r="251" ht="22" customHeight="1">
      <x:c r="A251" s="19" t="str">
        <x:v>噩梦</x:v>
      </x:c>
      <x:c r="B251" s="19" t="n">
        <x:v>6</x:v>
      </x:c>
      <x:c r="C251" s="19" t="n">
        <x:f>ROUNDUP(B251/12,0)</x:f>
        <x:v>1</x:v>
      </x:c>
      <x:c r="D251" s="19" t="n">
        <x:f>ROUND(MAX('参数'!$G$28,E251)+(IF(C251&lt;10,INDEX('参数'!$G$36:$P$36,1,MIN(10,C251+1)),'参数'!$H$28)-MAX('参数'!$G$28,E251))*MOD(B251-1,12)/11,0)</x:f>
        <x:v>90</x:v>
      </x:c>
      <x:c r="E251" s="19" t="n">
        <x:f>INDEX('参数'!$G$36:$P$36,1,C251)</x:f>
        <x:v>90</x:v>
      </x:c>
      <x:c r="F251" s="20" t="n">
        <x:f>'参数'!$I$28</x:f>
        <x:v>1.16</x:v>
      </x:c>
      <x:c r="G251" s="19" t="n">
        <x:f>ROUND(V251*X251/'参数'!$B$56,0)</x:f>
        <x:v>200342</x:v>
      </x:c>
      <x:c r="H251" s="19" t="n">
        <x:f>ROUND((AA251+SQRT(AA251^2+4*AA251*'参数'!$B$22*U251))/2,0)</x:f>
        <x:v>7156</x:v>
      </x:c>
      <x:c r="I251" s="19" t="n">
        <x:f>ROUND(Q251*'参数'!$B$23/'参数'!$B$22,0)</x:f>
        <x:v>1309</x:v>
      </x:c>
      <x:c r="J251" s="19" t="n">
        <x:f>ROUND(G251*'参数'!$B$50,0)</x:f>
        <x:v>601026</x:v>
      </x:c>
      <x:c r="K251" s="19" t="n">
        <x:f>ROUND(W251*Y251,0)</x:f>
        <x:v>1958308</x:v>
      </x:c>
      <x:c r="L251" s="19" t="n">
        <x:f>ROUND((AB251+SQRT(AB251^2+4*AB251*'参数'!$B$22*U251))/2,0)</x:f>
        <x:v>11929</x:v>
      </x:c>
      <x:c r="M251" s="19" t="n">
        <x:f>ROUND(I251*'参数'!$B$24,0)</x:f>
        <x:v>1636</x:v>
      </x:c>
      <x:c r="N251" s="19" t="n">
        <x:f>'参数'!$B$9*'参数'!$B$10^(D251-1)</x:f>
        <x:v>8330.3691900552</x:v>
      </x:c>
      <x:c r="O251" s="19" t="n">
        <x:f>'参数'!$B$18*'参数'!$B$19^(MIN(E251,MAX(1,5*INT(D251/5)))-1)*F251*'参数'!$J$28*P251</x:f>
        <x:v>1144.1779238966687</x:v>
      </x:c>
      <x:c r="P251" s="22" t="n">
        <x:f>MIN(1,(D251-1)/19)</x:f>
        <x:v>1</x:v>
      </x:c>
      <x:c r="Q251" s="19" t="n">
        <x:f>INDEX('角色成长'!$F$6:$F$105,D251)+O251*'参数'!$K$21</x:f>
        <x:v>6545.907083105506</x:v>
      </x:c>
      <x:c r="R251" s="19" t="n">
        <x:f>INDEX('角色成长'!$I$6:$I$105,D251)+O251*'参数'!$K$21</x:f>
        <x:v>5625.907083105506</x:v>
      </x:c>
      <x:c r="S251" s="19" t="n">
        <x:f>INDEX('角色成长'!$L$6:$L$105,D251)+O251*'参数'!$K$21</x:f>
        <x:v>5099.907083105506</x:v>
      </x:c>
      <x:c r="T251" s="19" t="n">
        <x:f>(INDEX('角色成长'!$J$6:$J$105,D251)+O251*'参数'!$L$21)*(1+'参数'!$B$40*P251)</x:f>
        <x:v>75191.32490155665</x:v>
      </x:c>
      <x:c r="U251" s="19" t="n">
        <x:f>(INDEX('角色成长'!$K$6:$K$105,D251)+O251*'参数'!$M$21)*(1+'参数'!$B$41*P251)</x:f>
        <x:v>4081.342503501088</x:v>
      </x:c>
      <x:c r="V251" s="19" t="n">
        <x:f>(('参数'!$K$5*(((Q251*(1+'参数'!$B$39*P251))^2/((Q251*(1+'参数'!$B$39*P251))+'参数'!$B$22*(I251)))*(1+'参数'!$B$42*P251)/'参数'!$J$5+((Q251*'参数'!$B$43*(1+'参数'!$B$39*P251))^2/((Q251*'参数'!$B$43*(1+'参数'!$B$39*P251))+'参数'!$B$22*(I251)))/'参数'!$B$44))+(((R251*(1+'参数'!$B$39*P251))^2/((R251*(1+'参数'!$B$39*P251))+'参数'!$B$22*(I251)))*(1+'参数'!$B$42*P251)/'参数'!$J$6+((R251*'参数'!$B$45*(1+'参数'!$B$39*P251))^2/((R251*'参数'!$B$45*(1+'参数'!$B$39*P251))+'参数'!$B$22*(I251)))/'参数'!$B$46)+((S251*(1+'参数'!$B$39*P251))^2/((S251*(1+'参数'!$B$39*P251))+'参数'!$B$22*(I251)))*(1+'参数'!$B$42*P251)/'参数'!$J$7)*(1+'参数'!$B$37*('参数'!$B$38-1))*'参数'!$B$25</x:f>
        <x:v>44152.02861136796</x:v>
      </x:c>
      <x:c r="W251" s="19" t="n">
        <x:f>(('参数'!$K$5*(((Q251*(1+'参数'!$B$39*P251))^2/((Q251*(1+'参数'!$B$39*P251))+'参数'!$B$22*(M251)))*(1+'参数'!$B$42*P251)/'参数'!$J$5+((Q251*'参数'!$B$43*(1+'参数'!$B$39*P251))^2/((Q251*'参数'!$B$43*(1+'参数'!$B$39*P251))+'参数'!$B$22*(M251)))/'参数'!$B$44))+(((R251*(1+'参数'!$B$39*P251))^2/((R251*(1+'参数'!$B$39*P251))+'参数'!$B$22*(M251)))*(1+'参数'!$B$42*P251)/'参数'!$J$6+((R251*'参数'!$B$45*(1+'参数'!$B$39*P251))^2/((R251*'参数'!$B$45*(1+'参数'!$B$39*P251))+'参数'!$B$22*(M251)))/'参数'!$B$46)+((S251*(1+'参数'!$B$39*P251))^2/((S251*(1+'参数'!$B$39*P251))+'参数'!$B$22*(M251)))*(1+'参数'!$B$42*P251)/'参数'!$J$7)*(1+'参数'!$B$37*('参数'!$B$38-1))</x:f>
        <x:v>34012.71042209668</x:v>
      </x:c>
      <x:c r="X251" s="26" t="n">
        <x:f>('参数'!$B$26+'参数'!$B$27*(D251-1)/99)*'参数'!$K$28*AD251</x:f>
        <x:v>20.87272727272727</x:v>
      </x:c>
      <x:c r="Y251" s="26" t="n">
        <x:f>('参数'!$B$28+'参数'!$B$29*(D251-1)/99)*'参数'!$K$28*AD251*IF(AE251=1,'参数'!$B$51,1)</x:f>
        <x:v>57.57575757575757</x:v>
      </x:c>
      <x:c r="Z251" s="22" t="n">
        <x:f>MIN('参数'!$B$36,U251/(U251+'参数'!$B$35))</x:f>
        <x:v>0.5050327345651943</x:v>
      </x:c>
      <x:c r="AA251" s="19" t="n">
        <x:f>T251*'参数'!$B$30/('参数'!$B$32*'参数'!$B$33)/(1-Z251)*AC251</x:f>
        <x:v>4177.572092522878</x:v>
      </x:c>
      <x:c r="AB251" s="19" t="n">
        <x:f>T251*'参数'!$B$31/'参数'!$B$34/(1-Z251)*AC251</x:f>
        <x:v>8355.144185045756</x:v>
      </x:c>
      <x:c r="AC251" s="20" t="n">
        <x:f>'参数'!$L$28*1</x:f>
        <x:v>1.1</x:v>
      </x:c>
      <x:c r="AD251" s="20" t="n">
        <x:f>1</x:f>
        <x:v>1</x:v>
      </x:c>
      <x:c r="AE251" s="19" t="n">
        <x:f>IF(MOD(B251,12)=0,1,0)</x:f>
        <x:v>0</x:v>
      </x:c>
    </x:row>
    <x:row r="252" ht="22" customHeight="1">
      <x:c r="A252" s="18" t="str">
        <x:v>噩梦</x:v>
      </x:c>
      <x:c r="B252" s="18" t="n">
        <x:v>7</x:v>
      </x:c>
      <x:c r="C252" s="18" t="n">
        <x:f>ROUNDUP(B252/12,0)</x:f>
        <x:v>1</x:v>
      </x:c>
      <x:c r="D252" s="18" t="n">
        <x:f>ROUND(MAX('参数'!$G$28,E252)+(IF(C252&lt;10,INDEX('参数'!$G$36:$P$36,1,MIN(10,C252+1)),'参数'!$H$28)-MAX('参数'!$G$28,E252))*MOD(B252-1,12)/11,0)</x:f>
        <x:v>90</x:v>
      </x:c>
      <x:c r="E252" s="18" t="n">
        <x:f>INDEX('参数'!$G$36:$P$36,1,C252)</x:f>
        <x:v>90</x:v>
      </x:c>
      <x:c r="F252" s="15" t="n">
        <x:f>'参数'!$I$28</x:f>
        <x:v>1.16</x:v>
      </x:c>
      <x:c r="G252" s="18" t="n">
        <x:f>ROUND(V252*X252/'参数'!$B$56,0)</x:f>
        <x:v>200342</x:v>
      </x:c>
      <x:c r="H252" s="18" t="n">
        <x:f>ROUND((AA252+SQRT(AA252^2+4*AA252*'参数'!$B$22*U252))/2,0)</x:f>
        <x:v>7156</x:v>
      </x:c>
      <x:c r="I252" s="18" t="n">
        <x:f>ROUND(Q252*'参数'!$B$23/'参数'!$B$22,0)</x:f>
        <x:v>1309</x:v>
      </x:c>
      <x:c r="J252" s="18" t="n">
        <x:f>ROUND(G252*'参数'!$B$50,0)</x:f>
        <x:v>601026</x:v>
      </x:c>
      <x:c r="K252" s="18" t="n">
        <x:f>ROUND(W252*Y252,0)</x:f>
        <x:v>1958308</x:v>
      </x:c>
      <x:c r="L252" s="18" t="n">
        <x:f>ROUND((AB252+SQRT(AB252^2+4*AB252*'参数'!$B$22*U252))/2,0)</x:f>
        <x:v>11929</x:v>
      </x:c>
      <x:c r="M252" s="18" t="n">
        <x:f>ROUND(I252*'参数'!$B$24,0)</x:f>
        <x:v>1636</x:v>
      </x:c>
      <x:c r="N252" s="18" t="n">
        <x:f>'参数'!$B$9*'参数'!$B$10^(D252-1)</x:f>
        <x:v>8330.3691900552</x:v>
      </x:c>
      <x:c r="O252" s="18" t="n">
        <x:f>'参数'!$B$18*'参数'!$B$19^(MIN(E252,MAX(1,5*INT(D252/5)))-1)*F252*'参数'!$J$28*P252</x:f>
        <x:v>1144.1779238966687</x:v>
      </x:c>
      <x:c r="P252" s="21" t="n">
        <x:f>MIN(1,(D252-1)/19)</x:f>
        <x:v>1</x:v>
      </x:c>
      <x:c r="Q252" s="18" t="n">
        <x:f>INDEX('角色成长'!$F$6:$F$105,D252)+O252*'参数'!$K$21</x:f>
        <x:v>6545.907083105506</x:v>
      </x:c>
      <x:c r="R252" s="18" t="n">
        <x:f>INDEX('角色成长'!$I$6:$I$105,D252)+O252*'参数'!$K$21</x:f>
        <x:v>5625.907083105506</x:v>
      </x:c>
      <x:c r="S252" s="18" t="n">
        <x:f>INDEX('角色成长'!$L$6:$L$105,D252)+O252*'参数'!$K$21</x:f>
        <x:v>5099.907083105506</x:v>
      </x:c>
      <x:c r="T252" s="18" t="n">
        <x:f>(INDEX('角色成长'!$J$6:$J$105,D252)+O252*'参数'!$L$21)*(1+'参数'!$B$40*P252)</x:f>
        <x:v>75191.32490155665</x:v>
      </x:c>
      <x:c r="U252" s="18" t="n">
        <x:f>(INDEX('角色成长'!$K$6:$K$105,D252)+O252*'参数'!$M$21)*(1+'参数'!$B$41*P252)</x:f>
        <x:v>4081.342503501088</x:v>
      </x:c>
      <x:c r="V252" s="18" t="n">
        <x:f>(('参数'!$K$5*(((Q252*(1+'参数'!$B$39*P252))^2/((Q252*(1+'参数'!$B$39*P252))+'参数'!$B$22*(I252)))*(1+'参数'!$B$42*P252)/'参数'!$J$5+((Q252*'参数'!$B$43*(1+'参数'!$B$39*P252))^2/((Q252*'参数'!$B$43*(1+'参数'!$B$39*P252))+'参数'!$B$22*(I252)))/'参数'!$B$44))+(((R252*(1+'参数'!$B$39*P252))^2/((R252*(1+'参数'!$B$39*P252))+'参数'!$B$22*(I252)))*(1+'参数'!$B$42*P252)/'参数'!$J$6+((R252*'参数'!$B$45*(1+'参数'!$B$39*P252))^2/((R252*'参数'!$B$45*(1+'参数'!$B$39*P252))+'参数'!$B$22*(I252)))/'参数'!$B$46)+((S252*(1+'参数'!$B$39*P252))^2/((S252*(1+'参数'!$B$39*P252))+'参数'!$B$22*(I252)))*(1+'参数'!$B$42*P252)/'参数'!$J$7)*(1+'参数'!$B$37*('参数'!$B$38-1))*'参数'!$B$25</x:f>
        <x:v>44152.02861136796</x:v>
      </x:c>
      <x:c r="W252" s="18" t="n">
        <x:f>(('参数'!$K$5*(((Q252*(1+'参数'!$B$39*P252))^2/((Q252*(1+'参数'!$B$39*P252))+'参数'!$B$22*(M252)))*(1+'参数'!$B$42*P252)/'参数'!$J$5+((Q252*'参数'!$B$43*(1+'参数'!$B$39*P252))^2/((Q252*'参数'!$B$43*(1+'参数'!$B$39*P252))+'参数'!$B$22*(M252)))/'参数'!$B$44))+(((R252*(1+'参数'!$B$39*P252))^2/((R252*(1+'参数'!$B$39*P252))+'参数'!$B$22*(M252)))*(1+'参数'!$B$42*P252)/'参数'!$J$6+((R252*'参数'!$B$45*(1+'参数'!$B$39*P252))^2/((R252*'参数'!$B$45*(1+'参数'!$B$39*P252))+'参数'!$B$22*(M252)))/'参数'!$B$46)+((S252*(1+'参数'!$B$39*P252))^2/((S252*(1+'参数'!$B$39*P252))+'参数'!$B$22*(M252)))*(1+'参数'!$B$42*P252)/'参数'!$J$7)*(1+'参数'!$B$37*('参数'!$B$38-1))</x:f>
        <x:v>34012.71042209668</x:v>
      </x:c>
      <x:c r="X252" s="25" t="n">
        <x:f>('参数'!$B$26+'参数'!$B$27*(D252-1)/99)*'参数'!$K$28*AD252</x:f>
        <x:v>20.87272727272727</x:v>
      </x:c>
      <x:c r="Y252" s="25" t="n">
        <x:f>('参数'!$B$28+'参数'!$B$29*(D252-1)/99)*'参数'!$K$28*AD252*IF(AE252=1,'参数'!$B$51,1)</x:f>
        <x:v>57.57575757575757</x:v>
      </x:c>
      <x:c r="Z252" s="21" t="n">
        <x:f>MIN('参数'!$B$36,U252/(U252+'参数'!$B$35))</x:f>
        <x:v>0.5050327345651943</x:v>
      </x:c>
      <x:c r="AA252" s="18" t="n">
        <x:f>T252*'参数'!$B$30/('参数'!$B$32*'参数'!$B$33)/(1-Z252)*AC252</x:f>
        <x:v>4177.572092522878</x:v>
      </x:c>
      <x:c r="AB252" s="18" t="n">
        <x:f>T252*'参数'!$B$31/'参数'!$B$34/(1-Z252)*AC252</x:f>
        <x:v>8355.144185045756</x:v>
      </x:c>
      <x:c r="AC252" s="15" t="n">
        <x:f>'参数'!$L$28*1</x:f>
        <x:v>1.1</x:v>
      </x:c>
      <x:c r="AD252" s="15" t="n">
        <x:f>1</x:f>
        <x:v>1</x:v>
      </x:c>
      <x:c r="AE252" s="18" t="n">
        <x:f>IF(MOD(B252,12)=0,1,0)</x:f>
        <x:v>0</x:v>
      </x:c>
    </x:row>
    <x:row r="253" ht="22" customHeight="1">
      <x:c r="A253" s="19" t="str">
        <x:v>噩梦</x:v>
      </x:c>
      <x:c r="B253" s="19" t="n">
        <x:v>8</x:v>
      </x:c>
      <x:c r="C253" s="19" t="n">
        <x:f>ROUNDUP(B253/12,0)</x:f>
        <x:v>1</x:v>
      </x:c>
      <x:c r="D253" s="19" t="n">
        <x:f>ROUND(MAX('参数'!$G$28,E253)+(IF(C253&lt;10,INDEX('参数'!$G$36:$P$36,1,MIN(10,C253+1)),'参数'!$H$28)-MAX('参数'!$G$28,E253))*MOD(B253-1,12)/11,0)</x:f>
        <x:v>90</x:v>
      </x:c>
      <x:c r="E253" s="19" t="n">
        <x:f>INDEX('参数'!$G$36:$P$36,1,C253)</x:f>
        <x:v>90</x:v>
      </x:c>
      <x:c r="F253" s="20" t="n">
        <x:f>'参数'!$I$28</x:f>
        <x:v>1.16</x:v>
      </x:c>
      <x:c r="G253" s="19" t="n">
        <x:f>ROUND(V253*X253/'参数'!$B$56,0)</x:f>
        <x:v>200342</x:v>
      </x:c>
      <x:c r="H253" s="19" t="n">
        <x:f>ROUND((AA253+SQRT(AA253^2+4*AA253*'参数'!$B$22*U253))/2,0)</x:f>
        <x:v>7156</x:v>
      </x:c>
      <x:c r="I253" s="19" t="n">
        <x:f>ROUND(Q253*'参数'!$B$23/'参数'!$B$22,0)</x:f>
        <x:v>1309</x:v>
      </x:c>
      <x:c r="J253" s="19" t="n">
        <x:f>ROUND(G253*'参数'!$B$50,0)</x:f>
        <x:v>601026</x:v>
      </x:c>
      <x:c r="K253" s="19" t="n">
        <x:f>ROUND(W253*Y253,0)</x:f>
        <x:v>1958308</x:v>
      </x:c>
      <x:c r="L253" s="19" t="n">
        <x:f>ROUND((AB253+SQRT(AB253^2+4*AB253*'参数'!$B$22*U253))/2,0)</x:f>
        <x:v>11929</x:v>
      </x:c>
      <x:c r="M253" s="19" t="n">
        <x:f>ROUND(I253*'参数'!$B$24,0)</x:f>
        <x:v>1636</x:v>
      </x:c>
      <x:c r="N253" s="19" t="n">
        <x:f>'参数'!$B$9*'参数'!$B$10^(D253-1)</x:f>
        <x:v>8330.3691900552</x:v>
      </x:c>
      <x:c r="O253" s="19" t="n">
        <x:f>'参数'!$B$18*'参数'!$B$19^(MIN(E253,MAX(1,5*INT(D253/5)))-1)*F253*'参数'!$J$28*P253</x:f>
        <x:v>1144.1779238966687</x:v>
      </x:c>
      <x:c r="P253" s="22" t="n">
        <x:f>MIN(1,(D253-1)/19)</x:f>
        <x:v>1</x:v>
      </x:c>
      <x:c r="Q253" s="19" t="n">
        <x:f>INDEX('角色成长'!$F$6:$F$105,D253)+O253*'参数'!$K$21</x:f>
        <x:v>6545.907083105506</x:v>
      </x:c>
      <x:c r="R253" s="19" t="n">
        <x:f>INDEX('角色成长'!$I$6:$I$105,D253)+O253*'参数'!$K$21</x:f>
        <x:v>5625.907083105506</x:v>
      </x:c>
      <x:c r="S253" s="19" t="n">
        <x:f>INDEX('角色成长'!$L$6:$L$105,D253)+O253*'参数'!$K$21</x:f>
        <x:v>5099.907083105506</x:v>
      </x:c>
      <x:c r="T253" s="19" t="n">
        <x:f>(INDEX('角色成长'!$J$6:$J$105,D253)+O253*'参数'!$L$21)*(1+'参数'!$B$40*P253)</x:f>
        <x:v>75191.32490155665</x:v>
      </x:c>
      <x:c r="U253" s="19" t="n">
        <x:f>(INDEX('角色成长'!$K$6:$K$105,D253)+O253*'参数'!$M$21)*(1+'参数'!$B$41*P253)</x:f>
        <x:v>4081.342503501088</x:v>
      </x:c>
      <x:c r="V253" s="19" t="n">
        <x:f>(('参数'!$K$5*(((Q253*(1+'参数'!$B$39*P253))^2/((Q253*(1+'参数'!$B$39*P253))+'参数'!$B$22*(I253)))*(1+'参数'!$B$42*P253)/'参数'!$J$5+((Q253*'参数'!$B$43*(1+'参数'!$B$39*P253))^2/((Q253*'参数'!$B$43*(1+'参数'!$B$39*P253))+'参数'!$B$22*(I253)))/'参数'!$B$44))+(((R253*(1+'参数'!$B$39*P253))^2/((R253*(1+'参数'!$B$39*P253))+'参数'!$B$22*(I253)))*(1+'参数'!$B$42*P253)/'参数'!$J$6+((R253*'参数'!$B$45*(1+'参数'!$B$39*P253))^2/((R253*'参数'!$B$45*(1+'参数'!$B$39*P253))+'参数'!$B$22*(I253)))/'参数'!$B$46)+((S253*(1+'参数'!$B$39*P253))^2/((S253*(1+'参数'!$B$39*P253))+'参数'!$B$22*(I253)))*(1+'参数'!$B$42*P253)/'参数'!$J$7)*(1+'参数'!$B$37*('参数'!$B$38-1))*'参数'!$B$25</x:f>
        <x:v>44152.02861136796</x:v>
      </x:c>
      <x:c r="W253" s="19" t="n">
        <x:f>(('参数'!$K$5*(((Q253*(1+'参数'!$B$39*P253))^2/((Q253*(1+'参数'!$B$39*P253))+'参数'!$B$22*(M253)))*(1+'参数'!$B$42*P253)/'参数'!$J$5+((Q253*'参数'!$B$43*(1+'参数'!$B$39*P253))^2/((Q253*'参数'!$B$43*(1+'参数'!$B$39*P253))+'参数'!$B$22*(M253)))/'参数'!$B$44))+(((R253*(1+'参数'!$B$39*P253))^2/((R253*(1+'参数'!$B$39*P253))+'参数'!$B$22*(M253)))*(1+'参数'!$B$42*P253)/'参数'!$J$6+((R253*'参数'!$B$45*(1+'参数'!$B$39*P253))^2/((R253*'参数'!$B$45*(1+'参数'!$B$39*P253))+'参数'!$B$22*(M253)))/'参数'!$B$46)+((S253*(1+'参数'!$B$39*P253))^2/((S253*(1+'参数'!$B$39*P253))+'参数'!$B$22*(M253)))*(1+'参数'!$B$42*P253)/'参数'!$J$7)*(1+'参数'!$B$37*('参数'!$B$38-1))</x:f>
        <x:v>34012.71042209668</x:v>
      </x:c>
      <x:c r="X253" s="26" t="n">
        <x:f>('参数'!$B$26+'参数'!$B$27*(D253-1)/99)*'参数'!$K$28*AD253</x:f>
        <x:v>20.87272727272727</x:v>
      </x:c>
      <x:c r="Y253" s="26" t="n">
        <x:f>('参数'!$B$28+'参数'!$B$29*(D253-1)/99)*'参数'!$K$28*AD253*IF(AE253=1,'参数'!$B$51,1)</x:f>
        <x:v>57.57575757575757</x:v>
      </x:c>
      <x:c r="Z253" s="22" t="n">
        <x:f>MIN('参数'!$B$36,U253/(U253+'参数'!$B$35))</x:f>
        <x:v>0.5050327345651943</x:v>
      </x:c>
      <x:c r="AA253" s="19" t="n">
        <x:f>T253*'参数'!$B$30/('参数'!$B$32*'参数'!$B$33)/(1-Z253)*AC253</x:f>
        <x:v>4177.572092522878</x:v>
      </x:c>
      <x:c r="AB253" s="19" t="n">
        <x:f>T253*'参数'!$B$31/'参数'!$B$34/(1-Z253)*AC253</x:f>
        <x:v>8355.144185045756</x:v>
      </x:c>
      <x:c r="AC253" s="20" t="n">
        <x:f>'参数'!$L$28*1</x:f>
        <x:v>1.1</x:v>
      </x:c>
      <x:c r="AD253" s="20" t="n">
        <x:f>1</x:f>
        <x:v>1</x:v>
      </x:c>
      <x:c r="AE253" s="19" t="n">
        <x:f>IF(MOD(B253,12)=0,1,0)</x:f>
        <x:v>0</x:v>
      </x:c>
    </x:row>
    <x:row r="254" ht="22" customHeight="1">
      <x:c r="A254" s="18" t="str">
        <x:v>噩梦</x:v>
      </x:c>
      <x:c r="B254" s="18" t="n">
        <x:v>9</x:v>
      </x:c>
      <x:c r="C254" s="18" t="n">
        <x:f>ROUNDUP(B254/12,0)</x:f>
        <x:v>1</x:v>
      </x:c>
      <x:c r="D254" s="18" t="n">
        <x:f>ROUND(MAX('参数'!$G$28,E254)+(IF(C254&lt;10,INDEX('参数'!$G$36:$P$36,1,MIN(10,C254+1)),'参数'!$H$28)-MAX('参数'!$G$28,E254))*MOD(B254-1,12)/11,0)</x:f>
        <x:v>90</x:v>
      </x:c>
      <x:c r="E254" s="18" t="n">
        <x:f>INDEX('参数'!$G$36:$P$36,1,C254)</x:f>
        <x:v>90</x:v>
      </x:c>
      <x:c r="F254" s="15" t="n">
        <x:f>'参数'!$I$28</x:f>
        <x:v>1.16</x:v>
      </x:c>
      <x:c r="G254" s="18" t="n">
        <x:f>ROUND(V254*X254/'参数'!$B$56,0)</x:f>
        <x:v>200342</x:v>
      </x:c>
      <x:c r="H254" s="18" t="n">
        <x:f>ROUND((AA254+SQRT(AA254^2+4*AA254*'参数'!$B$22*U254))/2,0)</x:f>
        <x:v>7156</x:v>
      </x:c>
      <x:c r="I254" s="18" t="n">
        <x:f>ROUND(Q254*'参数'!$B$23/'参数'!$B$22,0)</x:f>
        <x:v>1309</x:v>
      </x:c>
      <x:c r="J254" s="18" t="n">
        <x:f>ROUND(G254*'参数'!$B$50,0)</x:f>
        <x:v>601026</x:v>
      </x:c>
      <x:c r="K254" s="18" t="n">
        <x:f>ROUND(W254*Y254,0)</x:f>
        <x:v>1958308</x:v>
      </x:c>
      <x:c r="L254" s="18" t="n">
        <x:f>ROUND((AB254+SQRT(AB254^2+4*AB254*'参数'!$B$22*U254))/2,0)</x:f>
        <x:v>11929</x:v>
      </x:c>
      <x:c r="M254" s="18" t="n">
        <x:f>ROUND(I254*'参数'!$B$24,0)</x:f>
        <x:v>1636</x:v>
      </x:c>
      <x:c r="N254" s="18" t="n">
        <x:f>'参数'!$B$9*'参数'!$B$10^(D254-1)</x:f>
        <x:v>8330.3691900552</x:v>
      </x:c>
      <x:c r="O254" s="18" t="n">
        <x:f>'参数'!$B$18*'参数'!$B$19^(MIN(E254,MAX(1,5*INT(D254/5)))-1)*F254*'参数'!$J$28*P254</x:f>
        <x:v>1144.1779238966687</x:v>
      </x:c>
      <x:c r="P254" s="21" t="n">
        <x:f>MIN(1,(D254-1)/19)</x:f>
        <x:v>1</x:v>
      </x:c>
      <x:c r="Q254" s="18" t="n">
        <x:f>INDEX('角色成长'!$F$6:$F$105,D254)+O254*'参数'!$K$21</x:f>
        <x:v>6545.907083105506</x:v>
      </x:c>
      <x:c r="R254" s="18" t="n">
        <x:f>INDEX('角色成长'!$I$6:$I$105,D254)+O254*'参数'!$K$21</x:f>
        <x:v>5625.907083105506</x:v>
      </x:c>
      <x:c r="S254" s="18" t="n">
        <x:f>INDEX('角色成长'!$L$6:$L$105,D254)+O254*'参数'!$K$21</x:f>
        <x:v>5099.907083105506</x:v>
      </x:c>
      <x:c r="T254" s="18" t="n">
        <x:f>(INDEX('角色成长'!$J$6:$J$105,D254)+O254*'参数'!$L$21)*(1+'参数'!$B$40*P254)</x:f>
        <x:v>75191.32490155665</x:v>
      </x:c>
      <x:c r="U254" s="18" t="n">
        <x:f>(INDEX('角色成长'!$K$6:$K$105,D254)+O254*'参数'!$M$21)*(1+'参数'!$B$41*P254)</x:f>
        <x:v>4081.342503501088</x:v>
      </x:c>
      <x:c r="V254" s="18" t="n">
        <x:f>(('参数'!$K$5*(((Q254*(1+'参数'!$B$39*P254))^2/((Q254*(1+'参数'!$B$39*P254))+'参数'!$B$22*(I254)))*(1+'参数'!$B$42*P254)/'参数'!$J$5+((Q254*'参数'!$B$43*(1+'参数'!$B$39*P254))^2/((Q254*'参数'!$B$43*(1+'参数'!$B$39*P254))+'参数'!$B$22*(I254)))/'参数'!$B$44))+(((R254*(1+'参数'!$B$39*P254))^2/((R254*(1+'参数'!$B$39*P254))+'参数'!$B$22*(I254)))*(1+'参数'!$B$42*P254)/'参数'!$J$6+((R254*'参数'!$B$45*(1+'参数'!$B$39*P254))^2/((R254*'参数'!$B$45*(1+'参数'!$B$39*P254))+'参数'!$B$22*(I254)))/'参数'!$B$46)+((S254*(1+'参数'!$B$39*P254))^2/((S254*(1+'参数'!$B$39*P254))+'参数'!$B$22*(I254)))*(1+'参数'!$B$42*P254)/'参数'!$J$7)*(1+'参数'!$B$37*('参数'!$B$38-1))*'参数'!$B$25</x:f>
        <x:v>44152.02861136796</x:v>
      </x:c>
      <x:c r="W254" s="18" t="n">
        <x:f>(('参数'!$K$5*(((Q254*(1+'参数'!$B$39*P254))^2/((Q254*(1+'参数'!$B$39*P254))+'参数'!$B$22*(M254)))*(1+'参数'!$B$42*P254)/'参数'!$J$5+((Q254*'参数'!$B$43*(1+'参数'!$B$39*P254))^2/((Q254*'参数'!$B$43*(1+'参数'!$B$39*P254))+'参数'!$B$22*(M254)))/'参数'!$B$44))+(((R254*(1+'参数'!$B$39*P254))^2/((R254*(1+'参数'!$B$39*P254))+'参数'!$B$22*(M254)))*(1+'参数'!$B$42*P254)/'参数'!$J$6+((R254*'参数'!$B$45*(1+'参数'!$B$39*P254))^2/((R254*'参数'!$B$45*(1+'参数'!$B$39*P254))+'参数'!$B$22*(M254)))/'参数'!$B$46)+((S254*(1+'参数'!$B$39*P254))^2/((S254*(1+'参数'!$B$39*P254))+'参数'!$B$22*(M254)))*(1+'参数'!$B$42*P254)/'参数'!$J$7)*(1+'参数'!$B$37*('参数'!$B$38-1))</x:f>
        <x:v>34012.71042209668</x:v>
      </x:c>
      <x:c r="X254" s="25" t="n">
        <x:f>('参数'!$B$26+'参数'!$B$27*(D254-1)/99)*'参数'!$K$28*AD254</x:f>
        <x:v>20.87272727272727</x:v>
      </x:c>
      <x:c r="Y254" s="25" t="n">
        <x:f>('参数'!$B$28+'参数'!$B$29*(D254-1)/99)*'参数'!$K$28*AD254*IF(AE254=1,'参数'!$B$51,1)</x:f>
        <x:v>57.57575757575757</x:v>
      </x:c>
      <x:c r="Z254" s="21" t="n">
        <x:f>MIN('参数'!$B$36,U254/(U254+'参数'!$B$35))</x:f>
        <x:v>0.5050327345651943</x:v>
      </x:c>
      <x:c r="AA254" s="18" t="n">
        <x:f>T254*'参数'!$B$30/('参数'!$B$32*'参数'!$B$33)/(1-Z254)*AC254</x:f>
        <x:v>4177.572092522878</x:v>
      </x:c>
      <x:c r="AB254" s="18" t="n">
        <x:f>T254*'参数'!$B$31/'参数'!$B$34/(1-Z254)*AC254</x:f>
        <x:v>8355.144185045756</x:v>
      </x:c>
      <x:c r="AC254" s="15" t="n">
        <x:f>'参数'!$L$28*1</x:f>
        <x:v>1.1</x:v>
      </x:c>
      <x:c r="AD254" s="15" t="n">
        <x:f>1</x:f>
        <x:v>1</x:v>
      </x:c>
      <x:c r="AE254" s="18" t="n">
        <x:f>IF(MOD(B254,12)=0,1,0)</x:f>
        <x:v>0</x:v>
      </x:c>
    </x:row>
    <x:row r="255" ht="22" customHeight="1">
      <x:c r="A255" s="19" t="str">
        <x:v>噩梦</x:v>
      </x:c>
      <x:c r="B255" s="19" t="n">
        <x:v>10</x:v>
      </x:c>
      <x:c r="C255" s="19" t="n">
        <x:f>ROUNDUP(B255/12,0)</x:f>
        <x:v>1</x:v>
      </x:c>
      <x:c r="D255" s="19" t="n">
        <x:f>ROUND(MAX('参数'!$G$28,E255)+(IF(C255&lt;10,INDEX('参数'!$G$36:$P$36,1,MIN(10,C255+1)),'参数'!$H$28)-MAX('参数'!$G$28,E255))*MOD(B255-1,12)/11,0)</x:f>
        <x:v>90</x:v>
      </x:c>
      <x:c r="E255" s="19" t="n">
        <x:f>INDEX('参数'!$G$36:$P$36,1,C255)</x:f>
        <x:v>90</x:v>
      </x:c>
      <x:c r="F255" s="20" t="n">
        <x:f>'参数'!$I$28</x:f>
        <x:v>1.16</x:v>
      </x:c>
      <x:c r="G255" s="19" t="n">
        <x:f>ROUND(V255*X255/'参数'!$B$56,0)</x:f>
        <x:v>200342</x:v>
      </x:c>
      <x:c r="H255" s="19" t="n">
        <x:f>ROUND((AA255+SQRT(AA255^2+4*AA255*'参数'!$B$22*U255))/2,0)</x:f>
        <x:v>7156</x:v>
      </x:c>
      <x:c r="I255" s="19" t="n">
        <x:f>ROUND(Q255*'参数'!$B$23/'参数'!$B$22,0)</x:f>
        <x:v>1309</x:v>
      </x:c>
      <x:c r="J255" s="19" t="n">
        <x:f>ROUND(G255*'参数'!$B$50,0)</x:f>
        <x:v>601026</x:v>
      </x:c>
      <x:c r="K255" s="19" t="n">
        <x:f>ROUND(W255*Y255,0)</x:f>
        <x:v>1958308</x:v>
      </x:c>
      <x:c r="L255" s="19" t="n">
        <x:f>ROUND((AB255+SQRT(AB255^2+4*AB255*'参数'!$B$22*U255))/2,0)</x:f>
        <x:v>11929</x:v>
      </x:c>
      <x:c r="M255" s="19" t="n">
        <x:f>ROUND(I255*'参数'!$B$24,0)</x:f>
        <x:v>1636</x:v>
      </x:c>
      <x:c r="N255" s="19" t="n">
        <x:f>'参数'!$B$9*'参数'!$B$10^(D255-1)</x:f>
        <x:v>8330.3691900552</x:v>
      </x:c>
      <x:c r="O255" s="19" t="n">
        <x:f>'参数'!$B$18*'参数'!$B$19^(MIN(E255,MAX(1,5*INT(D255/5)))-1)*F255*'参数'!$J$28*P255</x:f>
        <x:v>1144.1779238966687</x:v>
      </x:c>
      <x:c r="P255" s="22" t="n">
        <x:f>MIN(1,(D255-1)/19)</x:f>
        <x:v>1</x:v>
      </x:c>
      <x:c r="Q255" s="19" t="n">
        <x:f>INDEX('角色成长'!$F$6:$F$105,D255)+O255*'参数'!$K$21</x:f>
        <x:v>6545.907083105506</x:v>
      </x:c>
      <x:c r="R255" s="19" t="n">
        <x:f>INDEX('角色成长'!$I$6:$I$105,D255)+O255*'参数'!$K$21</x:f>
        <x:v>5625.907083105506</x:v>
      </x:c>
      <x:c r="S255" s="19" t="n">
        <x:f>INDEX('角色成长'!$L$6:$L$105,D255)+O255*'参数'!$K$21</x:f>
        <x:v>5099.907083105506</x:v>
      </x:c>
      <x:c r="T255" s="19" t="n">
        <x:f>(INDEX('角色成长'!$J$6:$J$105,D255)+O255*'参数'!$L$21)*(1+'参数'!$B$40*P255)</x:f>
        <x:v>75191.32490155665</x:v>
      </x:c>
      <x:c r="U255" s="19" t="n">
        <x:f>(INDEX('角色成长'!$K$6:$K$105,D255)+O255*'参数'!$M$21)*(1+'参数'!$B$41*P255)</x:f>
        <x:v>4081.342503501088</x:v>
      </x:c>
      <x:c r="V255" s="19" t="n">
        <x:f>(('参数'!$K$5*(((Q255*(1+'参数'!$B$39*P255))^2/((Q255*(1+'参数'!$B$39*P255))+'参数'!$B$22*(I255)))*(1+'参数'!$B$42*P255)/'参数'!$J$5+((Q255*'参数'!$B$43*(1+'参数'!$B$39*P255))^2/((Q255*'参数'!$B$43*(1+'参数'!$B$39*P255))+'参数'!$B$22*(I255)))/'参数'!$B$44))+(((R255*(1+'参数'!$B$39*P255))^2/((R255*(1+'参数'!$B$39*P255))+'参数'!$B$22*(I255)))*(1+'参数'!$B$42*P255)/'参数'!$J$6+((R255*'参数'!$B$45*(1+'参数'!$B$39*P255))^2/((R255*'参数'!$B$45*(1+'参数'!$B$39*P255))+'参数'!$B$22*(I255)))/'参数'!$B$46)+((S255*(1+'参数'!$B$39*P255))^2/((S255*(1+'参数'!$B$39*P255))+'参数'!$B$22*(I255)))*(1+'参数'!$B$42*P255)/'参数'!$J$7)*(1+'参数'!$B$37*('参数'!$B$38-1))*'参数'!$B$25</x:f>
        <x:v>44152.02861136796</x:v>
      </x:c>
      <x:c r="W255" s="19" t="n">
        <x:f>(('参数'!$K$5*(((Q255*(1+'参数'!$B$39*P255))^2/((Q255*(1+'参数'!$B$39*P255))+'参数'!$B$22*(M255)))*(1+'参数'!$B$42*P255)/'参数'!$J$5+((Q255*'参数'!$B$43*(1+'参数'!$B$39*P255))^2/((Q255*'参数'!$B$43*(1+'参数'!$B$39*P255))+'参数'!$B$22*(M255)))/'参数'!$B$44))+(((R255*(1+'参数'!$B$39*P255))^2/((R255*(1+'参数'!$B$39*P255))+'参数'!$B$22*(M255)))*(1+'参数'!$B$42*P255)/'参数'!$J$6+((R255*'参数'!$B$45*(1+'参数'!$B$39*P255))^2/((R255*'参数'!$B$45*(1+'参数'!$B$39*P255))+'参数'!$B$22*(M255)))/'参数'!$B$46)+((S255*(1+'参数'!$B$39*P255))^2/((S255*(1+'参数'!$B$39*P255))+'参数'!$B$22*(M255)))*(1+'参数'!$B$42*P255)/'参数'!$J$7)*(1+'参数'!$B$37*('参数'!$B$38-1))</x:f>
        <x:v>34012.71042209668</x:v>
      </x:c>
      <x:c r="X255" s="26" t="n">
        <x:f>('参数'!$B$26+'参数'!$B$27*(D255-1)/99)*'参数'!$K$28*AD255</x:f>
        <x:v>20.87272727272727</x:v>
      </x:c>
      <x:c r="Y255" s="26" t="n">
        <x:f>('参数'!$B$28+'参数'!$B$29*(D255-1)/99)*'参数'!$K$28*AD255*IF(AE255=1,'参数'!$B$51,1)</x:f>
        <x:v>57.57575757575757</x:v>
      </x:c>
      <x:c r="Z255" s="22" t="n">
        <x:f>MIN('参数'!$B$36,U255/(U255+'参数'!$B$35))</x:f>
        <x:v>0.5050327345651943</x:v>
      </x:c>
      <x:c r="AA255" s="19" t="n">
        <x:f>T255*'参数'!$B$30/('参数'!$B$32*'参数'!$B$33)/(1-Z255)*AC255</x:f>
        <x:v>4177.572092522878</x:v>
      </x:c>
      <x:c r="AB255" s="19" t="n">
        <x:f>T255*'参数'!$B$31/'参数'!$B$34/(1-Z255)*AC255</x:f>
        <x:v>8355.144185045756</x:v>
      </x:c>
      <x:c r="AC255" s="20" t="n">
        <x:f>'参数'!$L$28*1</x:f>
        <x:v>1.1</x:v>
      </x:c>
      <x:c r="AD255" s="20" t="n">
        <x:f>1</x:f>
        <x:v>1</x:v>
      </x:c>
      <x:c r="AE255" s="19" t="n">
        <x:f>IF(MOD(B255,12)=0,1,0)</x:f>
        <x:v>0</x:v>
      </x:c>
    </x:row>
    <x:row r="256" ht="22" customHeight="1">
      <x:c r="A256" s="18" t="str">
        <x:v>噩梦</x:v>
      </x:c>
      <x:c r="B256" s="18" t="n">
        <x:v>11</x:v>
      </x:c>
      <x:c r="C256" s="18" t="n">
        <x:f>ROUNDUP(B256/12,0)</x:f>
        <x:v>1</x:v>
      </x:c>
      <x:c r="D256" s="18" t="n">
        <x:f>ROUND(MAX('参数'!$G$28,E256)+(IF(C256&lt;10,INDEX('参数'!$G$36:$P$36,1,MIN(10,C256+1)),'参数'!$H$28)-MAX('参数'!$G$28,E256))*MOD(B256-1,12)/11,0)</x:f>
        <x:v>90</x:v>
      </x:c>
      <x:c r="E256" s="18" t="n">
        <x:f>INDEX('参数'!$G$36:$P$36,1,C256)</x:f>
        <x:v>90</x:v>
      </x:c>
      <x:c r="F256" s="15" t="n">
        <x:f>'参数'!$I$28</x:f>
        <x:v>1.16</x:v>
      </x:c>
      <x:c r="G256" s="18" t="n">
        <x:f>ROUND(V256*X256/'参数'!$B$56,0)</x:f>
        <x:v>200342</x:v>
      </x:c>
      <x:c r="H256" s="18" t="n">
        <x:f>ROUND((AA256+SQRT(AA256^2+4*AA256*'参数'!$B$22*U256))/2,0)</x:f>
        <x:v>7156</x:v>
      </x:c>
      <x:c r="I256" s="18" t="n">
        <x:f>ROUND(Q256*'参数'!$B$23/'参数'!$B$22,0)</x:f>
        <x:v>1309</x:v>
      </x:c>
      <x:c r="J256" s="18" t="n">
        <x:f>ROUND(G256*'参数'!$B$50,0)</x:f>
        <x:v>601026</x:v>
      </x:c>
      <x:c r="K256" s="18" t="n">
        <x:f>ROUND(W256*Y256,0)</x:f>
        <x:v>1958308</x:v>
      </x:c>
      <x:c r="L256" s="18" t="n">
        <x:f>ROUND((AB256+SQRT(AB256^2+4*AB256*'参数'!$B$22*U256))/2,0)</x:f>
        <x:v>11929</x:v>
      </x:c>
      <x:c r="M256" s="18" t="n">
        <x:f>ROUND(I256*'参数'!$B$24,0)</x:f>
        <x:v>1636</x:v>
      </x:c>
      <x:c r="N256" s="18" t="n">
        <x:f>'参数'!$B$9*'参数'!$B$10^(D256-1)</x:f>
        <x:v>8330.3691900552</x:v>
      </x:c>
      <x:c r="O256" s="18" t="n">
        <x:f>'参数'!$B$18*'参数'!$B$19^(MIN(E256,MAX(1,5*INT(D256/5)))-1)*F256*'参数'!$J$28*P256</x:f>
        <x:v>1144.1779238966687</x:v>
      </x:c>
      <x:c r="P256" s="21" t="n">
        <x:f>MIN(1,(D256-1)/19)</x:f>
        <x:v>1</x:v>
      </x:c>
      <x:c r="Q256" s="18" t="n">
        <x:f>INDEX('角色成长'!$F$6:$F$105,D256)+O256*'参数'!$K$21</x:f>
        <x:v>6545.907083105506</x:v>
      </x:c>
      <x:c r="R256" s="18" t="n">
        <x:f>INDEX('角色成长'!$I$6:$I$105,D256)+O256*'参数'!$K$21</x:f>
        <x:v>5625.907083105506</x:v>
      </x:c>
      <x:c r="S256" s="18" t="n">
        <x:f>INDEX('角色成长'!$L$6:$L$105,D256)+O256*'参数'!$K$21</x:f>
        <x:v>5099.907083105506</x:v>
      </x:c>
      <x:c r="T256" s="18" t="n">
        <x:f>(INDEX('角色成长'!$J$6:$J$105,D256)+O256*'参数'!$L$21)*(1+'参数'!$B$40*P256)</x:f>
        <x:v>75191.32490155665</x:v>
      </x:c>
      <x:c r="U256" s="18" t="n">
        <x:f>(INDEX('角色成长'!$K$6:$K$105,D256)+O256*'参数'!$M$21)*(1+'参数'!$B$41*P256)</x:f>
        <x:v>4081.342503501088</x:v>
      </x:c>
      <x:c r="V256" s="18" t="n">
        <x:f>(('参数'!$K$5*(((Q256*(1+'参数'!$B$39*P256))^2/((Q256*(1+'参数'!$B$39*P256))+'参数'!$B$22*(I256)))*(1+'参数'!$B$42*P256)/'参数'!$J$5+((Q256*'参数'!$B$43*(1+'参数'!$B$39*P256))^2/((Q256*'参数'!$B$43*(1+'参数'!$B$39*P256))+'参数'!$B$22*(I256)))/'参数'!$B$44))+(((R256*(1+'参数'!$B$39*P256))^2/((R256*(1+'参数'!$B$39*P256))+'参数'!$B$22*(I256)))*(1+'参数'!$B$42*P256)/'参数'!$J$6+((R256*'参数'!$B$45*(1+'参数'!$B$39*P256))^2/((R256*'参数'!$B$45*(1+'参数'!$B$39*P256))+'参数'!$B$22*(I256)))/'参数'!$B$46)+((S256*(1+'参数'!$B$39*P256))^2/((S256*(1+'参数'!$B$39*P256))+'参数'!$B$22*(I256)))*(1+'参数'!$B$42*P256)/'参数'!$J$7)*(1+'参数'!$B$37*('参数'!$B$38-1))*'参数'!$B$25</x:f>
        <x:v>44152.02861136796</x:v>
      </x:c>
      <x:c r="W256" s="18" t="n">
        <x:f>(('参数'!$K$5*(((Q256*(1+'参数'!$B$39*P256))^2/((Q256*(1+'参数'!$B$39*P256))+'参数'!$B$22*(M256)))*(1+'参数'!$B$42*P256)/'参数'!$J$5+((Q256*'参数'!$B$43*(1+'参数'!$B$39*P256))^2/((Q256*'参数'!$B$43*(1+'参数'!$B$39*P256))+'参数'!$B$22*(M256)))/'参数'!$B$44))+(((R256*(1+'参数'!$B$39*P256))^2/((R256*(1+'参数'!$B$39*P256))+'参数'!$B$22*(M256)))*(1+'参数'!$B$42*P256)/'参数'!$J$6+((R256*'参数'!$B$45*(1+'参数'!$B$39*P256))^2/((R256*'参数'!$B$45*(1+'参数'!$B$39*P256))+'参数'!$B$22*(M256)))/'参数'!$B$46)+((S256*(1+'参数'!$B$39*P256))^2/((S256*(1+'参数'!$B$39*P256))+'参数'!$B$22*(M256)))*(1+'参数'!$B$42*P256)/'参数'!$J$7)*(1+'参数'!$B$37*('参数'!$B$38-1))</x:f>
        <x:v>34012.71042209668</x:v>
      </x:c>
      <x:c r="X256" s="25" t="n">
        <x:f>('参数'!$B$26+'参数'!$B$27*(D256-1)/99)*'参数'!$K$28*AD256</x:f>
        <x:v>20.87272727272727</x:v>
      </x:c>
      <x:c r="Y256" s="25" t="n">
        <x:f>('参数'!$B$28+'参数'!$B$29*(D256-1)/99)*'参数'!$K$28*AD256*IF(AE256=1,'参数'!$B$51,1)</x:f>
        <x:v>57.57575757575757</x:v>
      </x:c>
      <x:c r="Z256" s="21" t="n">
        <x:f>MIN('参数'!$B$36,U256/(U256+'参数'!$B$35))</x:f>
        <x:v>0.5050327345651943</x:v>
      </x:c>
      <x:c r="AA256" s="18" t="n">
        <x:f>T256*'参数'!$B$30/('参数'!$B$32*'参数'!$B$33)/(1-Z256)*AC256</x:f>
        <x:v>4177.572092522878</x:v>
      </x:c>
      <x:c r="AB256" s="18" t="n">
        <x:f>T256*'参数'!$B$31/'参数'!$B$34/(1-Z256)*AC256</x:f>
        <x:v>8355.144185045756</x:v>
      </x:c>
      <x:c r="AC256" s="15" t="n">
        <x:f>'参数'!$L$28*1</x:f>
        <x:v>1.1</x:v>
      </x:c>
      <x:c r="AD256" s="15" t="n">
        <x:f>1</x:f>
        <x:v>1</x:v>
      </x:c>
      <x:c r="AE256" s="18" t="n">
        <x:f>IF(MOD(B256,12)=0,1,0)</x:f>
        <x:v>0</x:v>
      </x:c>
    </x:row>
    <x:row r="257" ht="22" customHeight="1">
      <x:c r="A257" s="19" t="str">
        <x:v>噩梦</x:v>
      </x:c>
      <x:c r="B257" s="19" t="n">
        <x:v>12</x:v>
      </x:c>
      <x:c r="C257" s="19" t="n">
        <x:f>ROUNDUP(B257/12,0)</x:f>
        <x:v>1</x:v>
      </x:c>
      <x:c r="D257" s="19" t="n">
        <x:f>ROUND(MAX('参数'!$G$28,E257)+(IF(C257&lt;10,INDEX('参数'!$G$36:$P$36,1,MIN(10,C257+1)),'参数'!$H$28)-MAX('参数'!$G$28,E257))*MOD(B257-1,12)/11,0)</x:f>
        <x:v>90</x:v>
      </x:c>
      <x:c r="E257" s="19" t="n">
        <x:f>INDEX('参数'!$G$36:$P$36,1,C257)</x:f>
        <x:v>90</x:v>
      </x:c>
      <x:c r="F257" s="20" t="n">
        <x:f>'参数'!$I$28</x:f>
        <x:v>1.16</x:v>
      </x:c>
      <x:c r="G257" s="19" t="n">
        <x:f>ROUND(V257*X257/'参数'!$B$56,0)</x:f>
        <x:v>200342</x:v>
      </x:c>
      <x:c r="H257" s="19" t="n">
        <x:f>ROUND((AA257+SQRT(AA257^2+4*AA257*'参数'!$B$22*U257))/2,0)</x:f>
        <x:v>7156</x:v>
      </x:c>
      <x:c r="I257" s="19" t="n">
        <x:f>ROUND(Q257*'参数'!$B$23/'参数'!$B$22,0)</x:f>
        <x:v>1309</x:v>
      </x:c>
      <x:c r="J257" s="19" t="n">
        <x:f>ROUND(G257*'参数'!$B$50,0)</x:f>
        <x:v>601026</x:v>
      </x:c>
      <x:c r="K257" s="19" t="n">
        <x:f>ROUND(W257*Y257,0)</x:f>
        <x:v>2252054</x:v>
      </x:c>
      <x:c r="L257" s="19" t="n">
        <x:f>ROUND((AB257+SQRT(AB257^2+4*AB257*'参数'!$B$22*U257))/2,0)</x:f>
        <x:v>11929</x:v>
      </x:c>
      <x:c r="M257" s="19" t="n">
        <x:f>ROUND(I257*'参数'!$B$24,0)</x:f>
        <x:v>1636</x:v>
      </x:c>
      <x:c r="N257" s="19" t="n">
        <x:f>'参数'!$B$9*'参数'!$B$10^(D257-1)</x:f>
        <x:v>8330.3691900552</x:v>
      </x:c>
      <x:c r="O257" s="19" t="n">
        <x:f>'参数'!$B$18*'参数'!$B$19^(MIN(E257,MAX(1,5*INT(D257/5)))-1)*F257*'参数'!$J$28*P257</x:f>
        <x:v>1144.1779238966687</x:v>
      </x:c>
      <x:c r="P257" s="22" t="n">
        <x:f>MIN(1,(D257-1)/19)</x:f>
        <x:v>1</x:v>
      </x:c>
      <x:c r="Q257" s="19" t="n">
        <x:f>INDEX('角色成长'!$F$6:$F$105,D257)+O257*'参数'!$K$21</x:f>
        <x:v>6545.907083105506</x:v>
      </x:c>
      <x:c r="R257" s="19" t="n">
        <x:f>INDEX('角色成长'!$I$6:$I$105,D257)+O257*'参数'!$K$21</x:f>
        <x:v>5625.907083105506</x:v>
      </x:c>
      <x:c r="S257" s="19" t="n">
        <x:f>INDEX('角色成长'!$L$6:$L$105,D257)+O257*'参数'!$K$21</x:f>
        <x:v>5099.907083105506</x:v>
      </x:c>
      <x:c r="T257" s="19" t="n">
        <x:f>(INDEX('角色成长'!$J$6:$J$105,D257)+O257*'参数'!$L$21)*(1+'参数'!$B$40*P257)</x:f>
        <x:v>75191.32490155665</x:v>
      </x:c>
      <x:c r="U257" s="19" t="n">
        <x:f>(INDEX('角色成长'!$K$6:$K$105,D257)+O257*'参数'!$M$21)*(1+'参数'!$B$41*P257)</x:f>
        <x:v>4081.342503501088</x:v>
      </x:c>
      <x:c r="V257" s="19" t="n">
        <x:f>(('参数'!$K$5*(((Q257*(1+'参数'!$B$39*P257))^2/((Q257*(1+'参数'!$B$39*P257))+'参数'!$B$22*(I257)))*(1+'参数'!$B$42*P257)/'参数'!$J$5+((Q257*'参数'!$B$43*(1+'参数'!$B$39*P257))^2/((Q257*'参数'!$B$43*(1+'参数'!$B$39*P257))+'参数'!$B$22*(I257)))/'参数'!$B$44))+(((R257*(1+'参数'!$B$39*P257))^2/((R257*(1+'参数'!$B$39*P257))+'参数'!$B$22*(I257)))*(1+'参数'!$B$42*P257)/'参数'!$J$6+((R257*'参数'!$B$45*(1+'参数'!$B$39*P257))^2/((R257*'参数'!$B$45*(1+'参数'!$B$39*P257))+'参数'!$B$22*(I257)))/'参数'!$B$46)+((S257*(1+'参数'!$B$39*P257))^2/((S257*(1+'参数'!$B$39*P257))+'参数'!$B$22*(I257)))*(1+'参数'!$B$42*P257)/'参数'!$J$7)*(1+'参数'!$B$37*('参数'!$B$38-1))*'参数'!$B$25</x:f>
        <x:v>44152.02861136796</x:v>
      </x:c>
      <x:c r="W257" s="19" t="n">
        <x:f>(('参数'!$K$5*(((Q257*(1+'参数'!$B$39*P257))^2/((Q257*(1+'参数'!$B$39*P257))+'参数'!$B$22*(M257)))*(1+'参数'!$B$42*P257)/'参数'!$J$5+((Q257*'参数'!$B$43*(1+'参数'!$B$39*P257))^2/((Q257*'参数'!$B$43*(1+'参数'!$B$39*P257))+'参数'!$B$22*(M257)))/'参数'!$B$44))+(((R257*(1+'参数'!$B$39*P257))^2/((R257*(1+'参数'!$B$39*P257))+'参数'!$B$22*(M257)))*(1+'参数'!$B$42*P257)/'参数'!$J$6+((R257*'参数'!$B$45*(1+'参数'!$B$39*P257))^2/((R257*'参数'!$B$45*(1+'参数'!$B$39*P257))+'参数'!$B$22*(M257)))/'参数'!$B$46)+((S257*(1+'参数'!$B$39*P257))^2/((S257*(1+'参数'!$B$39*P257))+'参数'!$B$22*(M257)))*(1+'参数'!$B$42*P257)/'参数'!$J$7)*(1+'参数'!$B$37*('参数'!$B$38-1))</x:f>
        <x:v>34012.71042209668</x:v>
      </x:c>
      <x:c r="X257" s="26" t="n">
        <x:f>('参数'!$B$26+'参数'!$B$27*(D257-1)/99)*'参数'!$K$28*AD257</x:f>
        <x:v>20.87272727272727</x:v>
      </x:c>
      <x:c r="Y257" s="26" t="n">
        <x:f>('参数'!$B$28+'参数'!$B$29*(D257-1)/99)*'参数'!$K$28*AD257*IF(AE257=1,'参数'!$B$51,1)</x:f>
        <x:v>66.2121212121212</x:v>
      </x:c>
      <x:c r="Z257" s="22" t="n">
        <x:f>MIN('参数'!$B$36,U257/(U257+'参数'!$B$35))</x:f>
        <x:v>0.5050327345651943</x:v>
      </x:c>
      <x:c r="AA257" s="19" t="n">
        <x:f>T257*'参数'!$B$30/('参数'!$B$32*'参数'!$B$33)/(1-Z257)*AC257</x:f>
        <x:v>4177.572092522878</x:v>
      </x:c>
      <x:c r="AB257" s="19" t="n">
        <x:f>T257*'参数'!$B$31/'参数'!$B$34/(1-Z257)*AC257</x:f>
        <x:v>8355.144185045756</x:v>
      </x:c>
      <x:c r="AC257" s="20" t="n">
        <x:f>'参数'!$L$28*1</x:f>
        <x:v>1.1</x:v>
      </x:c>
      <x:c r="AD257" s="20" t="n">
        <x:f>1</x:f>
        <x:v>1</x:v>
      </x:c>
      <x:c r="AE257" s="19" t="n">
        <x:f>IF(MOD(B257,12)=0,1,0)</x:f>
        <x:v>1</x:v>
      </x:c>
    </x:row>
    <x:row r="258" ht="22" customHeight="1">
      <x:c r="A258" s="18" t="str">
        <x:v>噩梦</x:v>
      </x:c>
      <x:c r="B258" s="18" t="n">
        <x:v>13</x:v>
      </x:c>
      <x:c r="C258" s="18" t="n">
        <x:f>ROUNDUP(B258/12,0)</x:f>
        <x:v>2</x:v>
      </x:c>
      <x:c r="D258" s="18" t="n">
        <x:f>ROUND(MAX('参数'!$G$28,E258)+(IF(C258&lt;10,INDEX('参数'!$G$36:$P$36,1,MIN(10,C258+1)),'参数'!$H$28)-MAX('参数'!$G$28,E258))*MOD(B258-1,12)/11,0)</x:f>
        <x:v>90</x:v>
      </x:c>
      <x:c r="E258" s="18" t="n">
        <x:f>INDEX('参数'!$G$36:$P$36,1,C258)</x:f>
        <x:v>90</x:v>
      </x:c>
      <x:c r="F258" s="15" t="n">
        <x:f>'参数'!$I$28</x:f>
        <x:v>1.16</x:v>
      </x:c>
      <x:c r="G258" s="18" t="n">
        <x:f>ROUND(V258*X258/'参数'!$B$56,0)</x:f>
        <x:v>200342</x:v>
      </x:c>
      <x:c r="H258" s="18" t="n">
        <x:f>ROUND((AA258+SQRT(AA258^2+4*AA258*'参数'!$B$22*U258))/2,0)</x:f>
        <x:v>7156</x:v>
      </x:c>
      <x:c r="I258" s="18" t="n">
        <x:f>ROUND(Q258*'参数'!$B$23/'参数'!$B$22,0)</x:f>
        <x:v>1309</x:v>
      </x:c>
      <x:c r="J258" s="18" t="n">
        <x:f>ROUND(G258*'参数'!$B$50,0)</x:f>
        <x:v>601026</x:v>
      </x:c>
      <x:c r="K258" s="18" t="n">
        <x:f>ROUND(W258*Y258,0)</x:f>
        <x:v>1958308</x:v>
      </x:c>
      <x:c r="L258" s="18" t="n">
        <x:f>ROUND((AB258+SQRT(AB258^2+4*AB258*'参数'!$B$22*U258))/2,0)</x:f>
        <x:v>11929</x:v>
      </x:c>
      <x:c r="M258" s="18" t="n">
        <x:f>ROUND(I258*'参数'!$B$24,0)</x:f>
        <x:v>1636</x:v>
      </x:c>
      <x:c r="N258" s="18" t="n">
        <x:f>'参数'!$B$9*'参数'!$B$10^(D258-1)</x:f>
        <x:v>8330.3691900552</x:v>
      </x:c>
      <x:c r="O258" s="18" t="n">
        <x:f>'参数'!$B$18*'参数'!$B$19^(MIN(E258,MAX(1,5*INT(D258/5)))-1)*F258*'参数'!$J$28*P258</x:f>
        <x:v>1144.1779238966687</x:v>
      </x:c>
      <x:c r="P258" s="21" t="n">
        <x:f>MIN(1,(D258-1)/19)</x:f>
        <x:v>1</x:v>
      </x:c>
      <x:c r="Q258" s="18" t="n">
        <x:f>INDEX('角色成长'!$F$6:$F$105,D258)+O258*'参数'!$K$21</x:f>
        <x:v>6545.907083105506</x:v>
      </x:c>
      <x:c r="R258" s="18" t="n">
        <x:f>INDEX('角色成长'!$I$6:$I$105,D258)+O258*'参数'!$K$21</x:f>
        <x:v>5625.907083105506</x:v>
      </x:c>
      <x:c r="S258" s="18" t="n">
        <x:f>INDEX('角色成长'!$L$6:$L$105,D258)+O258*'参数'!$K$21</x:f>
        <x:v>5099.907083105506</x:v>
      </x:c>
      <x:c r="T258" s="18" t="n">
        <x:f>(INDEX('角色成长'!$J$6:$J$105,D258)+O258*'参数'!$L$21)*(1+'参数'!$B$40*P258)</x:f>
        <x:v>75191.32490155665</x:v>
      </x:c>
      <x:c r="U258" s="18" t="n">
        <x:f>(INDEX('角色成长'!$K$6:$K$105,D258)+O258*'参数'!$M$21)*(1+'参数'!$B$41*P258)</x:f>
        <x:v>4081.342503501088</x:v>
      </x:c>
      <x:c r="V258" s="18" t="n">
        <x:f>(('参数'!$K$5*(((Q258*(1+'参数'!$B$39*P258))^2/((Q258*(1+'参数'!$B$39*P258))+'参数'!$B$22*(I258)))*(1+'参数'!$B$42*P258)/'参数'!$J$5+((Q258*'参数'!$B$43*(1+'参数'!$B$39*P258))^2/((Q258*'参数'!$B$43*(1+'参数'!$B$39*P258))+'参数'!$B$22*(I258)))/'参数'!$B$44))+(((R258*(1+'参数'!$B$39*P258))^2/((R258*(1+'参数'!$B$39*P258))+'参数'!$B$22*(I258)))*(1+'参数'!$B$42*P258)/'参数'!$J$6+((R258*'参数'!$B$45*(1+'参数'!$B$39*P258))^2/((R258*'参数'!$B$45*(1+'参数'!$B$39*P258))+'参数'!$B$22*(I258)))/'参数'!$B$46)+((S258*(1+'参数'!$B$39*P258))^2/((S258*(1+'参数'!$B$39*P258))+'参数'!$B$22*(I258)))*(1+'参数'!$B$42*P258)/'参数'!$J$7)*(1+'参数'!$B$37*('参数'!$B$38-1))*'参数'!$B$25</x:f>
        <x:v>44152.02861136796</x:v>
      </x:c>
      <x:c r="W258" s="18" t="n">
        <x:f>(('参数'!$K$5*(((Q258*(1+'参数'!$B$39*P258))^2/((Q258*(1+'参数'!$B$39*P258))+'参数'!$B$22*(M258)))*(1+'参数'!$B$42*P258)/'参数'!$J$5+((Q258*'参数'!$B$43*(1+'参数'!$B$39*P258))^2/((Q258*'参数'!$B$43*(1+'参数'!$B$39*P258))+'参数'!$B$22*(M258)))/'参数'!$B$44))+(((R258*(1+'参数'!$B$39*P258))^2/((R258*(1+'参数'!$B$39*P258))+'参数'!$B$22*(M258)))*(1+'参数'!$B$42*P258)/'参数'!$J$6+((R258*'参数'!$B$45*(1+'参数'!$B$39*P258))^2/((R258*'参数'!$B$45*(1+'参数'!$B$39*P258))+'参数'!$B$22*(M258)))/'参数'!$B$46)+((S258*(1+'参数'!$B$39*P258))^2/((S258*(1+'参数'!$B$39*P258))+'参数'!$B$22*(M258)))*(1+'参数'!$B$42*P258)/'参数'!$J$7)*(1+'参数'!$B$37*('参数'!$B$38-1))</x:f>
        <x:v>34012.71042209668</x:v>
      </x:c>
      <x:c r="X258" s="25" t="n">
        <x:f>('参数'!$B$26+'参数'!$B$27*(D258-1)/99)*'参数'!$K$28*AD258</x:f>
        <x:v>20.87272727272727</x:v>
      </x:c>
      <x:c r="Y258" s="25" t="n">
        <x:f>('参数'!$B$28+'参数'!$B$29*(D258-1)/99)*'参数'!$K$28*AD258*IF(AE258=1,'参数'!$B$51,1)</x:f>
        <x:v>57.57575757575757</x:v>
      </x:c>
      <x:c r="Z258" s="21" t="n">
        <x:f>MIN('参数'!$B$36,U258/(U258+'参数'!$B$35))</x:f>
        <x:v>0.5050327345651943</x:v>
      </x:c>
      <x:c r="AA258" s="18" t="n">
        <x:f>T258*'参数'!$B$30/('参数'!$B$32*'参数'!$B$33)/(1-Z258)*AC258</x:f>
        <x:v>4177.572092522878</x:v>
      </x:c>
      <x:c r="AB258" s="18" t="n">
        <x:f>T258*'参数'!$B$31/'参数'!$B$34/(1-Z258)*AC258</x:f>
        <x:v>8355.144185045756</x:v>
      </x:c>
      <x:c r="AC258" s="15" t="n">
        <x:f>'参数'!$L$28*1</x:f>
        <x:v>1.1</x:v>
      </x:c>
      <x:c r="AD258" s="15" t="n">
        <x:f>1</x:f>
        <x:v>1</x:v>
      </x:c>
      <x:c r="AE258" s="18" t="n">
        <x:f>IF(MOD(B258,12)=0,1,0)</x:f>
        <x:v>0</x:v>
      </x:c>
    </x:row>
    <x:row r="259" ht="22" customHeight="1">
      <x:c r="A259" s="19" t="str">
        <x:v>噩梦</x:v>
      </x:c>
      <x:c r="B259" s="19" t="n">
        <x:v>14</x:v>
      </x:c>
      <x:c r="C259" s="19" t="n">
        <x:f>ROUNDUP(B259/12,0)</x:f>
        <x:v>2</x:v>
      </x:c>
      <x:c r="D259" s="19" t="n">
        <x:f>ROUND(MAX('参数'!$G$28,E259)+(IF(C259&lt;10,INDEX('参数'!$G$36:$P$36,1,MIN(10,C259+1)),'参数'!$H$28)-MAX('参数'!$G$28,E259))*MOD(B259-1,12)/11,0)</x:f>
        <x:v>90</x:v>
      </x:c>
      <x:c r="E259" s="19" t="n">
        <x:f>INDEX('参数'!$G$36:$P$36,1,C259)</x:f>
        <x:v>90</x:v>
      </x:c>
      <x:c r="F259" s="20" t="n">
        <x:f>'参数'!$I$28</x:f>
        <x:v>1.16</x:v>
      </x:c>
      <x:c r="G259" s="19" t="n">
        <x:f>ROUND(V259*X259/'参数'!$B$56,0)</x:f>
        <x:v>200342</x:v>
      </x:c>
      <x:c r="H259" s="19" t="n">
        <x:f>ROUND((AA259+SQRT(AA259^2+4*AA259*'参数'!$B$22*U259))/2,0)</x:f>
        <x:v>7156</x:v>
      </x:c>
      <x:c r="I259" s="19" t="n">
        <x:f>ROUND(Q259*'参数'!$B$23/'参数'!$B$22,0)</x:f>
        <x:v>1309</x:v>
      </x:c>
      <x:c r="J259" s="19" t="n">
        <x:f>ROUND(G259*'参数'!$B$50,0)</x:f>
        <x:v>601026</x:v>
      </x:c>
      <x:c r="K259" s="19" t="n">
        <x:f>ROUND(W259*Y259,0)</x:f>
        <x:v>1958308</x:v>
      </x:c>
      <x:c r="L259" s="19" t="n">
        <x:f>ROUND((AB259+SQRT(AB259^2+4*AB259*'参数'!$B$22*U259))/2,0)</x:f>
        <x:v>11929</x:v>
      </x:c>
      <x:c r="M259" s="19" t="n">
        <x:f>ROUND(I259*'参数'!$B$24,0)</x:f>
        <x:v>1636</x:v>
      </x:c>
      <x:c r="N259" s="19" t="n">
        <x:f>'参数'!$B$9*'参数'!$B$10^(D259-1)</x:f>
        <x:v>8330.3691900552</x:v>
      </x:c>
      <x:c r="O259" s="19" t="n">
        <x:f>'参数'!$B$18*'参数'!$B$19^(MIN(E259,MAX(1,5*INT(D259/5)))-1)*F259*'参数'!$J$28*P259</x:f>
        <x:v>1144.1779238966687</x:v>
      </x:c>
      <x:c r="P259" s="22" t="n">
        <x:f>MIN(1,(D259-1)/19)</x:f>
        <x:v>1</x:v>
      </x:c>
      <x:c r="Q259" s="19" t="n">
        <x:f>INDEX('角色成长'!$F$6:$F$105,D259)+O259*'参数'!$K$21</x:f>
        <x:v>6545.907083105506</x:v>
      </x:c>
      <x:c r="R259" s="19" t="n">
        <x:f>INDEX('角色成长'!$I$6:$I$105,D259)+O259*'参数'!$K$21</x:f>
        <x:v>5625.907083105506</x:v>
      </x:c>
      <x:c r="S259" s="19" t="n">
        <x:f>INDEX('角色成长'!$L$6:$L$105,D259)+O259*'参数'!$K$21</x:f>
        <x:v>5099.907083105506</x:v>
      </x:c>
      <x:c r="T259" s="19" t="n">
        <x:f>(INDEX('角色成长'!$J$6:$J$105,D259)+O259*'参数'!$L$21)*(1+'参数'!$B$40*P259)</x:f>
        <x:v>75191.32490155665</x:v>
      </x:c>
      <x:c r="U259" s="19" t="n">
        <x:f>(INDEX('角色成长'!$K$6:$K$105,D259)+O259*'参数'!$M$21)*(1+'参数'!$B$41*P259)</x:f>
        <x:v>4081.342503501088</x:v>
      </x:c>
      <x:c r="V259" s="19" t="n">
        <x:f>(('参数'!$K$5*(((Q259*(1+'参数'!$B$39*P259))^2/((Q259*(1+'参数'!$B$39*P259))+'参数'!$B$22*(I259)))*(1+'参数'!$B$42*P259)/'参数'!$J$5+((Q259*'参数'!$B$43*(1+'参数'!$B$39*P259))^2/((Q259*'参数'!$B$43*(1+'参数'!$B$39*P259))+'参数'!$B$22*(I259)))/'参数'!$B$44))+(((R259*(1+'参数'!$B$39*P259))^2/((R259*(1+'参数'!$B$39*P259))+'参数'!$B$22*(I259)))*(1+'参数'!$B$42*P259)/'参数'!$J$6+((R259*'参数'!$B$45*(1+'参数'!$B$39*P259))^2/((R259*'参数'!$B$45*(1+'参数'!$B$39*P259))+'参数'!$B$22*(I259)))/'参数'!$B$46)+((S259*(1+'参数'!$B$39*P259))^2/((S259*(1+'参数'!$B$39*P259))+'参数'!$B$22*(I259)))*(1+'参数'!$B$42*P259)/'参数'!$J$7)*(1+'参数'!$B$37*('参数'!$B$38-1))*'参数'!$B$25</x:f>
        <x:v>44152.02861136796</x:v>
      </x:c>
      <x:c r="W259" s="19" t="n">
        <x:f>(('参数'!$K$5*(((Q259*(1+'参数'!$B$39*P259))^2/((Q259*(1+'参数'!$B$39*P259))+'参数'!$B$22*(M259)))*(1+'参数'!$B$42*P259)/'参数'!$J$5+((Q259*'参数'!$B$43*(1+'参数'!$B$39*P259))^2/((Q259*'参数'!$B$43*(1+'参数'!$B$39*P259))+'参数'!$B$22*(M259)))/'参数'!$B$44))+(((R259*(1+'参数'!$B$39*P259))^2/((R259*(1+'参数'!$B$39*P259))+'参数'!$B$22*(M259)))*(1+'参数'!$B$42*P259)/'参数'!$J$6+((R259*'参数'!$B$45*(1+'参数'!$B$39*P259))^2/((R259*'参数'!$B$45*(1+'参数'!$B$39*P259))+'参数'!$B$22*(M259)))/'参数'!$B$46)+((S259*(1+'参数'!$B$39*P259))^2/((S259*(1+'参数'!$B$39*P259))+'参数'!$B$22*(M259)))*(1+'参数'!$B$42*P259)/'参数'!$J$7)*(1+'参数'!$B$37*('参数'!$B$38-1))</x:f>
        <x:v>34012.71042209668</x:v>
      </x:c>
      <x:c r="X259" s="26" t="n">
        <x:f>('参数'!$B$26+'参数'!$B$27*(D259-1)/99)*'参数'!$K$28*AD259</x:f>
        <x:v>20.87272727272727</x:v>
      </x:c>
      <x:c r="Y259" s="26" t="n">
        <x:f>('参数'!$B$28+'参数'!$B$29*(D259-1)/99)*'参数'!$K$28*AD259*IF(AE259=1,'参数'!$B$51,1)</x:f>
        <x:v>57.57575757575757</x:v>
      </x:c>
      <x:c r="Z259" s="22" t="n">
        <x:f>MIN('参数'!$B$36,U259/(U259+'参数'!$B$35))</x:f>
        <x:v>0.5050327345651943</x:v>
      </x:c>
      <x:c r="AA259" s="19" t="n">
        <x:f>T259*'参数'!$B$30/('参数'!$B$32*'参数'!$B$33)/(1-Z259)*AC259</x:f>
        <x:v>4177.572092522878</x:v>
      </x:c>
      <x:c r="AB259" s="19" t="n">
        <x:f>T259*'参数'!$B$31/'参数'!$B$34/(1-Z259)*AC259</x:f>
        <x:v>8355.144185045756</x:v>
      </x:c>
      <x:c r="AC259" s="20" t="n">
        <x:f>'参数'!$L$28*1</x:f>
        <x:v>1.1</x:v>
      </x:c>
      <x:c r="AD259" s="20" t="n">
        <x:f>1</x:f>
        <x:v>1</x:v>
      </x:c>
      <x:c r="AE259" s="19" t="n">
        <x:f>IF(MOD(B259,12)=0,1,0)</x:f>
        <x:v>0</x:v>
      </x:c>
    </x:row>
    <x:row r="260" ht="22" customHeight="1">
      <x:c r="A260" s="18" t="str">
        <x:v>噩梦</x:v>
      </x:c>
      <x:c r="B260" s="18" t="n">
        <x:v>15</x:v>
      </x:c>
      <x:c r="C260" s="18" t="n">
        <x:f>ROUNDUP(B260/12,0)</x:f>
        <x:v>2</x:v>
      </x:c>
      <x:c r="D260" s="18" t="n">
        <x:f>ROUND(MAX('参数'!$G$28,E260)+(IF(C260&lt;10,INDEX('参数'!$G$36:$P$36,1,MIN(10,C260+1)),'参数'!$H$28)-MAX('参数'!$G$28,E260))*MOD(B260-1,12)/11,0)</x:f>
        <x:v>90</x:v>
      </x:c>
      <x:c r="E260" s="18" t="n">
        <x:f>INDEX('参数'!$G$36:$P$36,1,C260)</x:f>
        <x:v>90</x:v>
      </x:c>
      <x:c r="F260" s="15" t="n">
        <x:f>'参数'!$I$28</x:f>
        <x:v>1.16</x:v>
      </x:c>
      <x:c r="G260" s="18" t="n">
        <x:f>ROUND(V260*X260/'参数'!$B$56,0)</x:f>
        <x:v>200342</x:v>
      </x:c>
      <x:c r="H260" s="18" t="n">
        <x:f>ROUND((AA260+SQRT(AA260^2+4*AA260*'参数'!$B$22*U260))/2,0)</x:f>
        <x:v>7156</x:v>
      </x:c>
      <x:c r="I260" s="18" t="n">
        <x:f>ROUND(Q260*'参数'!$B$23/'参数'!$B$22,0)</x:f>
        <x:v>1309</x:v>
      </x:c>
      <x:c r="J260" s="18" t="n">
        <x:f>ROUND(G260*'参数'!$B$50,0)</x:f>
        <x:v>601026</x:v>
      </x:c>
      <x:c r="K260" s="18" t="n">
        <x:f>ROUND(W260*Y260,0)</x:f>
        <x:v>1958308</x:v>
      </x:c>
      <x:c r="L260" s="18" t="n">
        <x:f>ROUND((AB260+SQRT(AB260^2+4*AB260*'参数'!$B$22*U260))/2,0)</x:f>
        <x:v>11929</x:v>
      </x:c>
      <x:c r="M260" s="18" t="n">
        <x:f>ROUND(I260*'参数'!$B$24,0)</x:f>
        <x:v>1636</x:v>
      </x:c>
      <x:c r="N260" s="18" t="n">
        <x:f>'参数'!$B$9*'参数'!$B$10^(D260-1)</x:f>
        <x:v>8330.3691900552</x:v>
      </x:c>
      <x:c r="O260" s="18" t="n">
        <x:f>'参数'!$B$18*'参数'!$B$19^(MIN(E260,MAX(1,5*INT(D260/5)))-1)*F260*'参数'!$J$28*P260</x:f>
        <x:v>1144.1779238966687</x:v>
      </x:c>
      <x:c r="P260" s="21" t="n">
        <x:f>MIN(1,(D260-1)/19)</x:f>
        <x:v>1</x:v>
      </x:c>
      <x:c r="Q260" s="18" t="n">
        <x:f>INDEX('角色成长'!$F$6:$F$105,D260)+O260*'参数'!$K$21</x:f>
        <x:v>6545.907083105506</x:v>
      </x:c>
      <x:c r="R260" s="18" t="n">
        <x:f>INDEX('角色成长'!$I$6:$I$105,D260)+O260*'参数'!$K$21</x:f>
        <x:v>5625.907083105506</x:v>
      </x:c>
      <x:c r="S260" s="18" t="n">
        <x:f>INDEX('角色成长'!$L$6:$L$105,D260)+O260*'参数'!$K$21</x:f>
        <x:v>5099.907083105506</x:v>
      </x:c>
      <x:c r="T260" s="18" t="n">
        <x:f>(INDEX('角色成长'!$J$6:$J$105,D260)+O260*'参数'!$L$21)*(1+'参数'!$B$40*P260)</x:f>
        <x:v>75191.32490155665</x:v>
      </x:c>
      <x:c r="U260" s="18" t="n">
        <x:f>(INDEX('角色成长'!$K$6:$K$105,D260)+O260*'参数'!$M$21)*(1+'参数'!$B$41*P260)</x:f>
        <x:v>4081.342503501088</x:v>
      </x:c>
      <x:c r="V260" s="18" t="n">
        <x:f>(('参数'!$K$5*(((Q260*(1+'参数'!$B$39*P260))^2/((Q260*(1+'参数'!$B$39*P260))+'参数'!$B$22*(I260)))*(1+'参数'!$B$42*P260)/'参数'!$J$5+((Q260*'参数'!$B$43*(1+'参数'!$B$39*P260))^2/((Q260*'参数'!$B$43*(1+'参数'!$B$39*P260))+'参数'!$B$22*(I260)))/'参数'!$B$44))+(((R260*(1+'参数'!$B$39*P260))^2/((R260*(1+'参数'!$B$39*P260))+'参数'!$B$22*(I260)))*(1+'参数'!$B$42*P260)/'参数'!$J$6+((R260*'参数'!$B$45*(1+'参数'!$B$39*P260))^2/((R260*'参数'!$B$45*(1+'参数'!$B$39*P260))+'参数'!$B$22*(I260)))/'参数'!$B$46)+((S260*(1+'参数'!$B$39*P260))^2/((S260*(1+'参数'!$B$39*P260))+'参数'!$B$22*(I260)))*(1+'参数'!$B$42*P260)/'参数'!$J$7)*(1+'参数'!$B$37*('参数'!$B$38-1))*'参数'!$B$25</x:f>
        <x:v>44152.02861136796</x:v>
      </x:c>
      <x:c r="W260" s="18" t="n">
        <x:f>(('参数'!$K$5*(((Q260*(1+'参数'!$B$39*P260))^2/((Q260*(1+'参数'!$B$39*P260))+'参数'!$B$22*(M260)))*(1+'参数'!$B$42*P260)/'参数'!$J$5+((Q260*'参数'!$B$43*(1+'参数'!$B$39*P260))^2/((Q260*'参数'!$B$43*(1+'参数'!$B$39*P260))+'参数'!$B$22*(M260)))/'参数'!$B$44))+(((R260*(1+'参数'!$B$39*P260))^2/((R260*(1+'参数'!$B$39*P260))+'参数'!$B$22*(M260)))*(1+'参数'!$B$42*P260)/'参数'!$J$6+((R260*'参数'!$B$45*(1+'参数'!$B$39*P260))^2/((R260*'参数'!$B$45*(1+'参数'!$B$39*P260))+'参数'!$B$22*(M260)))/'参数'!$B$46)+((S260*(1+'参数'!$B$39*P260))^2/((S260*(1+'参数'!$B$39*P260))+'参数'!$B$22*(M260)))*(1+'参数'!$B$42*P260)/'参数'!$J$7)*(1+'参数'!$B$37*('参数'!$B$38-1))</x:f>
        <x:v>34012.71042209668</x:v>
      </x:c>
      <x:c r="X260" s="25" t="n">
        <x:f>('参数'!$B$26+'参数'!$B$27*(D260-1)/99)*'参数'!$K$28*AD260</x:f>
        <x:v>20.87272727272727</x:v>
      </x:c>
      <x:c r="Y260" s="25" t="n">
        <x:f>('参数'!$B$28+'参数'!$B$29*(D260-1)/99)*'参数'!$K$28*AD260*IF(AE260=1,'参数'!$B$51,1)</x:f>
        <x:v>57.57575757575757</x:v>
      </x:c>
      <x:c r="Z260" s="21" t="n">
        <x:f>MIN('参数'!$B$36,U260/(U260+'参数'!$B$35))</x:f>
        <x:v>0.5050327345651943</x:v>
      </x:c>
      <x:c r="AA260" s="18" t="n">
        <x:f>T260*'参数'!$B$30/('参数'!$B$32*'参数'!$B$33)/(1-Z260)*AC260</x:f>
        <x:v>4177.572092522878</x:v>
      </x:c>
      <x:c r="AB260" s="18" t="n">
        <x:f>T260*'参数'!$B$31/'参数'!$B$34/(1-Z260)*AC260</x:f>
        <x:v>8355.144185045756</x:v>
      </x:c>
      <x:c r="AC260" s="15" t="n">
        <x:f>'参数'!$L$28*1</x:f>
        <x:v>1.1</x:v>
      </x:c>
      <x:c r="AD260" s="15" t="n">
        <x:f>1</x:f>
        <x:v>1</x:v>
      </x:c>
      <x:c r="AE260" s="18" t="n">
        <x:f>IF(MOD(B260,12)=0,1,0)</x:f>
        <x:v>0</x:v>
      </x:c>
    </x:row>
    <x:row r="261" ht="22" customHeight="1">
      <x:c r="A261" s="19" t="str">
        <x:v>噩梦</x:v>
      </x:c>
      <x:c r="B261" s="19" t="n">
        <x:v>16</x:v>
      </x:c>
      <x:c r="C261" s="19" t="n">
        <x:f>ROUNDUP(B261/12,0)</x:f>
        <x:v>2</x:v>
      </x:c>
      <x:c r="D261" s="19" t="n">
        <x:f>ROUND(MAX('参数'!$G$28,E261)+(IF(C261&lt;10,INDEX('参数'!$G$36:$P$36,1,MIN(10,C261+1)),'参数'!$H$28)-MAX('参数'!$G$28,E261))*MOD(B261-1,12)/11,0)</x:f>
        <x:v>90</x:v>
      </x:c>
      <x:c r="E261" s="19" t="n">
        <x:f>INDEX('参数'!$G$36:$P$36,1,C261)</x:f>
        <x:v>90</x:v>
      </x:c>
      <x:c r="F261" s="20" t="n">
        <x:f>'参数'!$I$28</x:f>
        <x:v>1.16</x:v>
      </x:c>
      <x:c r="G261" s="19" t="n">
        <x:f>ROUND(V261*X261/'参数'!$B$56,0)</x:f>
        <x:v>200342</x:v>
      </x:c>
      <x:c r="H261" s="19" t="n">
        <x:f>ROUND((AA261+SQRT(AA261^2+4*AA261*'参数'!$B$22*U261))/2,0)</x:f>
        <x:v>7156</x:v>
      </x:c>
      <x:c r="I261" s="19" t="n">
        <x:f>ROUND(Q261*'参数'!$B$23/'参数'!$B$22,0)</x:f>
        <x:v>1309</x:v>
      </x:c>
      <x:c r="J261" s="19" t="n">
        <x:f>ROUND(G261*'参数'!$B$50,0)</x:f>
        <x:v>601026</x:v>
      </x:c>
      <x:c r="K261" s="19" t="n">
        <x:f>ROUND(W261*Y261,0)</x:f>
        <x:v>1958308</x:v>
      </x:c>
      <x:c r="L261" s="19" t="n">
        <x:f>ROUND((AB261+SQRT(AB261^2+4*AB261*'参数'!$B$22*U261))/2,0)</x:f>
        <x:v>11929</x:v>
      </x:c>
      <x:c r="M261" s="19" t="n">
        <x:f>ROUND(I261*'参数'!$B$24,0)</x:f>
        <x:v>1636</x:v>
      </x:c>
      <x:c r="N261" s="19" t="n">
        <x:f>'参数'!$B$9*'参数'!$B$10^(D261-1)</x:f>
        <x:v>8330.3691900552</x:v>
      </x:c>
      <x:c r="O261" s="19" t="n">
        <x:f>'参数'!$B$18*'参数'!$B$19^(MIN(E261,MAX(1,5*INT(D261/5)))-1)*F261*'参数'!$J$28*P261</x:f>
        <x:v>1144.1779238966687</x:v>
      </x:c>
      <x:c r="P261" s="22" t="n">
        <x:f>MIN(1,(D261-1)/19)</x:f>
        <x:v>1</x:v>
      </x:c>
      <x:c r="Q261" s="19" t="n">
        <x:f>INDEX('角色成长'!$F$6:$F$105,D261)+O261*'参数'!$K$21</x:f>
        <x:v>6545.907083105506</x:v>
      </x:c>
      <x:c r="R261" s="19" t="n">
        <x:f>INDEX('角色成长'!$I$6:$I$105,D261)+O261*'参数'!$K$21</x:f>
        <x:v>5625.907083105506</x:v>
      </x:c>
      <x:c r="S261" s="19" t="n">
        <x:f>INDEX('角色成长'!$L$6:$L$105,D261)+O261*'参数'!$K$21</x:f>
        <x:v>5099.907083105506</x:v>
      </x:c>
      <x:c r="T261" s="19" t="n">
        <x:f>(INDEX('角色成长'!$J$6:$J$105,D261)+O261*'参数'!$L$21)*(1+'参数'!$B$40*P261)</x:f>
        <x:v>75191.32490155665</x:v>
      </x:c>
      <x:c r="U261" s="19" t="n">
        <x:f>(INDEX('角色成长'!$K$6:$K$105,D261)+O261*'参数'!$M$21)*(1+'参数'!$B$41*P261)</x:f>
        <x:v>4081.342503501088</x:v>
      </x:c>
      <x:c r="V261" s="19" t="n">
        <x:f>(('参数'!$K$5*(((Q261*(1+'参数'!$B$39*P261))^2/((Q261*(1+'参数'!$B$39*P261))+'参数'!$B$22*(I261)))*(1+'参数'!$B$42*P261)/'参数'!$J$5+((Q261*'参数'!$B$43*(1+'参数'!$B$39*P261))^2/((Q261*'参数'!$B$43*(1+'参数'!$B$39*P261))+'参数'!$B$22*(I261)))/'参数'!$B$44))+(((R261*(1+'参数'!$B$39*P261))^2/((R261*(1+'参数'!$B$39*P261))+'参数'!$B$22*(I261)))*(1+'参数'!$B$42*P261)/'参数'!$J$6+((R261*'参数'!$B$45*(1+'参数'!$B$39*P261))^2/((R261*'参数'!$B$45*(1+'参数'!$B$39*P261))+'参数'!$B$22*(I261)))/'参数'!$B$46)+((S261*(1+'参数'!$B$39*P261))^2/((S261*(1+'参数'!$B$39*P261))+'参数'!$B$22*(I261)))*(1+'参数'!$B$42*P261)/'参数'!$J$7)*(1+'参数'!$B$37*('参数'!$B$38-1))*'参数'!$B$25</x:f>
        <x:v>44152.02861136796</x:v>
      </x:c>
      <x:c r="W261" s="19" t="n">
        <x:f>(('参数'!$K$5*(((Q261*(1+'参数'!$B$39*P261))^2/((Q261*(1+'参数'!$B$39*P261))+'参数'!$B$22*(M261)))*(1+'参数'!$B$42*P261)/'参数'!$J$5+((Q261*'参数'!$B$43*(1+'参数'!$B$39*P261))^2/((Q261*'参数'!$B$43*(1+'参数'!$B$39*P261))+'参数'!$B$22*(M261)))/'参数'!$B$44))+(((R261*(1+'参数'!$B$39*P261))^2/((R261*(1+'参数'!$B$39*P261))+'参数'!$B$22*(M261)))*(1+'参数'!$B$42*P261)/'参数'!$J$6+((R261*'参数'!$B$45*(1+'参数'!$B$39*P261))^2/((R261*'参数'!$B$45*(1+'参数'!$B$39*P261))+'参数'!$B$22*(M261)))/'参数'!$B$46)+((S261*(1+'参数'!$B$39*P261))^2/((S261*(1+'参数'!$B$39*P261))+'参数'!$B$22*(M261)))*(1+'参数'!$B$42*P261)/'参数'!$J$7)*(1+'参数'!$B$37*('参数'!$B$38-1))</x:f>
        <x:v>34012.71042209668</x:v>
      </x:c>
      <x:c r="X261" s="26" t="n">
        <x:f>('参数'!$B$26+'参数'!$B$27*(D261-1)/99)*'参数'!$K$28*AD261</x:f>
        <x:v>20.87272727272727</x:v>
      </x:c>
      <x:c r="Y261" s="26" t="n">
        <x:f>('参数'!$B$28+'参数'!$B$29*(D261-1)/99)*'参数'!$K$28*AD261*IF(AE261=1,'参数'!$B$51,1)</x:f>
        <x:v>57.57575757575757</x:v>
      </x:c>
      <x:c r="Z261" s="22" t="n">
        <x:f>MIN('参数'!$B$36,U261/(U261+'参数'!$B$35))</x:f>
        <x:v>0.5050327345651943</x:v>
      </x:c>
      <x:c r="AA261" s="19" t="n">
        <x:f>T261*'参数'!$B$30/('参数'!$B$32*'参数'!$B$33)/(1-Z261)*AC261</x:f>
        <x:v>4177.572092522878</x:v>
      </x:c>
      <x:c r="AB261" s="19" t="n">
        <x:f>T261*'参数'!$B$31/'参数'!$B$34/(1-Z261)*AC261</x:f>
        <x:v>8355.144185045756</x:v>
      </x:c>
      <x:c r="AC261" s="20" t="n">
        <x:f>'参数'!$L$28*1</x:f>
        <x:v>1.1</x:v>
      </x:c>
      <x:c r="AD261" s="20" t="n">
        <x:f>1</x:f>
        <x:v>1</x:v>
      </x:c>
      <x:c r="AE261" s="19" t="n">
        <x:f>IF(MOD(B261,12)=0,1,0)</x:f>
        <x:v>0</x:v>
      </x:c>
    </x:row>
    <x:row r="262" ht="22" customHeight="1">
      <x:c r="A262" s="18" t="str">
        <x:v>噩梦</x:v>
      </x:c>
      <x:c r="B262" s="18" t="n">
        <x:v>17</x:v>
      </x:c>
      <x:c r="C262" s="18" t="n">
        <x:f>ROUNDUP(B262/12,0)</x:f>
        <x:v>2</x:v>
      </x:c>
      <x:c r="D262" s="18" t="n">
        <x:f>ROUND(MAX('参数'!$G$28,E262)+(IF(C262&lt;10,INDEX('参数'!$G$36:$P$36,1,MIN(10,C262+1)),'参数'!$H$28)-MAX('参数'!$G$28,E262))*MOD(B262-1,12)/11,0)</x:f>
        <x:v>90</x:v>
      </x:c>
      <x:c r="E262" s="18" t="n">
        <x:f>INDEX('参数'!$G$36:$P$36,1,C262)</x:f>
        <x:v>90</x:v>
      </x:c>
      <x:c r="F262" s="15" t="n">
        <x:f>'参数'!$I$28</x:f>
        <x:v>1.16</x:v>
      </x:c>
      <x:c r="G262" s="18" t="n">
        <x:f>ROUND(V262*X262/'参数'!$B$56,0)</x:f>
        <x:v>200342</x:v>
      </x:c>
      <x:c r="H262" s="18" t="n">
        <x:f>ROUND((AA262+SQRT(AA262^2+4*AA262*'参数'!$B$22*U262))/2,0)</x:f>
        <x:v>7156</x:v>
      </x:c>
      <x:c r="I262" s="18" t="n">
        <x:f>ROUND(Q262*'参数'!$B$23/'参数'!$B$22,0)</x:f>
        <x:v>1309</x:v>
      </x:c>
      <x:c r="J262" s="18" t="n">
        <x:f>ROUND(G262*'参数'!$B$50,0)</x:f>
        <x:v>601026</x:v>
      </x:c>
      <x:c r="K262" s="18" t="n">
        <x:f>ROUND(W262*Y262,0)</x:f>
        <x:v>1958308</x:v>
      </x:c>
      <x:c r="L262" s="18" t="n">
        <x:f>ROUND((AB262+SQRT(AB262^2+4*AB262*'参数'!$B$22*U262))/2,0)</x:f>
        <x:v>11929</x:v>
      </x:c>
      <x:c r="M262" s="18" t="n">
        <x:f>ROUND(I262*'参数'!$B$24,0)</x:f>
        <x:v>1636</x:v>
      </x:c>
      <x:c r="N262" s="18" t="n">
        <x:f>'参数'!$B$9*'参数'!$B$10^(D262-1)</x:f>
        <x:v>8330.3691900552</x:v>
      </x:c>
      <x:c r="O262" s="18" t="n">
        <x:f>'参数'!$B$18*'参数'!$B$19^(MIN(E262,MAX(1,5*INT(D262/5)))-1)*F262*'参数'!$J$28*P262</x:f>
        <x:v>1144.1779238966687</x:v>
      </x:c>
      <x:c r="P262" s="21" t="n">
        <x:f>MIN(1,(D262-1)/19)</x:f>
        <x:v>1</x:v>
      </x:c>
      <x:c r="Q262" s="18" t="n">
        <x:f>INDEX('角色成长'!$F$6:$F$105,D262)+O262*'参数'!$K$21</x:f>
        <x:v>6545.907083105506</x:v>
      </x:c>
      <x:c r="R262" s="18" t="n">
        <x:f>INDEX('角色成长'!$I$6:$I$105,D262)+O262*'参数'!$K$21</x:f>
        <x:v>5625.907083105506</x:v>
      </x:c>
      <x:c r="S262" s="18" t="n">
        <x:f>INDEX('角色成长'!$L$6:$L$105,D262)+O262*'参数'!$K$21</x:f>
        <x:v>5099.907083105506</x:v>
      </x:c>
      <x:c r="T262" s="18" t="n">
        <x:f>(INDEX('角色成长'!$J$6:$J$105,D262)+O262*'参数'!$L$21)*(1+'参数'!$B$40*P262)</x:f>
        <x:v>75191.32490155665</x:v>
      </x:c>
      <x:c r="U262" s="18" t="n">
        <x:f>(INDEX('角色成长'!$K$6:$K$105,D262)+O262*'参数'!$M$21)*(1+'参数'!$B$41*P262)</x:f>
        <x:v>4081.342503501088</x:v>
      </x:c>
      <x:c r="V262" s="18" t="n">
        <x:f>(('参数'!$K$5*(((Q262*(1+'参数'!$B$39*P262))^2/((Q262*(1+'参数'!$B$39*P262))+'参数'!$B$22*(I262)))*(1+'参数'!$B$42*P262)/'参数'!$J$5+((Q262*'参数'!$B$43*(1+'参数'!$B$39*P262))^2/((Q262*'参数'!$B$43*(1+'参数'!$B$39*P262))+'参数'!$B$22*(I262)))/'参数'!$B$44))+(((R262*(1+'参数'!$B$39*P262))^2/((R262*(1+'参数'!$B$39*P262))+'参数'!$B$22*(I262)))*(1+'参数'!$B$42*P262)/'参数'!$J$6+((R262*'参数'!$B$45*(1+'参数'!$B$39*P262))^2/((R262*'参数'!$B$45*(1+'参数'!$B$39*P262))+'参数'!$B$22*(I262)))/'参数'!$B$46)+((S262*(1+'参数'!$B$39*P262))^2/((S262*(1+'参数'!$B$39*P262))+'参数'!$B$22*(I262)))*(1+'参数'!$B$42*P262)/'参数'!$J$7)*(1+'参数'!$B$37*('参数'!$B$38-1))*'参数'!$B$25</x:f>
        <x:v>44152.02861136796</x:v>
      </x:c>
      <x:c r="W262" s="18" t="n">
        <x:f>(('参数'!$K$5*(((Q262*(1+'参数'!$B$39*P262))^2/((Q262*(1+'参数'!$B$39*P262))+'参数'!$B$22*(M262)))*(1+'参数'!$B$42*P262)/'参数'!$J$5+((Q262*'参数'!$B$43*(1+'参数'!$B$39*P262))^2/((Q262*'参数'!$B$43*(1+'参数'!$B$39*P262))+'参数'!$B$22*(M262)))/'参数'!$B$44))+(((R262*(1+'参数'!$B$39*P262))^2/((R262*(1+'参数'!$B$39*P262))+'参数'!$B$22*(M262)))*(1+'参数'!$B$42*P262)/'参数'!$J$6+((R262*'参数'!$B$45*(1+'参数'!$B$39*P262))^2/((R262*'参数'!$B$45*(1+'参数'!$B$39*P262))+'参数'!$B$22*(M262)))/'参数'!$B$46)+((S262*(1+'参数'!$B$39*P262))^2/((S262*(1+'参数'!$B$39*P262))+'参数'!$B$22*(M262)))*(1+'参数'!$B$42*P262)/'参数'!$J$7)*(1+'参数'!$B$37*('参数'!$B$38-1))</x:f>
        <x:v>34012.71042209668</x:v>
      </x:c>
      <x:c r="X262" s="25" t="n">
        <x:f>('参数'!$B$26+'参数'!$B$27*(D262-1)/99)*'参数'!$K$28*AD262</x:f>
        <x:v>20.87272727272727</x:v>
      </x:c>
      <x:c r="Y262" s="25" t="n">
        <x:f>('参数'!$B$28+'参数'!$B$29*(D262-1)/99)*'参数'!$K$28*AD262*IF(AE262=1,'参数'!$B$51,1)</x:f>
        <x:v>57.57575757575757</x:v>
      </x:c>
      <x:c r="Z262" s="21" t="n">
        <x:f>MIN('参数'!$B$36,U262/(U262+'参数'!$B$35))</x:f>
        <x:v>0.5050327345651943</x:v>
      </x:c>
      <x:c r="AA262" s="18" t="n">
        <x:f>T262*'参数'!$B$30/('参数'!$B$32*'参数'!$B$33)/(1-Z262)*AC262</x:f>
        <x:v>4177.572092522878</x:v>
      </x:c>
      <x:c r="AB262" s="18" t="n">
        <x:f>T262*'参数'!$B$31/'参数'!$B$34/(1-Z262)*AC262</x:f>
        <x:v>8355.144185045756</x:v>
      </x:c>
      <x:c r="AC262" s="15" t="n">
        <x:f>'参数'!$L$28*1</x:f>
        <x:v>1.1</x:v>
      </x:c>
      <x:c r="AD262" s="15" t="n">
        <x:f>1</x:f>
        <x:v>1</x:v>
      </x:c>
      <x:c r="AE262" s="18" t="n">
        <x:f>IF(MOD(B262,12)=0,1,0)</x:f>
        <x:v>0</x:v>
      </x:c>
    </x:row>
    <x:row r="263" ht="22" customHeight="1">
      <x:c r="A263" s="19" t="str">
        <x:v>噩梦</x:v>
      </x:c>
      <x:c r="B263" s="19" t="n">
        <x:v>18</x:v>
      </x:c>
      <x:c r="C263" s="19" t="n">
        <x:f>ROUNDUP(B263/12,0)</x:f>
        <x:v>2</x:v>
      </x:c>
      <x:c r="D263" s="19" t="n">
        <x:f>ROUND(MAX('参数'!$G$28,E263)+(IF(C263&lt;10,INDEX('参数'!$G$36:$P$36,1,MIN(10,C263+1)),'参数'!$H$28)-MAX('参数'!$G$28,E263))*MOD(B263-1,12)/11,0)</x:f>
        <x:v>90</x:v>
      </x:c>
      <x:c r="E263" s="19" t="n">
        <x:f>INDEX('参数'!$G$36:$P$36,1,C263)</x:f>
        <x:v>90</x:v>
      </x:c>
      <x:c r="F263" s="20" t="n">
        <x:f>'参数'!$I$28</x:f>
        <x:v>1.16</x:v>
      </x:c>
      <x:c r="G263" s="19" t="n">
        <x:f>ROUND(V263*X263/'参数'!$B$56,0)</x:f>
        <x:v>200342</x:v>
      </x:c>
      <x:c r="H263" s="19" t="n">
        <x:f>ROUND((AA263+SQRT(AA263^2+4*AA263*'参数'!$B$22*U263))/2,0)</x:f>
        <x:v>7156</x:v>
      </x:c>
      <x:c r="I263" s="19" t="n">
        <x:f>ROUND(Q263*'参数'!$B$23/'参数'!$B$22,0)</x:f>
        <x:v>1309</x:v>
      </x:c>
      <x:c r="J263" s="19" t="n">
        <x:f>ROUND(G263*'参数'!$B$50,0)</x:f>
        <x:v>601026</x:v>
      </x:c>
      <x:c r="K263" s="19" t="n">
        <x:f>ROUND(W263*Y263,0)</x:f>
        <x:v>1958308</x:v>
      </x:c>
      <x:c r="L263" s="19" t="n">
        <x:f>ROUND((AB263+SQRT(AB263^2+4*AB263*'参数'!$B$22*U263))/2,0)</x:f>
        <x:v>11929</x:v>
      </x:c>
      <x:c r="M263" s="19" t="n">
        <x:f>ROUND(I263*'参数'!$B$24,0)</x:f>
        <x:v>1636</x:v>
      </x:c>
      <x:c r="N263" s="19" t="n">
        <x:f>'参数'!$B$9*'参数'!$B$10^(D263-1)</x:f>
        <x:v>8330.3691900552</x:v>
      </x:c>
      <x:c r="O263" s="19" t="n">
        <x:f>'参数'!$B$18*'参数'!$B$19^(MIN(E263,MAX(1,5*INT(D263/5)))-1)*F263*'参数'!$J$28*P263</x:f>
        <x:v>1144.1779238966687</x:v>
      </x:c>
      <x:c r="P263" s="22" t="n">
        <x:f>MIN(1,(D263-1)/19)</x:f>
        <x:v>1</x:v>
      </x:c>
      <x:c r="Q263" s="19" t="n">
        <x:f>INDEX('角色成长'!$F$6:$F$105,D263)+O263*'参数'!$K$21</x:f>
        <x:v>6545.907083105506</x:v>
      </x:c>
      <x:c r="R263" s="19" t="n">
        <x:f>INDEX('角色成长'!$I$6:$I$105,D263)+O263*'参数'!$K$21</x:f>
        <x:v>5625.907083105506</x:v>
      </x:c>
      <x:c r="S263" s="19" t="n">
        <x:f>INDEX('角色成长'!$L$6:$L$105,D263)+O263*'参数'!$K$21</x:f>
        <x:v>5099.907083105506</x:v>
      </x:c>
      <x:c r="T263" s="19" t="n">
        <x:f>(INDEX('角色成长'!$J$6:$J$105,D263)+O263*'参数'!$L$21)*(1+'参数'!$B$40*P263)</x:f>
        <x:v>75191.32490155665</x:v>
      </x:c>
      <x:c r="U263" s="19" t="n">
        <x:f>(INDEX('角色成长'!$K$6:$K$105,D263)+O263*'参数'!$M$21)*(1+'参数'!$B$41*P263)</x:f>
        <x:v>4081.342503501088</x:v>
      </x:c>
      <x:c r="V263" s="19" t="n">
        <x:f>(('参数'!$K$5*(((Q263*(1+'参数'!$B$39*P263))^2/((Q263*(1+'参数'!$B$39*P263))+'参数'!$B$22*(I263)))*(1+'参数'!$B$42*P263)/'参数'!$J$5+((Q263*'参数'!$B$43*(1+'参数'!$B$39*P263))^2/((Q263*'参数'!$B$43*(1+'参数'!$B$39*P263))+'参数'!$B$22*(I263)))/'参数'!$B$44))+(((R263*(1+'参数'!$B$39*P263))^2/((R263*(1+'参数'!$B$39*P263))+'参数'!$B$22*(I263)))*(1+'参数'!$B$42*P263)/'参数'!$J$6+((R263*'参数'!$B$45*(1+'参数'!$B$39*P263))^2/((R263*'参数'!$B$45*(1+'参数'!$B$39*P263))+'参数'!$B$22*(I263)))/'参数'!$B$46)+((S263*(1+'参数'!$B$39*P263))^2/((S263*(1+'参数'!$B$39*P263))+'参数'!$B$22*(I263)))*(1+'参数'!$B$42*P263)/'参数'!$J$7)*(1+'参数'!$B$37*('参数'!$B$38-1))*'参数'!$B$25</x:f>
        <x:v>44152.02861136796</x:v>
      </x:c>
      <x:c r="W263" s="19" t="n">
        <x:f>(('参数'!$K$5*(((Q263*(1+'参数'!$B$39*P263))^2/((Q263*(1+'参数'!$B$39*P263))+'参数'!$B$22*(M263)))*(1+'参数'!$B$42*P263)/'参数'!$J$5+((Q263*'参数'!$B$43*(1+'参数'!$B$39*P263))^2/((Q263*'参数'!$B$43*(1+'参数'!$B$39*P263))+'参数'!$B$22*(M263)))/'参数'!$B$44))+(((R263*(1+'参数'!$B$39*P263))^2/((R263*(1+'参数'!$B$39*P263))+'参数'!$B$22*(M263)))*(1+'参数'!$B$42*P263)/'参数'!$J$6+((R263*'参数'!$B$45*(1+'参数'!$B$39*P263))^2/((R263*'参数'!$B$45*(1+'参数'!$B$39*P263))+'参数'!$B$22*(M263)))/'参数'!$B$46)+((S263*(1+'参数'!$B$39*P263))^2/((S263*(1+'参数'!$B$39*P263))+'参数'!$B$22*(M263)))*(1+'参数'!$B$42*P263)/'参数'!$J$7)*(1+'参数'!$B$37*('参数'!$B$38-1))</x:f>
        <x:v>34012.71042209668</x:v>
      </x:c>
      <x:c r="X263" s="26" t="n">
        <x:f>('参数'!$B$26+'参数'!$B$27*(D263-1)/99)*'参数'!$K$28*AD263</x:f>
        <x:v>20.87272727272727</x:v>
      </x:c>
      <x:c r="Y263" s="26" t="n">
        <x:f>('参数'!$B$28+'参数'!$B$29*(D263-1)/99)*'参数'!$K$28*AD263*IF(AE263=1,'参数'!$B$51,1)</x:f>
        <x:v>57.57575757575757</x:v>
      </x:c>
      <x:c r="Z263" s="22" t="n">
        <x:f>MIN('参数'!$B$36,U263/(U263+'参数'!$B$35))</x:f>
        <x:v>0.5050327345651943</x:v>
      </x:c>
      <x:c r="AA263" s="19" t="n">
        <x:f>T263*'参数'!$B$30/('参数'!$B$32*'参数'!$B$33)/(1-Z263)*AC263</x:f>
        <x:v>4177.572092522878</x:v>
      </x:c>
      <x:c r="AB263" s="19" t="n">
        <x:f>T263*'参数'!$B$31/'参数'!$B$34/(1-Z263)*AC263</x:f>
        <x:v>8355.144185045756</x:v>
      </x:c>
      <x:c r="AC263" s="20" t="n">
        <x:f>'参数'!$L$28*1</x:f>
        <x:v>1.1</x:v>
      </x:c>
      <x:c r="AD263" s="20" t="n">
        <x:f>1</x:f>
        <x:v>1</x:v>
      </x:c>
      <x:c r="AE263" s="19" t="n">
        <x:f>IF(MOD(B263,12)=0,1,0)</x:f>
        <x:v>0</x:v>
      </x:c>
    </x:row>
    <x:row r="264" ht="22" customHeight="1">
      <x:c r="A264" s="18" t="str">
        <x:v>噩梦</x:v>
      </x:c>
      <x:c r="B264" s="18" t="n">
        <x:v>19</x:v>
      </x:c>
      <x:c r="C264" s="18" t="n">
        <x:f>ROUNDUP(B264/12,0)</x:f>
        <x:v>2</x:v>
      </x:c>
      <x:c r="D264" s="18" t="n">
        <x:f>ROUND(MAX('参数'!$G$28,E264)+(IF(C264&lt;10,INDEX('参数'!$G$36:$P$36,1,MIN(10,C264+1)),'参数'!$H$28)-MAX('参数'!$G$28,E264))*MOD(B264-1,12)/11,0)</x:f>
        <x:v>90</x:v>
      </x:c>
      <x:c r="E264" s="18" t="n">
        <x:f>INDEX('参数'!$G$36:$P$36,1,C264)</x:f>
        <x:v>90</x:v>
      </x:c>
      <x:c r="F264" s="15" t="n">
        <x:f>'参数'!$I$28</x:f>
        <x:v>1.16</x:v>
      </x:c>
      <x:c r="G264" s="18" t="n">
        <x:f>ROUND(V264*X264/'参数'!$B$56,0)</x:f>
        <x:v>200342</x:v>
      </x:c>
      <x:c r="H264" s="18" t="n">
        <x:f>ROUND((AA264+SQRT(AA264^2+4*AA264*'参数'!$B$22*U264))/2,0)</x:f>
        <x:v>7156</x:v>
      </x:c>
      <x:c r="I264" s="18" t="n">
        <x:f>ROUND(Q264*'参数'!$B$23/'参数'!$B$22,0)</x:f>
        <x:v>1309</x:v>
      </x:c>
      <x:c r="J264" s="18" t="n">
        <x:f>ROUND(G264*'参数'!$B$50,0)</x:f>
        <x:v>601026</x:v>
      </x:c>
      <x:c r="K264" s="18" t="n">
        <x:f>ROUND(W264*Y264,0)</x:f>
        <x:v>1958308</x:v>
      </x:c>
      <x:c r="L264" s="18" t="n">
        <x:f>ROUND((AB264+SQRT(AB264^2+4*AB264*'参数'!$B$22*U264))/2,0)</x:f>
        <x:v>11929</x:v>
      </x:c>
      <x:c r="M264" s="18" t="n">
        <x:f>ROUND(I264*'参数'!$B$24,0)</x:f>
        <x:v>1636</x:v>
      </x:c>
      <x:c r="N264" s="18" t="n">
        <x:f>'参数'!$B$9*'参数'!$B$10^(D264-1)</x:f>
        <x:v>8330.3691900552</x:v>
      </x:c>
      <x:c r="O264" s="18" t="n">
        <x:f>'参数'!$B$18*'参数'!$B$19^(MIN(E264,MAX(1,5*INT(D264/5)))-1)*F264*'参数'!$J$28*P264</x:f>
        <x:v>1144.1779238966687</x:v>
      </x:c>
      <x:c r="P264" s="21" t="n">
        <x:f>MIN(1,(D264-1)/19)</x:f>
        <x:v>1</x:v>
      </x:c>
      <x:c r="Q264" s="18" t="n">
        <x:f>INDEX('角色成长'!$F$6:$F$105,D264)+O264*'参数'!$K$21</x:f>
        <x:v>6545.907083105506</x:v>
      </x:c>
      <x:c r="R264" s="18" t="n">
        <x:f>INDEX('角色成长'!$I$6:$I$105,D264)+O264*'参数'!$K$21</x:f>
        <x:v>5625.907083105506</x:v>
      </x:c>
      <x:c r="S264" s="18" t="n">
        <x:f>INDEX('角色成长'!$L$6:$L$105,D264)+O264*'参数'!$K$21</x:f>
        <x:v>5099.907083105506</x:v>
      </x:c>
      <x:c r="T264" s="18" t="n">
        <x:f>(INDEX('角色成长'!$J$6:$J$105,D264)+O264*'参数'!$L$21)*(1+'参数'!$B$40*P264)</x:f>
        <x:v>75191.32490155665</x:v>
      </x:c>
      <x:c r="U264" s="18" t="n">
        <x:f>(INDEX('角色成长'!$K$6:$K$105,D264)+O264*'参数'!$M$21)*(1+'参数'!$B$41*P264)</x:f>
        <x:v>4081.342503501088</x:v>
      </x:c>
      <x:c r="V264" s="18" t="n">
        <x:f>(('参数'!$K$5*(((Q264*(1+'参数'!$B$39*P264))^2/((Q264*(1+'参数'!$B$39*P264))+'参数'!$B$22*(I264)))*(1+'参数'!$B$42*P264)/'参数'!$J$5+((Q264*'参数'!$B$43*(1+'参数'!$B$39*P264))^2/((Q264*'参数'!$B$43*(1+'参数'!$B$39*P264))+'参数'!$B$22*(I264)))/'参数'!$B$44))+(((R264*(1+'参数'!$B$39*P264))^2/((R264*(1+'参数'!$B$39*P264))+'参数'!$B$22*(I264)))*(1+'参数'!$B$42*P264)/'参数'!$J$6+((R264*'参数'!$B$45*(1+'参数'!$B$39*P264))^2/((R264*'参数'!$B$45*(1+'参数'!$B$39*P264))+'参数'!$B$22*(I264)))/'参数'!$B$46)+((S264*(1+'参数'!$B$39*P264))^2/((S264*(1+'参数'!$B$39*P264))+'参数'!$B$22*(I264)))*(1+'参数'!$B$42*P264)/'参数'!$J$7)*(1+'参数'!$B$37*('参数'!$B$38-1))*'参数'!$B$25</x:f>
        <x:v>44152.02861136796</x:v>
      </x:c>
      <x:c r="W264" s="18" t="n">
        <x:f>(('参数'!$K$5*(((Q264*(1+'参数'!$B$39*P264))^2/((Q264*(1+'参数'!$B$39*P264))+'参数'!$B$22*(M264)))*(1+'参数'!$B$42*P264)/'参数'!$J$5+((Q264*'参数'!$B$43*(1+'参数'!$B$39*P264))^2/((Q264*'参数'!$B$43*(1+'参数'!$B$39*P264))+'参数'!$B$22*(M264)))/'参数'!$B$44))+(((R264*(1+'参数'!$B$39*P264))^2/((R264*(1+'参数'!$B$39*P264))+'参数'!$B$22*(M264)))*(1+'参数'!$B$42*P264)/'参数'!$J$6+((R264*'参数'!$B$45*(1+'参数'!$B$39*P264))^2/((R264*'参数'!$B$45*(1+'参数'!$B$39*P264))+'参数'!$B$22*(M264)))/'参数'!$B$46)+((S264*(1+'参数'!$B$39*P264))^2/((S264*(1+'参数'!$B$39*P264))+'参数'!$B$22*(M264)))*(1+'参数'!$B$42*P264)/'参数'!$J$7)*(1+'参数'!$B$37*('参数'!$B$38-1))</x:f>
        <x:v>34012.71042209668</x:v>
      </x:c>
      <x:c r="X264" s="25" t="n">
        <x:f>('参数'!$B$26+'参数'!$B$27*(D264-1)/99)*'参数'!$K$28*AD264</x:f>
        <x:v>20.87272727272727</x:v>
      </x:c>
      <x:c r="Y264" s="25" t="n">
        <x:f>('参数'!$B$28+'参数'!$B$29*(D264-1)/99)*'参数'!$K$28*AD264*IF(AE264=1,'参数'!$B$51,1)</x:f>
        <x:v>57.57575757575757</x:v>
      </x:c>
      <x:c r="Z264" s="21" t="n">
        <x:f>MIN('参数'!$B$36,U264/(U264+'参数'!$B$35))</x:f>
        <x:v>0.5050327345651943</x:v>
      </x:c>
      <x:c r="AA264" s="18" t="n">
        <x:f>T264*'参数'!$B$30/('参数'!$B$32*'参数'!$B$33)/(1-Z264)*AC264</x:f>
        <x:v>4177.572092522878</x:v>
      </x:c>
      <x:c r="AB264" s="18" t="n">
        <x:f>T264*'参数'!$B$31/'参数'!$B$34/(1-Z264)*AC264</x:f>
        <x:v>8355.144185045756</x:v>
      </x:c>
      <x:c r="AC264" s="15" t="n">
        <x:f>'参数'!$L$28*1</x:f>
        <x:v>1.1</x:v>
      </x:c>
      <x:c r="AD264" s="15" t="n">
        <x:f>1</x:f>
        <x:v>1</x:v>
      </x:c>
      <x:c r="AE264" s="18" t="n">
        <x:f>IF(MOD(B264,12)=0,1,0)</x:f>
        <x:v>0</x:v>
      </x:c>
    </x:row>
    <x:row r="265" ht="22" customHeight="1">
      <x:c r="A265" s="19" t="str">
        <x:v>噩梦</x:v>
      </x:c>
      <x:c r="B265" s="19" t="n">
        <x:v>20</x:v>
      </x:c>
      <x:c r="C265" s="19" t="n">
        <x:f>ROUNDUP(B265/12,0)</x:f>
        <x:v>2</x:v>
      </x:c>
      <x:c r="D265" s="19" t="n">
        <x:f>ROUND(MAX('参数'!$G$28,E265)+(IF(C265&lt;10,INDEX('参数'!$G$36:$P$36,1,MIN(10,C265+1)),'参数'!$H$28)-MAX('参数'!$G$28,E265))*MOD(B265-1,12)/11,0)</x:f>
        <x:v>90</x:v>
      </x:c>
      <x:c r="E265" s="19" t="n">
        <x:f>INDEX('参数'!$G$36:$P$36,1,C265)</x:f>
        <x:v>90</x:v>
      </x:c>
      <x:c r="F265" s="20" t="n">
        <x:f>'参数'!$I$28</x:f>
        <x:v>1.16</x:v>
      </x:c>
      <x:c r="G265" s="19" t="n">
        <x:f>ROUND(V265*X265/'参数'!$B$56,0)</x:f>
        <x:v>200342</x:v>
      </x:c>
      <x:c r="H265" s="19" t="n">
        <x:f>ROUND((AA265+SQRT(AA265^2+4*AA265*'参数'!$B$22*U265))/2,0)</x:f>
        <x:v>7156</x:v>
      </x:c>
      <x:c r="I265" s="19" t="n">
        <x:f>ROUND(Q265*'参数'!$B$23/'参数'!$B$22,0)</x:f>
        <x:v>1309</x:v>
      </x:c>
      <x:c r="J265" s="19" t="n">
        <x:f>ROUND(G265*'参数'!$B$50,0)</x:f>
        <x:v>601026</x:v>
      </x:c>
      <x:c r="K265" s="19" t="n">
        <x:f>ROUND(W265*Y265,0)</x:f>
        <x:v>1958308</x:v>
      </x:c>
      <x:c r="L265" s="19" t="n">
        <x:f>ROUND((AB265+SQRT(AB265^2+4*AB265*'参数'!$B$22*U265))/2,0)</x:f>
        <x:v>11929</x:v>
      </x:c>
      <x:c r="M265" s="19" t="n">
        <x:f>ROUND(I265*'参数'!$B$24,0)</x:f>
        <x:v>1636</x:v>
      </x:c>
      <x:c r="N265" s="19" t="n">
        <x:f>'参数'!$B$9*'参数'!$B$10^(D265-1)</x:f>
        <x:v>8330.3691900552</x:v>
      </x:c>
      <x:c r="O265" s="19" t="n">
        <x:f>'参数'!$B$18*'参数'!$B$19^(MIN(E265,MAX(1,5*INT(D265/5)))-1)*F265*'参数'!$J$28*P265</x:f>
        <x:v>1144.1779238966687</x:v>
      </x:c>
      <x:c r="P265" s="22" t="n">
        <x:f>MIN(1,(D265-1)/19)</x:f>
        <x:v>1</x:v>
      </x:c>
      <x:c r="Q265" s="19" t="n">
        <x:f>INDEX('角色成长'!$F$6:$F$105,D265)+O265*'参数'!$K$21</x:f>
        <x:v>6545.907083105506</x:v>
      </x:c>
      <x:c r="R265" s="19" t="n">
        <x:f>INDEX('角色成长'!$I$6:$I$105,D265)+O265*'参数'!$K$21</x:f>
        <x:v>5625.907083105506</x:v>
      </x:c>
      <x:c r="S265" s="19" t="n">
        <x:f>INDEX('角色成长'!$L$6:$L$105,D265)+O265*'参数'!$K$21</x:f>
        <x:v>5099.907083105506</x:v>
      </x:c>
      <x:c r="T265" s="19" t="n">
        <x:f>(INDEX('角色成长'!$J$6:$J$105,D265)+O265*'参数'!$L$21)*(1+'参数'!$B$40*P265)</x:f>
        <x:v>75191.32490155665</x:v>
      </x:c>
      <x:c r="U265" s="19" t="n">
        <x:f>(INDEX('角色成长'!$K$6:$K$105,D265)+O265*'参数'!$M$21)*(1+'参数'!$B$41*P265)</x:f>
        <x:v>4081.342503501088</x:v>
      </x:c>
      <x:c r="V265" s="19" t="n">
        <x:f>(('参数'!$K$5*(((Q265*(1+'参数'!$B$39*P265))^2/((Q265*(1+'参数'!$B$39*P265))+'参数'!$B$22*(I265)))*(1+'参数'!$B$42*P265)/'参数'!$J$5+((Q265*'参数'!$B$43*(1+'参数'!$B$39*P265))^2/((Q265*'参数'!$B$43*(1+'参数'!$B$39*P265))+'参数'!$B$22*(I265)))/'参数'!$B$44))+(((R265*(1+'参数'!$B$39*P265))^2/((R265*(1+'参数'!$B$39*P265))+'参数'!$B$22*(I265)))*(1+'参数'!$B$42*P265)/'参数'!$J$6+((R265*'参数'!$B$45*(1+'参数'!$B$39*P265))^2/((R265*'参数'!$B$45*(1+'参数'!$B$39*P265))+'参数'!$B$22*(I265)))/'参数'!$B$46)+((S265*(1+'参数'!$B$39*P265))^2/((S265*(1+'参数'!$B$39*P265))+'参数'!$B$22*(I265)))*(1+'参数'!$B$42*P265)/'参数'!$J$7)*(1+'参数'!$B$37*('参数'!$B$38-1))*'参数'!$B$25</x:f>
        <x:v>44152.02861136796</x:v>
      </x:c>
      <x:c r="W265" s="19" t="n">
        <x:f>(('参数'!$K$5*(((Q265*(1+'参数'!$B$39*P265))^2/((Q265*(1+'参数'!$B$39*P265))+'参数'!$B$22*(M265)))*(1+'参数'!$B$42*P265)/'参数'!$J$5+((Q265*'参数'!$B$43*(1+'参数'!$B$39*P265))^2/((Q265*'参数'!$B$43*(1+'参数'!$B$39*P265))+'参数'!$B$22*(M265)))/'参数'!$B$44))+(((R265*(1+'参数'!$B$39*P265))^2/((R265*(1+'参数'!$B$39*P265))+'参数'!$B$22*(M265)))*(1+'参数'!$B$42*P265)/'参数'!$J$6+((R265*'参数'!$B$45*(1+'参数'!$B$39*P265))^2/((R265*'参数'!$B$45*(1+'参数'!$B$39*P265))+'参数'!$B$22*(M265)))/'参数'!$B$46)+((S265*(1+'参数'!$B$39*P265))^2/((S265*(1+'参数'!$B$39*P265))+'参数'!$B$22*(M265)))*(1+'参数'!$B$42*P265)/'参数'!$J$7)*(1+'参数'!$B$37*('参数'!$B$38-1))</x:f>
        <x:v>34012.71042209668</x:v>
      </x:c>
      <x:c r="X265" s="26" t="n">
        <x:f>('参数'!$B$26+'参数'!$B$27*(D265-1)/99)*'参数'!$K$28*AD265</x:f>
        <x:v>20.87272727272727</x:v>
      </x:c>
      <x:c r="Y265" s="26" t="n">
        <x:f>('参数'!$B$28+'参数'!$B$29*(D265-1)/99)*'参数'!$K$28*AD265*IF(AE265=1,'参数'!$B$51,1)</x:f>
        <x:v>57.57575757575757</x:v>
      </x:c>
      <x:c r="Z265" s="22" t="n">
        <x:f>MIN('参数'!$B$36,U265/(U265+'参数'!$B$35))</x:f>
        <x:v>0.5050327345651943</x:v>
      </x:c>
      <x:c r="AA265" s="19" t="n">
        <x:f>T265*'参数'!$B$30/('参数'!$B$32*'参数'!$B$33)/(1-Z265)*AC265</x:f>
        <x:v>4177.572092522878</x:v>
      </x:c>
      <x:c r="AB265" s="19" t="n">
        <x:f>T265*'参数'!$B$31/'参数'!$B$34/(1-Z265)*AC265</x:f>
        <x:v>8355.144185045756</x:v>
      </x:c>
      <x:c r="AC265" s="20" t="n">
        <x:f>'参数'!$L$28*1</x:f>
        <x:v>1.1</x:v>
      </x:c>
      <x:c r="AD265" s="20" t="n">
        <x:f>1</x:f>
        <x:v>1</x:v>
      </x:c>
      <x:c r="AE265" s="19" t="n">
        <x:f>IF(MOD(B265,12)=0,1,0)</x:f>
        <x:v>0</x:v>
      </x:c>
    </x:row>
    <x:row r="266" ht="22" customHeight="1">
      <x:c r="A266" s="18" t="str">
        <x:v>噩梦</x:v>
      </x:c>
      <x:c r="B266" s="18" t="n">
        <x:v>21</x:v>
      </x:c>
      <x:c r="C266" s="18" t="n">
        <x:f>ROUNDUP(B266/12,0)</x:f>
        <x:v>2</x:v>
      </x:c>
      <x:c r="D266" s="18" t="n">
        <x:f>ROUND(MAX('参数'!$G$28,E266)+(IF(C266&lt;10,INDEX('参数'!$G$36:$P$36,1,MIN(10,C266+1)),'参数'!$H$28)-MAX('参数'!$G$28,E266))*MOD(B266-1,12)/11,0)</x:f>
        <x:v>90</x:v>
      </x:c>
      <x:c r="E266" s="18" t="n">
        <x:f>INDEX('参数'!$G$36:$P$36,1,C266)</x:f>
        <x:v>90</x:v>
      </x:c>
      <x:c r="F266" s="15" t="n">
        <x:f>'参数'!$I$28</x:f>
        <x:v>1.16</x:v>
      </x:c>
      <x:c r="G266" s="18" t="n">
        <x:f>ROUND(V266*X266/'参数'!$B$56,0)</x:f>
        <x:v>200342</x:v>
      </x:c>
      <x:c r="H266" s="18" t="n">
        <x:f>ROUND((AA266+SQRT(AA266^2+4*AA266*'参数'!$B$22*U266))/2,0)</x:f>
        <x:v>7156</x:v>
      </x:c>
      <x:c r="I266" s="18" t="n">
        <x:f>ROUND(Q266*'参数'!$B$23/'参数'!$B$22,0)</x:f>
        <x:v>1309</x:v>
      </x:c>
      <x:c r="J266" s="18" t="n">
        <x:f>ROUND(G266*'参数'!$B$50,0)</x:f>
        <x:v>601026</x:v>
      </x:c>
      <x:c r="K266" s="18" t="n">
        <x:f>ROUND(W266*Y266,0)</x:f>
        <x:v>1958308</x:v>
      </x:c>
      <x:c r="L266" s="18" t="n">
        <x:f>ROUND((AB266+SQRT(AB266^2+4*AB266*'参数'!$B$22*U266))/2,0)</x:f>
        <x:v>11929</x:v>
      </x:c>
      <x:c r="M266" s="18" t="n">
        <x:f>ROUND(I266*'参数'!$B$24,0)</x:f>
        <x:v>1636</x:v>
      </x:c>
      <x:c r="N266" s="18" t="n">
        <x:f>'参数'!$B$9*'参数'!$B$10^(D266-1)</x:f>
        <x:v>8330.3691900552</x:v>
      </x:c>
      <x:c r="O266" s="18" t="n">
        <x:f>'参数'!$B$18*'参数'!$B$19^(MIN(E266,MAX(1,5*INT(D266/5)))-1)*F266*'参数'!$J$28*P266</x:f>
        <x:v>1144.1779238966687</x:v>
      </x:c>
      <x:c r="P266" s="21" t="n">
        <x:f>MIN(1,(D266-1)/19)</x:f>
        <x:v>1</x:v>
      </x:c>
      <x:c r="Q266" s="18" t="n">
        <x:f>INDEX('角色成长'!$F$6:$F$105,D266)+O266*'参数'!$K$21</x:f>
        <x:v>6545.907083105506</x:v>
      </x:c>
      <x:c r="R266" s="18" t="n">
        <x:f>INDEX('角色成长'!$I$6:$I$105,D266)+O266*'参数'!$K$21</x:f>
        <x:v>5625.907083105506</x:v>
      </x:c>
      <x:c r="S266" s="18" t="n">
        <x:f>INDEX('角色成长'!$L$6:$L$105,D266)+O266*'参数'!$K$21</x:f>
        <x:v>5099.907083105506</x:v>
      </x:c>
      <x:c r="T266" s="18" t="n">
        <x:f>(INDEX('角色成长'!$J$6:$J$105,D266)+O266*'参数'!$L$21)*(1+'参数'!$B$40*P266)</x:f>
        <x:v>75191.32490155665</x:v>
      </x:c>
      <x:c r="U266" s="18" t="n">
        <x:f>(INDEX('角色成长'!$K$6:$K$105,D266)+O266*'参数'!$M$21)*(1+'参数'!$B$41*P266)</x:f>
        <x:v>4081.342503501088</x:v>
      </x:c>
      <x:c r="V266" s="18" t="n">
        <x:f>(('参数'!$K$5*(((Q266*(1+'参数'!$B$39*P266))^2/((Q266*(1+'参数'!$B$39*P266))+'参数'!$B$22*(I266)))*(1+'参数'!$B$42*P266)/'参数'!$J$5+((Q266*'参数'!$B$43*(1+'参数'!$B$39*P266))^2/((Q266*'参数'!$B$43*(1+'参数'!$B$39*P266))+'参数'!$B$22*(I266)))/'参数'!$B$44))+(((R266*(1+'参数'!$B$39*P266))^2/((R266*(1+'参数'!$B$39*P266))+'参数'!$B$22*(I266)))*(1+'参数'!$B$42*P266)/'参数'!$J$6+((R266*'参数'!$B$45*(1+'参数'!$B$39*P266))^2/((R266*'参数'!$B$45*(1+'参数'!$B$39*P266))+'参数'!$B$22*(I266)))/'参数'!$B$46)+((S266*(1+'参数'!$B$39*P266))^2/((S266*(1+'参数'!$B$39*P266))+'参数'!$B$22*(I266)))*(1+'参数'!$B$42*P266)/'参数'!$J$7)*(1+'参数'!$B$37*('参数'!$B$38-1))*'参数'!$B$25</x:f>
        <x:v>44152.02861136796</x:v>
      </x:c>
      <x:c r="W266" s="18" t="n">
        <x:f>(('参数'!$K$5*(((Q266*(1+'参数'!$B$39*P266))^2/((Q266*(1+'参数'!$B$39*P266))+'参数'!$B$22*(M266)))*(1+'参数'!$B$42*P266)/'参数'!$J$5+((Q266*'参数'!$B$43*(1+'参数'!$B$39*P266))^2/((Q266*'参数'!$B$43*(1+'参数'!$B$39*P266))+'参数'!$B$22*(M266)))/'参数'!$B$44))+(((R266*(1+'参数'!$B$39*P266))^2/((R266*(1+'参数'!$B$39*P266))+'参数'!$B$22*(M266)))*(1+'参数'!$B$42*P266)/'参数'!$J$6+((R266*'参数'!$B$45*(1+'参数'!$B$39*P266))^2/((R266*'参数'!$B$45*(1+'参数'!$B$39*P266))+'参数'!$B$22*(M266)))/'参数'!$B$46)+((S266*(1+'参数'!$B$39*P266))^2/((S266*(1+'参数'!$B$39*P266))+'参数'!$B$22*(M266)))*(1+'参数'!$B$42*P266)/'参数'!$J$7)*(1+'参数'!$B$37*('参数'!$B$38-1))</x:f>
        <x:v>34012.71042209668</x:v>
      </x:c>
      <x:c r="X266" s="25" t="n">
        <x:f>('参数'!$B$26+'参数'!$B$27*(D266-1)/99)*'参数'!$K$28*AD266</x:f>
        <x:v>20.87272727272727</x:v>
      </x:c>
      <x:c r="Y266" s="25" t="n">
        <x:f>('参数'!$B$28+'参数'!$B$29*(D266-1)/99)*'参数'!$K$28*AD266*IF(AE266=1,'参数'!$B$51,1)</x:f>
        <x:v>57.57575757575757</x:v>
      </x:c>
      <x:c r="Z266" s="21" t="n">
        <x:f>MIN('参数'!$B$36,U266/(U266+'参数'!$B$35))</x:f>
        <x:v>0.5050327345651943</x:v>
      </x:c>
      <x:c r="AA266" s="18" t="n">
        <x:f>T266*'参数'!$B$30/('参数'!$B$32*'参数'!$B$33)/(1-Z266)*AC266</x:f>
        <x:v>4177.572092522878</x:v>
      </x:c>
      <x:c r="AB266" s="18" t="n">
        <x:f>T266*'参数'!$B$31/'参数'!$B$34/(1-Z266)*AC266</x:f>
        <x:v>8355.144185045756</x:v>
      </x:c>
      <x:c r="AC266" s="15" t="n">
        <x:f>'参数'!$L$28*1</x:f>
        <x:v>1.1</x:v>
      </x:c>
      <x:c r="AD266" s="15" t="n">
        <x:f>1</x:f>
        <x:v>1</x:v>
      </x:c>
      <x:c r="AE266" s="18" t="n">
        <x:f>IF(MOD(B266,12)=0,1,0)</x:f>
        <x:v>0</x:v>
      </x:c>
    </x:row>
    <x:row r="267" ht="22" customHeight="1">
      <x:c r="A267" s="19" t="str">
        <x:v>噩梦</x:v>
      </x:c>
      <x:c r="B267" s="19" t="n">
        <x:v>22</x:v>
      </x:c>
      <x:c r="C267" s="19" t="n">
        <x:f>ROUNDUP(B267/12,0)</x:f>
        <x:v>2</x:v>
      </x:c>
      <x:c r="D267" s="19" t="n">
        <x:f>ROUND(MAX('参数'!$G$28,E267)+(IF(C267&lt;10,INDEX('参数'!$G$36:$P$36,1,MIN(10,C267+1)),'参数'!$H$28)-MAX('参数'!$G$28,E267))*MOD(B267-1,12)/11,0)</x:f>
        <x:v>90</x:v>
      </x:c>
      <x:c r="E267" s="19" t="n">
        <x:f>INDEX('参数'!$G$36:$P$36,1,C267)</x:f>
        <x:v>90</x:v>
      </x:c>
      <x:c r="F267" s="20" t="n">
        <x:f>'参数'!$I$28</x:f>
        <x:v>1.16</x:v>
      </x:c>
      <x:c r="G267" s="19" t="n">
        <x:f>ROUND(V267*X267/'参数'!$B$56,0)</x:f>
        <x:v>200342</x:v>
      </x:c>
      <x:c r="H267" s="19" t="n">
        <x:f>ROUND((AA267+SQRT(AA267^2+4*AA267*'参数'!$B$22*U267))/2,0)</x:f>
        <x:v>7156</x:v>
      </x:c>
      <x:c r="I267" s="19" t="n">
        <x:f>ROUND(Q267*'参数'!$B$23/'参数'!$B$22,0)</x:f>
        <x:v>1309</x:v>
      </x:c>
      <x:c r="J267" s="19" t="n">
        <x:f>ROUND(G267*'参数'!$B$50,0)</x:f>
        <x:v>601026</x:v>
      </x:c>
      <x:c r="K267" s="19" t="n">
        <x:f>ROUND(W267*Y267,0)</x:f>
        <x:v>1958308</x:v>
      </x:c>
      <x:c r="L267" s="19" t="n">
        <x:f>ROUND((AB267+SQRT(AB267^2+4*AB267*'参数'!$B$22*U267))/2,0)</x:f>
        <x:v>11929</x:v>
      </x:c>
      <x:c r="M267" s="19" t="n">
        <x:f>ROUND(I267*'参数'!$B$24,0)</x:f>
        <x:v>1636</x:v>
      </x:c>
      <x:c r="N267" s="19" t="n">
        <x:f>'参数'!$B$9*'参数'!$B$10^(D267-1)</x:f>
        <x:v>8330.3691900552</x:v>
      </x:c>
      <x:c r="O267" s="19" t="n">
        <x:f>'参数'!$B$18*'参数'!$B$19^(MIN(E267,MAX(1,5*INT(D267/5)))-1)*F267*'参数'!$J$28*P267</x:f>
        <x:v>1144.1779238966687</x:v>
      </x:c>
      <x:c r="P267" s="22" t="n">
        <x:f>MIN(1,(D267-1)/19)</x:f>
        <x:v>1</x:v>
      </x:c>
      <x:c r="Q267" s="19" t="n">
        <x:f>INDEX('角色成长'!$F$6:$F$105,D267)+O267*'参数'!$K$21</x:f>
        <x:v>6545.907083105506</x:v>
      </x:c>
      <x:c r="R267" s="19" t="n">
        <x:f>INDEX('角色成长'!$I$6:$I$105,D267)+O267*'参数'!$K$21</x:f>
        <x:v>5625.907083105506</x:v>
      </x:c>
      <x:c r="S267" s="19" t="n">
        <x:f>INDEX('角色成长'!$L$6:$L$105,D267)+O267*'参数'!$K$21</x:f>
        <x:v>5099.907083105506</x:v>
      </x:c>
      <x:c r="T267" s="19" t="n">
        <x:f>(INDEX('角色成长'!$J$6:$J$105,D267)+O267*'参数'!$L$21)*(1+'参数'!$B$40*P267)</x:f>
        <x:v>75191.32490155665</x:v>
      </x:c>
      <x:c r="U267" s="19" t="n">
        <x:f>(INDEX('角色成长'!$K$6:$K$105,D267)+O267*'参数'!$M$21)*(1+'参数'!$B$41*P267)</x:f>
        <x:v>4081.342503501088</x:v>
      </x:c>
      <x:c r="V267" s="19" t="n">
        <x:f>(('参数'!$K$5*(((Q267*(1+'参数'!$B$39*P267))^2/((Q267*(1+'参数'!$B$39*P267))+'参数'!$B$22*(I267)))*(1+'参数'!$B$42*P267)/'参数'!$J$5+((Q267*'参数'!$B$43*(1+'参数'!$B$39*P267))^2/((Q267*'参数'!$B$43*(1+'参数'!$B$39*P267))+'参数'!$B$22*(I267)))/'参数'!$B$44))+(((R267*(1+'参数'!$B$39*P267))^2/((R267*(1+'参数'!$B$39*P267))+'参数'!$B$22*(I267)))*(1+'参数'!$B$42*P267)/'参数'!$J$6+((R267*'参数'!$B$45*(1+'参数'!$B$39*P267))^2/((R267*'参数'!$B$45*(1+'参数'!$B$39*P267))+'参数'!$B$22*(I267)))/'参数'!$B$46)+((S267*(1+'参数'!$B$39*P267))^2/((S267*(1+'参数'!$B$39*P267))+'参数'!$B$22*(I267)))*(1+'参数'!$B$42*P267)/'参数'!$J$7)*(1+'参数'!$B$37*('参数'!$B$38-1))*'参数'!$B$25</x:f>
        <x:v>44152.02861136796</x:v>
      </x:c>
      <x:c r="W267" s="19" t="n">
        <x:f>(('参数'!$K$5*(((Q267*(1+'参数'!$B$39*P267))^2/((Q267*(1+'参数'!$B$39*P267))+'参数'!$B$22*(M267)))*(1+'参数'!$B$42*P267)/'参数'!$J$5+((Q267*'参数'!$B$43*(1+'参数'!$B$39*P267))^2/((Q267*'参数'!$B$43*(1+'参数'!$B$39*P267))+'参数'!$B$22*(M267)))/'参数'!$B$44))+(((R267*(1+'参数'!$B$39*P267))^2/((R267*(1+'参数'!$B$39*P267))+'参数'!$B$22*(M267)))*(1+'参数'!$B$42*P267)/'参数'!$J$6+((R267*'参数'!$B$45*(1+'参数'!$B$39*P267))^2/((R267*'参数'!$B$45*(1+'参数'!$B$39*P267))+'参数'!$B$22*(M267)))/'参数'!$B$46)+((S267*(1+'参数'!$B$39*P267))^2/((S267*(1+'参数'!$B$39*P267))+'参数'!$B$22*(M267)))*(1+'参数'!$B$42*P267)/'参数'!$J$7)*(1+'参数'!$B$37*('参数'!$B$38-1))</x:f>
        <x:v>34012.71042209668</x:v>
      </x:c>
      <x:c r="X267" s="26" t="n">
        <x:f>('参数'!$B$26+'参数'!$B$27*(D267-1)/99)*'参数'!$K$28*AD267</x:f>
        <x:v>20.87272727272727</x:v>
      </x:c>
      <x:c r="Y267" s="26" t="n">
        <x:f>('参数'!$B$28+'参数'!$B$29*(D267-1)/99)*'参数'!$K$28*AD267*IF(AE267=1,'参数'!$B$51,1)</x:f>
        <x:v>57.57575757575757</x:v>
      </x:c>
      <x:c r="Z267" s="22" t="n">
        <x:f>MIN('参数'!$B$36,U267/(U267+'参数'!$B$35))</x:f>
        <x:v>0.5050327345651943</x:v>
      </x:c>
      <x:c r="AA267" s="19" t="n">
        <x:f>T267*'参数'!$B$30/('参数'!$B$32*'参数'!$B$33)/(1-Z267)*AC267</x:f>
        <x:v>4177.572092522878</x:v>
      </x:c>
      <x:c r="AB267" s="19" t="n">
        <x:f>T267*'参数'!$B$31/'参数'!$B$34/(1-Z267)*AC267</x:f>
        <x:v>8355.144185045756</x:v>
      </x:c>
      <x:c r="AC267" s="20" t="n">
        <x:f>'参数'!$L$28*1</x:f>
        <x:v>1.1</x:v>
      </x:c>
      <x:c r="AD267" s="20" t="n">
        <x:f>1</x:f>
        <x:v>1</x:v>
      </x:c>
      <x:c r="AE267" s="19" t="n">
        <x:f>IF(MOD(B267,12)=0,1,0)</x:f>
        <x:v>0</x:v>
      </x:c>
    </x:row>
    <x:row r="268" ht="22" customHeight="1">
      <x:c r="A268" s="18" t="str">
        <x:v>噩梦</x:v>
      </x:c>
      <x:c r="B268" s="18" t="n">
        <x:v>23</x:v>
      </x:c>
      <x:c r="C268" s="18" t="n">
        <x:f>ROUNDUP(B268/12,0)</x:f>
        <x:v>2</x:v>
      </x:c>
      <x:c r="D268" s="18" t="n">
        <x:f>ROUND(MAX('参数'!$G$28,E268)+(IF(C268&lt;10,INDEX('参数'!$G$36:$P$36,1,MIN(10,C268+1)),'参数'!$H$28)-MAX('参数'!$G$28,E268))*MOD(B268-1,12)/11,0)</x:f>
        <x:v>90</x:v>
      </x:c>
      <x:c r="E268" s="18" t="n">
        <x:f>INDEX('参数'!$G$36:$P$36,1,C268)</x:f>
        <x:v>90</x:v>
      </x:c>
      <x:c r="F268" s="15" t="n">
        <x:f>'参数'!$I$28</x:f>
        <x:v>1.16</x:v>
      </x:c>
      <x:c r="G268" s="18" t="n">
        <x:f>ROUND(V268*X268/'参数'!$B$56,0)</x:f>
        <x:v>200342</x:v>
      </x:c>
      <x:c r="H268" s="18" t="n">
        <x:f>ROUND((AA268+SQRT(AA268^2+4*AA268*'参数'!$B$22*U268))/2,0)</x:f>
        <x:v>7156</x:v>
      </x:c>
      <x:c r="I268" s="18" t="n">
        <x:f>ROUND(Q268*'参数'!$B$23/'参数'!$B$22,0)</x:f>
        <x:v>1309</x:v>
      </x:c>
      <x:c r="J268" s="18" t="n">
        <x:f>ROUND(G268*'参数'!$B$50,0)</x:f>
        <x:v>601026</x:v>
      </x:c>
      <x:c r="K268" s="18" t="n">
        <x:f>ROUND(W268*Y268,0)</x:f>
        <x:v>1958308</x:v>
      </x:c>
      <x:c r="L268" s="18" t="n">
        <x:f>ROUND((AB268+SQRT(AB268^2+4*AB268*'参数'!$B$22*U268))/2,0)</x:f>
        <x:v>11929</x:v>
      </x:c>
      <x:c r="M268" s="18" t="n">
        <x:f>ROUND(I268*'参数'!$B$24,0)</x:f>
        <x:v>1636</x:v>
      </x:c>
      <x:c r="N268" s="18" t="n">
        <x:f>'参数'!$B$9*'参数'!$B$10^(D268-1)</x:f>
        <x:v>8330.3691900552</x:v>
      </x:c>
      <x:c r="O268" s="18" t="n">
        <x:f>'参数'!$B$18*'参数'!$B$19^(MIN(E268,MAX(1,5*INT(D268/5)))-1)*F268*'参数'!$J$28*P268</x:f>
        <x:v>1144.1779238966687</x:v>
      </x:c>
      <x:c r="P268" s="21" t="n">
        <x:f>MIN(1,(D268-1)/19)</x:f>
        <x:v>1</x:v>
      </x:c>
      <x:c r="Q268" s="18" t="n">
        <x:f>INDEX('角色成长'!$F$6:$F$105,D268)+O268*'参数'!$K$21</x:f>
        <x:v>6545.907083105506</x:v>
      </x:c>
      <x:c r="R268" s="18" t="n">
        <x:f>INDEX('角色成长'!$I$6:$I$105,D268)+O268*'参数'!$K$21</x:f>
        <x:v>5625.907083105506</x:v>
      </x:c>
      <x:c r="S268" s="18" t="n">
        <x:f>INDEX('角色成长'!$L$6:$L$105,D268)+O268*'参数'!$K$21</x:f>
        <x:v>5099.907083105506</x:v>
      </x:c>
      <x:c r="T268" s="18" t="n">
        <x:f>(INDEX('角色成长'!$J$6:$J$105,D268)+O268*'参数'!$L$21)*(1+'参数'!$B$40*P268)</x:f>
        <x:v>75191.32490155665</x:v>
      </x:c>
      <x:c r="U268" s="18" t="n">
        <x:f>(INDEX('角色成长'!$K$6:$K$105,D268)+O268*'参数'!$M$21)*(1+'参数'!$B$41*P268)</x:f>
        <x:v>4081.342503501088</x:v>
      </x:c>
      <x:c r="V268" s="18" t="n">
        <x:f>(('参数'!$K$5*(((Q268*(1+'参数'!$B$39*P268))^2/((Q268*(1+'参数'!$B$39*P268))+'参数'!$B$22*(I268)))*(1+'参数'!$B$42*P268)/'参数'!$J$5+((Q268*'参数'!$B$43*(1+'参数'!$B$39*P268))^2/((Q268*'参数'!$B$43*(1+'参数'!$B$39*P268))+'参数'!$B$22*(I268)))/'参数'!$B$44))+(((R268*(1+'参数'!$B$39*P268))^2/((R268*(1+'参数'!$B$39*P268))+'参数'!$B$22*(I268)))*(1+'参数'!$B$42*P268)/'参数'!$J$6+((R268*'参数'!$B$45*(1+'参数'!$B$39*P268))^2/((R268*'参数'!$B$45*(1+'参数'!$B$39*P268))+'参数'!$B$22*(I268)))/'参数'!$B$46)+((S268*(1+'参数'!$B$39*P268))^2/((S268*(1+'参数'!$B$39*P268))+'参数'!$B$22*(I268)))*(1+'参数'!$B$42*P268)/'参数'!$J$7)*(1+'参数'!$B$37*('参数'!$B$38-1))*'参数'!$B$25</x:f>
        <x:v>44152.02861136796</x:v>
      </x:c>
      <x:c r="W268" s="18" t="n">
        <x:f>(('参数'!$K$5*(((Q268*(1+'参数'!$B$39*P268))^2/((Q268*(1+'参数'!$B$39*P268))+'参数'!$B$22*(M268)))*(1+'参数'!$B$42*P268)/'参数'!$J$5+((Q268*'参数'!$B$43*(1+'参数'!$B$39*P268))^2/((Q268*'参数'!$B$43*(1+'参数'!$B$39*P268))+'参数'!$B$22*(M268)))/'参数'!$B$44))+(((R268*(1+'参数'!$B$39*P268))^2/((R268*(1+'参数'!$B$39*P268))+'参数'!$B$22*(M268)))*(1+'参数'!$B$42*P268)/'参数'!$J$6+((R268*'参数'!$B$45*(1+'参数'!$B$39*P268))^2/((R268*'参数'!$B$45*(1+'参数'!$B$39*P268))+'参数'!$B$22*(M268)))/'参数'!$B$46)+((S268*(1+'参数'!$B$39*P268))^2/((S268*(1+'参数'!$B$39*P268))+'参数'!$B$22*(M268)))*(1+'参数'!$B$42*P268)/'参数'!$J$7)*(1+'参数'!$B$37*('参数'!$B$38-1))</x:f>
        <x:v>34012.71042209668</x:v>
      </x:c>
      <x:c r="X268" s="25" t="n">
        <x:f>('参数'!$B$26+'参数'!$B$27*(D268-1)/99)*'参数'!$K$28*AD268</x:f>
        <x:v>20.87272727272727</x:v>
      </x:c>
      <x:c r="Y268" s="25" t="n">
        <x:f>('参数'!$B$28+'参数'!$B$29*(D268-1)/99)*'参数'!$K$28*AD268*IF(AE268=1,'参数'!$B$51,1)</x:f>
        <x:v>57.57575757575757</x:v>
      </x:c>
      <x:c r="Z268" s="21" t="n">
        <x:f>MIN('参数'!$B$36,U268/(U268+'参数'!$B$35))</x:f>
        <x:v>0.5050327345651943</x:v>
      </x:c>
      <x:c r="AA268" s="18" t="n">
        <x:f>T268*'参数'!$B$30/('参数'!$B$32*'参数'!$B$33)/(1-Z268)*AC268</x:f>
        <x:v>4177.572092522878</x:v>
      </x:c>
      <x:c r="AB268" s="18" t="n">
        <x:f>T268*'参数'!$B$31/'参数'!$B$34/(1-Z268)*AC268</x:f>
        <x:v>8355.144185045756</x:v>
      </x:c>
      <x:c r="AC268" s="15" t="n">
        <x:f>'参数'!$L$28*1</x:f>
        <x:v>1.1</x:v>
      </x:c>
      <x:c r="AD268" s="15" t="n">
        <x:f>1</x:f>
        <x:v>1</x:v>
      </x:c>
      <x:c r="AE268" s="18" t="n">
        <x:f>IF(MOD(B268,12)=0,1,0)</x:f>
        <x:v>0</x:v>
      </x:c>
    </x:row>
    <x:row r="269" ht="22" customHeight="1">
      <x:c r="A269" s="19" t="str">
        <x:v>噩梦</x:v>
      </x:c>
      <x:c r="B269" s="19" t="n">
        <x:v>24</x:v>
      </x:c>
      <x:c r="C269" s="19" t="n">
        <x:f>ROUNDUP(B269/12,0)</x:f>
        <x:v>2</x:v>
      </x:c>
      <x:c r="D269" s="19" t="n">
        <x:f>ROUND(MAX('参数'!$G$28,E269)+(IF(C269&lt;10,INDEX('参数'!$G$36:$P$36,1,MIN(10,C269+1)),'参数'!$H$28)-MAX('参数'!$G$28,E269))*MOD(B269-1,12)/11,0)</x:f>
        <x:v>90</x:v>
      </x:c>
      <x:c r="E269" s="19" t="n">
        <x:f>INDEX('参数'!$G$36:$P$36,1,C269)</x:f>
        <x:v>90</x:v>
      </x:c>
      <x:c r="F269" s="20" t="n">
        <x:f>'参数'!$I$28</x:f>
        <x:v>1.16</x:v>
      </x:c>
      <x:c r="G269" s="19" t="n">
        <x:f>ROUND(V269*X269/'参数'!$B$56,0)</x:f>
        <x:v>200342</x:v>
      </x:c>
      <x:c r="H269" s="19" t="n">
        <x:f>ROUND((AA269+SQRT(AA269^2+4*AA269*'参数'!$B$22*U269))/2,0)</x:f>
        <x:v>7156</x:v>
      </x:c>
      <x:c r="I269" s="19" t="n">
        <x:f>ROUND(Q269*'参数'!$B$23/'参数'!$B$22,0)</x:f>
        <x:v>1309</x:v>
      </x:c>
      <x:c r="J269" s="19" t="n">
        <x:f>ROUND(G269*'参数'!$B$50,0)</x:f>
        <x:v>601026</x:v>
      </x:c>
      <x:c r="K269" s="19" t="n">
        <x:f>ROUND(W269*Y269,0)</x:f>
        <x:v>2252054</x:v>
      </x:c>
      <x:c r="L269" s="19" t="n">
        <x:f>ROUND((AB269+SQRT(AB269^2+4*AB269*'参数'!$B$22*U269))/2,0)</x:f>
        <x:v>11929</x:v>
      </x:c>
      <x:c r="M269" s="19" t="n">
        <x:f>ROUND(I269*'参数'!$B$24,0)</x:f>
        <x:v>1636</x:v>
      </x:c>
      <x:c r="N269" s="19" t="n">
        <x:f>'参数'!$B$9*'参数'!$B$10^(D269-1)</x:f>
        <x:v>8330.3691900552</x:v>
      </x:c>
      <x:c r="O269" s="19" t="n">
        <x:f>'参数'!$B$18*'参数'!$B$19^(MIN(E269,MAX(1,5*INT(D269/5)))-1)*F269*'参数'!$J$28*P269</x:f>
        <x:v>1144.1779238966687</x:v>
      </x:c>
      <x:c r="P269" s="22" t="n">
        <x:f>MIN(1,(D269-1)/19)</x:f>
        <x:v>1</x:v>
      </x:c>
      <x:c r="Q269" s="19" t="n">
        <x:f>INDEX('角色成长'!$F$6:$F$105,D269)+O269*'参数'!$K$21</x:f>
        <x:v>6545.907083105506</x:v>
      </x:c>
      <x:c r="R269" s="19" t="n">
        <x:f>INDEX('角色成长'!$I$6:$I$105,D269)+O269*'参数'!$K$21</x:f>
        <x:v>5625.907083105506</x:v>
      </x:c>
      <x:c r="S269" s="19" t="n">
        <x:f>INDEX('角色成长'!$L$6:$L$105,D269)+O269*'参数'!$K$21</x:f>
        <x:v>5099.907083105506</x:v>
      </x:c>
      <x:c r="T269" s="19" t="n">
        <x:f>(INDEX('角色成长'!$J$6:$J$105,D269)+O269*'参数'!$L$21)*(1+'参数'!$B$40*P269)</x:f>
        <x:v>75191.32490155665</x:v>
      </x:c>
      <x:c r="U269" s="19" t="n">
        <x:f>(INDEX('角色成长'!$K$6:$K$105,D269)+O269*'参数'!$M$21)*(1+'参数'!$B$41*P269)</x:f>
        <x:v>4081.342503501088</x:v>
      </x:c>
      <x:c r="V269" s="19" t="n">
        <x:f>(('参数'!$K$5*(((Q269*(1+'参数'!$B$39*P269))^2/((Q269*(1+'参数'!$B$39*P269))+'参数'!$B$22*(I269)))*(1+'参数'!$B$42*P269)/'参数'!$J$5+((Q269*'参数'!$B$43*(1+'参数'!$B$39*P269))^2/((Q269*'参数'!$B$43*(1+'参数'!$B$39*P269))+'参数'!$B$22*(I269)))/'参数'!$B$44))+(((R269*(1+'参数'!$B$39*P269))^2/((R269*(1+'参数'!$B$39*P269))+'参数'!$B$22*(I269)))*(1+'参数'!$B$42*P269)/'参数'!$J$6+((R269*'参数'!$B$45*(1+'参数'!$B$39*P269))^2/((R269*'参数'!$B$45*(1+'参数'!$B$39*P269))+'参数'!$B$22*(I269)))/'参数'!$B$46)+((S269*(1+'参数'!$B$39*P269))^2/((S269*(1+'参数'!$B$39*P269))+'参数'!$B$22*(I269)))*(1+'参数'!$B$42*P269)/'参数'!$J$7)*(1+'参数'!$B$37*('参数'!$B$38-1))*'参数'!$B$25</x:f>
        <x:v>44152.02861136796</x:v>
      </x:c>
      <x:c r="W269" s="19" t="n">
        <x:f>(('参数'!$K$5*(((Q269*(1+'参数'!$B$39*P269))^2/((Q269*(1+'参数'!$B$39*P269))+'参数'!$B$22*(M269)))*(1+'参数'!$B$42*P269)/'参数'!$J$5+((Q269*'参数'!$B$43*(1+'参数'!$B$39*P269))^2/((Q269*'参数'!$B$43*(1+'参数'!$B$39*P269))+'参数'!$B$22*(M269)))/'参数'!$B$44))+(((R269*(1+'参数'!$B$39*P269))^2/((R269*(1+'参数'!$B$39*P269))+'参数'!$B$22*(M269)))*(1+'参数'!$B$42*P269)/'参数'!$J$6+((R269*'参数'!$B$45*(1+'参数'!$B$39*P269))^2/((R269*'参数'!$B$45*(1+'参数'!$B$39*P269))+'参数'!$B$22*(M269)))/'参数'!$B$46)+((S269*(1+'参数'!$B$39*P269))^2/((S269*(1+'参数'!$B$39*P269))+'参数'!$B$22*(M269)))*(1+'参数'!$B$42*P269)/'参数'!$J$7)*(1+'参数'!$B$37*('参数'!$B$38-1))</x:f>
        <x:v>34012.71042209668</x:v>
      </x:c>
      <x:c r="X269" s="26" t="n">
        <x:f>('参数'!$B$26+'参数'!$B$27*(D269-1)/99)*'参数'!$K$28*AD269</x:f>
        <x:v>20.87272727272727</x:v>
      </x:c>
      <x:c r="Y269" s="26" t="n">
        <x:f>('参数'!$B$28+'参数'!$B$29*(D269-1)/99)*'参数'!$K$28*AD269*IF(AE269=1,'参数'!$B$51,1)</x:f>
        <x:v>66.2121212121212</x:v>
      </x:c>
      <x:c r="Z269" s="22" t="n">
        <x:f>MIN('参数'!$B$36,U269/(U269+'参数'!$B$35))</x:f>
        <x:v>0.5050327345651943</x:v>
      </x:c>
      <x:c r="AA269" s="19" t="n">
        <x:f>T269*'参数'!$B$30/('参数'!$B$32*'参数'!$B$33)/(1-Z269)*AC269</x:f>
        <x:v>4177.572092522878</x:v>
      </x:c>
      <x:c r="AB269" s="19" t="n">
        <x:f>T269*'参数'!$B$31/'参数'!$B$34/(1-Z269)*AC269</x:f>
        <x:v>8355.144185045756</x:v>
      </x:c>
      <x:c r="AC269" s="20" t="n">
        <x:f>'参数'!$L$28*1</x:f>
        <x:v>1.1</x:v>
      </x:c>
      <x:c r="AD269" s="20" t="n">
        <x:f>1</x:f>
        <x:v>1</x:v>
      </x:c>
      <x:c r="AE269" s="19" t="n">
        <x:f>IF(MOD(B269,12)=0,1,0)</x:f>
        <x:v>1</x:v>
      </x:c>
    </x:row>
    <x:row r="270" ht="22" customHeight="1">
      <x:c r="A270" s="18" t="str">
        <x:v>噩梦</x:v>
      </x:c>
      <x:c r="B270" s="18" t="n">
        <x:v>25</x:v>
      </x:c>
      <x:c r="C270" s="18" t="n">
        <x:f>ROUNDUP(B270/12,0)</x:f>
        <x:v>3</x:v>
      </x:c>
      <x:c r="D270" s="18" t="n">
        <x:f>ROUND(MAX('参数'!$G$28,E270)+(IF(C270&lt;10,INDEX('参数'!$G$36:$P$36,1,MIN(10,C270+1)),'参数'!$H$28)-MAX('参数'!$G$28,E270))*MOD(B270-1,12)/11,0)</x:f>
        <x:v>90</x:v>
      </x:c>
      <x:c r="E270" s="18" t="n">
        <x:f>INDEX('参数'!$G$36:$P$36,1,C270)</x:f>
        <x:v>90</x:v>
      </x:c>
      <x:c r="F270" s="15" t="n">
        <x:f>'参数'!$I$28</x:f>
        <x:v>1.16</x:v>
      </x:c>
      <x:c r="G270" s="18" t="n">
        <x:f>ROUND(V270*X270/'参数'!$B$56,0)</x:f>
        <x:v>200342</x:v>
      </x:c>
      <x:c r="H270" s="18" t="n">
        <x:f>ROUND((AA270+SQRT(AA270^2+4*AA270*'参数'!$B$22*U270))/2,0)</x:f>
        <x:v>7156</x:v>
      </x:c>
      <x:c r="I270" s="18" t="n">
        <x:f>ROUND(Q270*'参数'!$B$23/'参数'!$B$22,0)</x:f>
        <x:v>1309</x:v>
      </x:c>
      <x:c r="J270" s="18" t="n">
        <x:f>ROUND(G270*'参数'!$B$50,0)</x:f>
        <x:v>601026</x:v>
      </x:c>
      <x:c r="K270" s="18" t="n">
        <x:f>ROUND(W270*Y270,0)</x:f>
        <x:v>1958308</x:v>
      </x:c>
      <x:c r="L270" s="18" t="n">
        <x:f>ROUND((AB270+SQRT(AB270^2+4*AB270*'参数'!$B$22*U270))/2,0)</x:f>
        <x:v>11929</x:v>
      </x:c>
      <x:c r="M270" s="18" t="n">
        <x:f>ROUND(I270*'参数'!$B$24,0)</x:f>
        <x:v>1636</x:v>
      </x:c>
      <x:c r="N270" s="18" t="n">
        <x:f>'参数'!$B$9*'参数'!$B$10^(D270-1)</x:f>
        <x:v>8330.3691900552</x:v>
      </x:c>
      <x:c r="O270" s="18" t="n">
        <x:f>'参数'!$B$18*'参数'!$B$19^(MIN(E270,MAX(1,5*INT(D270/5)))-1)*F270*'参数'!$J$28*P270</x:f>
        <x:v>1144.1779238966687</x:v>
      </x:c>
      <x:c r="P270" s="21" t="n">
        <x:f>MIN(1,(D270-1)/19)</x:f>
        <x:v>1</x:v>
      </x:c>
      <x:c r="Q270" s="18" t="n">
        <x:f>INDEX('角色成长'!$F$6:$F$105,D270)+O270*'参数'!$K$21</x:f>
        <x:v>6545.907083105506</x:v>
      </x:c>
      <x:c r="R270" s="18" t="n">
        <x:f>INDEX('角色成长'!$I$6:$I$105,D270)+O270*'参数'!$K$21</x:f>
        <x:v>5625.907083105506</x:v>
      </x:c>
      <x:c r="S270" s="18" t="n">
        <x:f>INDEX('角色成长'!$L$6:$L$105,D270)+O270*'参数'!$K$21</x:f>
        <x:v>5099.907083105506</x:v>
      </x:c>
      <x:c r="T270" s="18" t="n">
        <x:f>(INDEX('角色成长'!$J$6:$J$105,D270)+O270*'参数'!$L$21)*(1+'参数'!$B$40*P270)</x:f>
        <x:v>75191.32490155665</x:v>
      </x:c>
      <x:c r="U270" s="18" t="n">
        <x:f>(INDEX('角色成长'!$K$6:$K$105,D270)+O270*'参数'!$M$21)*(1+'参数'!$B$41*P270)</x:f>
        <x:v>4081.342503501088</x:v>
      </x:c>
      <x:c r="V270" s="18" t="n">
        <x:f>(('参数'!$K$5*(((Q270*(1+'参数'!$B$39*P270))^2/((Q270*(1+'参数'!$B$39*P270))+'参数'!$B$22*(I270)))*(1+'参数'!$B$42*P270)/'参数'!$J$5+((Q270*'参数'!$B$43*(1+'参数'!$B$39*P270))^2/((Q270*'参数'!$B$43*(1+'参数'!$B$39*P270))+'参数'!$B$22*(I270)))/'参数'!$B$44))+(((R270*(1+'参数'!$B$39*P270))^2/((R270*(1+'参数'!$B$39*P270))+'参数'!$B$22*(I270)))*(1+'参数'!$B$42*P270)/'参数'!$J$6+((R270*'参数'!$B$45*(1+'参数'!$B$39*P270))^2/((R270*'参数'!$B$45*(1+'参数'!$B$39*P270))+'参数'!$B$22*(I270)))/'参数'!$B$46)+((S270*(1+'参数'!$B$39*P270))^2/((S270*(1+'参数'!$B$39*P270))+'参数'!$B$22*(I270)))*(1+'参数'!$B$42*P270)/'参数'!$J$7)*(1+'参数'!$B$37*('参数'!$B$38-1))*'参数'!$B$25</x:f>
        <x:v>44152.02861136796</x:v>
      </x:c>
      <x:c r="W270" s="18" t="n">
        <x:f>(('参数'!$K$5*(((Q270*(1+'参数'!$B$39*P270))^2/((Q270*(1+'参数'!$B$39*P270))+'参数'!$B$22*(M270)))*(1+'参数'!$B$42*P270)/'参数'!$J$5+((Q270*'参数'!$B$43*(1+'参数'!$B$39*P270))^2/((Q270*'参数'!$B$43*(1+'参数'!$B$39*P270))+'参数'!$B$22*(M270)))/'参数'!$B$44))+(((R270*(1+'参数'!$B$39*P270))^2/((R270*(1+'参数'!$B$39*P270))+'参数'!$B$22*(M270)))*(1+'参数'!$B$42*P270)/'参数'!$J$6+((R270*'参数'!$B$45*(1+'参数'!$B$39*P270))^2/((R270*'参数'!$B$45*(1+'参数'!$B$39*P270))+'参数'!$B$22*(M270)))/'参数'!$B$46)+((S270*(1+'参数'!$B$39*P270))^2/((S270*(1+'参数'!$B$39*P270))+'参数'!$B$22*(M270)))*(1+'参数'!$B$42*P270)/'参数'!$J$7)*(1+'参数'!$B$37*('参数'!$B$38-1))</x:f>
        <x:v>34012.71042209668</x:v>
      </x:c>
      <x:c r="X270" s="25" t="n">
        <x:f>('参数'!$B$26+'参数'!$B$27*(D270-1)/99)*'参数'!$K$28*AD270</x:f>
        <x:v>20.87272727272727</x:v>
      </x:c>
      <x:c r="Y270" s="25" t="n">
        <x:f>('参数'!$B$28+'参数'!$B$29*(D270-1)/99)*'参数'!$K$28*AD270*IF(AE270=1,'参数'!$B$51,1)</x:f>
        <x:v>57.57575757575757</x:v>
      </x:c>
      <x:c r="Z270" s="21" t="n">
        <x:f>MIN('参数'!$B$36,U270/(U270+'参数'!$B$35))</x:f>
        <x:v>0.5050327345651943</x:v>
      </x:c>
      <x:c r="AA270" s="18" t="n">
        <x:f>T270*'参数'!$B$30/('参数'!$B$32*'参数'!$B$33)/(1-Z270)*AC270</x:f>
        <x:v>4177.572092522878</x:v>
      </x:c>
      <x:c r="AB270" s="18" t="n">
        <x:f>T270*'参数'!$B$31/'参数'!$B$34/(1-Z270)*AC270</x:f>
        <x:v>8355.144185045756</x:v>
      </x:c>
      <x:c r="AC270" s="15" t="n">
        <x:f>'参数'!$L$28*1</x:f>
        <x:v>1.1</x:v>
      </x:c>
      <x:c r="AD270" s="15" t="n">
        <x:f>1</x:f>
        <x:v>1</x:v>
      </x:c>
      <x:c r="AE270" s="18" t="n">
        <x:f>IF(MOD(B270,12)=0,1,0)</x:f>
        <x:v>0</x:v>
      </x:c>
    </x:row>
    <x:row r="271" ht="22" customHeight="1">
      <x:c r="A271" s="19" t="str">
        <x:v>噩梦</x:v>
      </x:c>
      <x:c r="B271" s="19" t="n">
        <x:v>26</x:v>
      </x:c>
      <x:c r="C271" s="19" t="n">
        <x:f>ROUNDUP(B271/12,0)</x:f>
        <x:v>3</x:v>
      </x:c>
      <x:c r="D271" s="19" t="n">
        <x:f>ROUND(MAX('参数'!$G$28,E271)+(IF(C271&lt;10,INDEX('参数'!$G$36:$P$36,1,MIN(10,C271+1)),'参数'!$H$28)-MAX('参数'!$G$28,E271))*MOD(B271-1,12)/11,0)</x:f>
        <x:v>90</x:v>
      </x:c>
      <x:c r="E271" s="19" t="n">
        <x:f>INDEX('参数'!$G$36:$P$36,1,C271)</x:f>
        <x:v>90</x:v>
      </x:c>
      <x:c r="F271" s="20" t="n">
        <x:f>'参数'!$I$28</x:f>
        <x:v>1.16</x:v>
      </x:c>
      <x:c r="G271" s="19" t="n">
        <x:f>ROUND(V271*X271/'参数'!$B$56,0)</x:f>
        <x:v>200342</x:v>
      </x:c>
      <x:c r="H271" s="19" t="n">
        <x:f>ROUND((AA271+SQRT(AA271^2+4*AA271*'参数'!$B$22*U271))/2,0)</x:f>
        <x:v>7156</x:v>
      </x:c>
      <x:c r="I271" s="19" t="n">
        <x:f>ROUND(Q271*'参数'!$B$23/'参数'!$B$22,0)</x:f>
        <x:v>1309</x:v>
      </x:c>
      <x:c r="J271" s="19" t="n">
        <x:f>ROUND(G271*'参数'!$B$50,0)</x:f>
        <x:v>601026</x:v>
      </x:c>
      <x:c r="K271" s="19" t="n">
        <x:f>ROUND(W271*Y271,0)</x:f>
        <x:v>1958308</x:v>
      </x:c>
      <x:c r="L271" s="19" t="n">
        <x:f>ROUND((AB271+SQRT(AB271^2+4*AB271*'参数'!$B$22*U271))/2,0)</x:f>
        <x:v>11929</x:v>
      </x:c>
      <x:c r="M271" s="19" t="n">
        <x:f>ROUND(I271*'参数'!$B$24,0)</x:f>
        <x:v>1636</x:v>
      </x:c>
      <x:c r="N271" s="19" t="n">
        <x:f>'参数'!$B$9*'参数'!$B$10^(D271-1)</x:f>
        <x:v>8330.3691900552</x:v>
      </x:c>
      <x:c r="O271" s="19" t="n">
        <x:f>'参数'!$B$18*'参数'!$B$19^(MIN(E271,MAX(1,5*INT(D271/5)))-1)*F271*'参数'!$J$28*P271</x:f>
        <x:v>1144.1779238966687</x:v>
      </x:c>
      <x:c r="P271" s="22" t="n">
        <x:f>MIN(1,(D271-1)/19)</x:f>
        <x:v>1</x:v>
      </x:c>
      <x:c r="Q271" s="19" t="n">
        <x:f>INDEX('角色成长'!$F$6:$F$105,D271)+O271*'参数'!$K$21</x:f>
        <x:v>6545.907083105506</x:v>
      </x:c>
      <x:c r="R271" s="19" t="n">
        <x:f>INDEX('角色成长'!$I$6:$I$105,D271)+O271*'参数'!$K$21</x:f>
        <x:v>5625.907083105506</x:v>
      </x:c>
      <x:c r="S271" s="19" t="n">
        <x:f>INDEX('角色成长'!$L$6:$L$105,D271)+O271*'参数'!$K$21</x:f>
        <x:v>5099.907083105506</x:v>
      </x:c>
      <x:c r="T271" s="19" t="n">
        <x:f>(INDEX('角色成长'!$J$6:$J$105,D271)+O271*'参数'!$L$21)*(1+'参数'!$B$40*P271)</x:f>
        <x:v>75191.32490155665</x:v>
      </x:c>
      <x:c r="U271" s="19" t="n">
        <x:f>(INDEX('角色成长'!$K$6:$K$105,D271)+O271*'参数'!$M$21)*(1+'参数'!$B$41*P271)</x:f>
        <x:v>4081.342503501088</x:v>
      </x:c>
      <x:c r="V271" s="19" t="n">
        <x:f>(('参数'!$K$5*(((Q271*(1+'参数'!$B$39*P271))^2/((Q271*(1+'参数'!$B$39*P271))+'参数'!$B$22*(I271)))*(1+'参数'!$B$42*P271)/'参数'!$J$5+((Q271*'参数'!$B$43*(1+'参数'!$B$39*P271))^2/((Q271*'参数'!$B$43*(1+'参数'!$B$39*P271))+'参数'!$B$22*(I271)))/'参数'!$B$44))+(((R271*(1+'参数'!$B$39*P271))^2/((R271*(1+'参数'!$B$39*P271))+'参数'!$B$22*(I271)))*(1+'参数'!$B$42*P271)/'参数'!$J$6+((R271*'参数'!$B$45*(1+'参数'!$B$39*P271))^2/((R271*'参数'!$B$45*(1+'参数'!$B$39*P271))+'参数'!$B$22*(I271)))/'参数'!$B$46)+((S271*(1+'参数'!$B$39*P271))^2/((S271*(1+'参数'!$B$39*P271))+'参数'!$B$22*(I271)))*(1+'参数'!$B$42*P271)/'参数'!$J$7)*(1+'参数'!$B$37*('参数'!$B$38-1))*'参数'!$B$25</x:f>
        <x:v>44152.02861136796</x:v>
      </x:c>
      <x:c r="W271" s="19" t="n">
        <x:f>(('参数'!$K$5*(((Q271*(1+'参数'!$B$39*P271))^2/((Q271*(1+'参数'!$B$39*P271))+'参数'!$B$22*(M271)))*(1+'参数'!$B$42*P271)/'参数'!$J$5+((Q271*'参数'!$B$43*(1+'参数'!$B$39*P271))^2/((Q271*'参数'!$B$43*(1+'参数'!$B$39*P271))+'参数'!$B$22*(M271)))/'参数'!$B$44))+(((R271*(1+'参数'!$B$39*P271))^2/((R271*(1+'参数'!$B$39*P271))+'参数'!$B$22*(M271)))*(1+'参数'!$B$42*P271)/'参数'!$J$6+((R271*'参数'!$B$45*(1+'参数'!$B$39*P271))^2/((R271*'参数'!$B$45*(1+'参数'!$B$39*P271))+'参数'!$B$22*(M271)))/'参数'!$B$46)+((S271*(1+'参数'!$B$39*P271))^2/((S271*(1+'参数'!$B$39*P271))+'参数'!$B$22*(M271)))*(1+'参数'!$B$42*P271)/'参数'!$J$7)*(1+'参数'!$B$37*('参数'!$B$38-1))</x:f>
        <x:v>34012.71042209668</x:v>
      </x:c>
      <x:c r="X271" s="26" t="n">
        <x:f>('参数'!$B$26+'参数'!$B$27*(D271-1)/99)*'参数'!$K$28*AD271</x:f>
        <x:v>20.87272727272727</x:v>
      </x:c>
      <x:c r="Y271" s="26" t="n">
        <x:f>('参数'!$B$28+'参数'!$B$29*(D271-1)/99)*'参数'!$K$28*AD271*IF(AE271=1,'参数'!$B$51,1)</x:f>
        <x:v>57.57575757575757</x:v>
      </x:c>
      <x:c r="Z271" s="22" t="n">
        <x:f>MIN('参数'!$B$36,U271/(U271+'参数'!$B$35))</x:f>
        <x:v>0.5050327345651943</x:v>
      </x:c>
      <x:c r="AA271" s="19" t="n">
        <x:f>T271*'参数'!$B$30/('参数'!$B$32*'参数'!$B$33)/(1-Z271)*AC271</x:f>
        <x:v>4177.572092522878</x:v>
      </x:c>
      <x:c r="AB271" s="19" t="n">
        <x:f>T271*'参数'!$B$31/'参数'!$B$34/(1-Z271)*AC271</x:f>
        <x:v>8355.144185045756</x:v>
      </x:c>
      <x:c r="AC271" s="20" t="n">
        <x:f>'参数'!$L$28*1</x:f>
        <x:v>1.1</x:v>
      </x:c>
      <x:c r="AD271" s="20" t="n">
        <x:f>1</x:f>
        <x:v>1</x:v>
      </x:c>
      <x:c r="AE271" s="19" t="n">
        <x:f>IF(MOD(B271,12)=0,1,0)</x:f>
        <x:v>0</x:v>
      </x:c>
    </x:row>
    <x:row r="272" ht="22" customHeight="1">
      <x:c r="A272" s="18" t="str">
        <x:v>噩梦</x:v>
      </x:c>
      <x:c r="B272" s="18" t="n">
        <x:v>27</x:v>
      </x:c>
      <x:c r="C272" s="18" t="n">
        <x:f>ROUNDUP(B272/12,0)</x:f>
        <x:v>3</x:v>
      </x:c>
      <x:c r="D272" s="18" t="n">
        <x:f>ROUND(MAX('参数'!$G$28,E272)+(IF(C272&lt;10,INDEX('参数'!$G$36:$P$36,1,MIN(10,C272+1)),'参数'!$H$28)-MAX('参数'!$G$28,E272))*MOD(B272-1,12)/11,0)</x:f>
        <x:v>91</x:v>
      </x:c>
      <x:c r="E272" s="18" t="n">
        <x:f>INDEX('参数'!$G$36:$P$36,1,C272)</x:f>
        <x:v>90</x:v>
      </x:c>
      <x:c r="F272" s="15" t="n">
        <x:f>'参数'!$I$28</x:f>
        <x:v>1.16</x:v>
      </x:c>
      <x:c r="G272" s="18" t="n">
        <x:f>ROUND(V272*X272/'参数'!$B$56,0)</x:f>
        <x:v>204358</x:v>
      </x:c>
      <x:c r="H272" s="18" t="n">
        <x:f>ROUND((AA272+SQRT(AA272^2+4*AA272*'参数'!$B$22*U272))/2,0)</x:f>
        <x:v>7346</x:v>
      </x:c>
      <x:c r="I272" s="18" t="n">
        <x:f>ROUND(Q272*'参数'!$B$23/'参数'!$B$22,0)</x:f>
        <x:v>1332</x:v>
      </x:c>
      <x:c r="J272" s="18" t="n">
        <x:f>ROUND(G272*'参数'!$B$50,0)</x:f>
        <x:v>613074</x:v>
      </x:c>
      <x:c r="K272" s="18" t="n">
        <x:f>ROUND(W272*Y272,0)</x:f>
        <x:v>1998911</x:v>
      </x:c>
      <x:c r="L272" s="18" t="n">
        <x:f>ROUND((AB272+SQRT(AB272^2+4*AB272*'参数'!$B$22*U272))/2,0)</x:f>
        <x:v>12257</x:v>
      </x:c>
      <x:c r="M272" s="18" t="n">
        <x:f>ROUND(I272*'参数'!$B$24,0)</x:f>
        <x:v>1665</x:v>
      </x:c>
      <x:c r="N272" s="18" t="n">
        <x:f>'参数'!$B$9*'参数'!$B$10^(D272-1)</x:f>
        <x:v>8580.280265756857</x:v>
      </x:c>
      <x:c r="O272" s="18" t="n">
        <x:f>'参数'!$B$18*'参数'!$B$19^(MIN(E272,MAX(1,5*INT(D272/5)))-1)*F272*'参数'!$J$28*P272</x:f>
        <x:v>1144.1779238966687</x:v>
      </x:c>
      <x:c r="P272" s="21" t="n">
        <x:f>MIN(1,(D272-1)/19)</x:f>
        <x:v>1</x:v>
      </x:c>
      <x:c r="Q272" s="18" t="n">
        <x:f>INDEX('角色成长'!$F$6:$F$105,D272)+O272*'参数'!$K$21</x:f>
        <x:v>6660.907083105506</x:v>
      </x:c>
      <x:c r="R272" s="18" t="n">
        <x:f>INDEX('角色成长'!$I$6:$I$105,D272)+O272*'参数'!$K$21</x:f>
        <x:v>5708.907083105506</x:v>
      </x:c>
      <x:c r="S272" s="18" t="n">
        <x:f>INDEX('角色成长'!$L$6:$L$105,D272)+O272*'参数'!$K$21</x:f>
        <x:v>5164.907083105506</x:v>
      </x:c>
      <x:c r="T272" s="18" t="n">
        <x:f>(INDEX('角色成长'!$J$6:$J$105,D272)+O272*'参数'!$L$21)*(1+'参数'!$B$40*P272)</x:f>
        <x:v>76891.92490155665</x:v>
      </x:c>
      <x:c r="U272" s="18" t="n">
        <x:f>(INDEX('角色成长'!$K$6:$K$105,D272)+O272*'参数'!$M$21)*(1+'参数'!$B$41*P272)</x:f>
        <x:v>4147.342503501088</x:v>
      </x:c>
      <x:c r="V272" s="18" t="n">
        <x:f>(('参数'!$K$5*(((Q272*(1+'参数'!$B$39*P272))^2/((Q272*(1+'参数'!$B$39*P272))+'参数'!$B$22*(I272)))*(1+'参数'!$B$42*P272)/'参数'!$J$5+((Q272*'参数'!$B$43*(1+'参数'!$B$39*P272))^2/((Q272*'参数'!$B$43*(1+'参数'!$B$39*P272))+'参数'!$B$22*(I272)))/'参数'!$B$44))+(((R272*(1+'参数'!$B$39*P272))^2/((R272*(1+'参数'!$B$39*P272))+'参数'!$B$22*(I272)))*(1+'参数'!$B$42*P272)/'参数'!$J$6+((R272*'参数'!$B$45*(1+'参数'!$B$39*P272))^2/((R272*'参数'!$B$45*(1+'参数'!$B$39*P272))+'参数'!$B$22*(I272)))/'参数'!$B$46)+((S272*(1+'参数'!$B$39*P272))^2/((S272*(1+'参数'!$B$39*P272))+'参数'!$B$22*(I272)))*(1+'参数'!$B$42*P272)/'参数'!$J$7)*(1+'参数'!$B$37*('参数'!$B$38-1))*'参数'!$B$25</x:f>
        <x:v>44880.75429502107</x:v>
      </x:c>
      <x:c r="W272" s="18" t="n">
        <x:f>(('参数'!$K$5*(((Q272*(1+'参数'!$B$39*P272))^2/((Q272*(1+'参数'!$B$39*P272))+'参数'!$B$22*(M272)))*(1+'参数'!$B$42*P272)/'参数'!$J$5+((Q272*'参数'!$B$43*(1+'参数'!$B$39*P272))^2/((Q272*'参数'!$B$43*(1+'参数'!$B$39*P272))+'参数'!$B$22*(M272)))/'参数'!$B$44))+(((R272*(1+'参数'!$B$39*P272))^2/((R272*(1+'参数'!$B$39*P272))+'参数'!$B$22*(M272)))*(1+'参数'!$B$42*P272)/'参数'!$J$6+((R272*'参数'!$B$45*(1+'参数'!$B$39*P272))^2/((R272*'参数'!$B$45*(1+'参数'!$B$39*P272))+'参数'!$B$22*(M272)))/'参数'!$B$46)+((S272*(1+'参数'!$B$39*P272))^2/((S272*(1+'参数'!$B$39*P272))+'参数'!$B$22*(M272)))*(1+'参数'!$B$42*P272)/'参数'!$J$7)*(1+'参数'!$B$37*('参数'!$B$38-1))</x:f>
        <x:v>34572.363536077144</x:v>
      </x:c>
      <x:c r="X272" s="25" t="n">
        <x:f>('参数'!$B$26+'参数'!$B$27*(D272-1)/99)*'参数'!$K$28*AD272</x:f>
        <x:v>20.94545454545454</x:v>
      </x:c>
      <x:c r="Y272" s="25" t="n">
        <x:f>('参数'!$B$28+'参数'!$B$29*(D272-1)/99)*'参数'!$K$28*AD272*IF(AE272=1,'参数'!$B$51,1)</x:f>
        <x:v>57.81818181818182</x:v>
      </x:c>
      <x:c r="Z272" s="21" t="n">
        <x:f>MIN('参数'!$B$36,U272/(U272+'参数'!$B$35))</x:f>
        <x:v>0.5090423658657882</x:v>
      </x:c>
      <x:c r="AA272" s="18" t="n">
        <x:f>T272*'参数'!$B$30/('参数'!$B$32*'参数'!$B$33)/(1-Z272)*AC272</x:f>
        <x:v>4306.945829494455</x:v>
      </x:c>
      <x:c r="AB272" s="18" t="n">
        <x:f>T272*'参数'!$B$31/'参数'!$B$34/(1-Z272)*AC272</x:f>
        <x:v>8613.89165898891</x:v>
      </x:c>
      <x:c r="AC272" s="15" t="n">
        <x:f>'参数'!$L$28*1</x:f>
        <x:v>1.1</x:v>
      </x:c>
      <x:c r="AD272" s="15" t="n">
        <x:f>1</x:f>
        <x:v>1</x:v>
      </x:c>
      <x:c r="AE272" s="18" t="n">
        <x:f>IF(MOD(B272,12)=0,1,0)</x:f>
        <x:v>0</x:v>
      </x:c>
    </x:row>
    <x:row r="273" ht="22" customHeight="1">
      <x:c r="A273" s="19" t="str">
        <x:v>噩梦</x:v>
      </x:c>
      <x:c r="B273" s="19" t="n">
        <x:v>28</x:v>
      </x:c>
      <x:c r="C273" s="19" t="n">
        <x:f>ROUNDUP(B273/12,0)</x:f>
        <x:v>3</x:v>
      </x:c>
      <x:c r="D273" s="19" t="n">
        <x:f>ROUND(MAX('参数'!$G$28,E273)+(IF(C273&lt;10,INDEX('参数'!$G$36:$P$36,1,MIN(10,C273+1)),'参数'!$H$28)-MAX('参数'!$G$28,E273))*MOD(B273-1,12)/11,0)</x:f>
        <x:v>91</x:v>
      </x:c>
      <x:c r="E273" s="19" t="n">
        <x:f>INDEX('参数'!$G$36:$P$36,1,C273)</x:f>
        <x:v>90</x:v>
      </x:c>
      <x:c r="F273" s="20" t="n">
        <x:f>'参数'!$I$28</x:f>
        <x:v>1.16</x:v>
      </x:c>
      <x:c r="G273" s="19" t="n">
        <x:f>ROUND(V273*X273/'参数'!$B$56,0)</x:f>
        <x:v>204358</x:v>
      </x:c>
      <x:c r="H273" s="19" t="n">
        <x:f>ROUND((AA273+SQRT(AA273^2+4*AA273*'参数'!$B$22*U273))/2,0)</x:f>
        <x:v>7346</x:v>
      </x:c>
      <x:c r="I273" s="19" t="n">
        <x:f>ROUND(Q273*'参数'!$B$23/'参数'!$B$22,0)</x:f>
        <x:v>1332</x:v>
      </x:c>
      <x:c r="J273" s="19" t="n">
        <x:f>ROUND(G273*'参数'!$B$50,0)</x:f>
        <x:v>613074</x:v>
      </x:c>
      <x:c r="K273" s="19" t="n">
        <x:f>ROUND(W273*Y273,0)</x:f>
        <x:v>1998911</x:v>
      </x:c>
      <x:c r="L273" s="19" t="n">
        <x:f>ROUND((AB273+SQRT(AB273^2+4*AB273*'参数'!$B$22*U273))/2,0)</x:f>
        <x:v>12257</x:v>
      </x:c>
      <x:c r="M273" s="19" t="n">
        <x:f>ROUND(I273*'参数'!$B$24,0)</x:f>
        <x:v>1665</x:v>
      </x:c>
      <x:c r="N273" s="19" t="n">
        <x:f>'参数'!$B$9*'参数'!$B$10^(D273-1)</x:f>
        <x:v>8580.280265756857</x:v>
      </x:c>
      <x:c r="O273" s="19" t="n">
        <x:f>'参数'!$B$18*'参数'!$B$19^(MIN(E273,MAX(1,5*INT(D273/5)))-1)*F273*'参数'!$J$28*P273</x:f>
        <x:v>1144.1779238966687</x:v>
      </x:c>
      <x:c r="P273" s="22" t="n">
        <x:f>MIN(1,(D273-1)/19)</x:f>
        <x:v>1</x:v>
      </x:c>
      <x:c r="Q273" s="19" t="n">
        <x:f>INDEX('角色成长'!$F$6:$F$105,D273)+O273*'参数'!$K$21</x:f>
        <x:v>6660.907083105506</x:v>
      </x:c>
      <x:c r="R273" s="19" t="n">
        <x:f>INDEX('角色成长'!$I$6:$I$105,D273)+O273*'参数'!$K$21</x:f>
        <x:v>5708.907083105506</x:v>
      </x:c>
      <x:c r="S273" s="19" t="n">
        <x:f>INDEX('角色成长'!$L$6:$L$105,D273)+O273*'参数'!$K$21</x:f>
        <x:v>5164.907083105506</x:v>
      </x:c>
      <x:c r="T273" s="19" t="n">
        <x:f>(INDEX('角色成长'!$J$6:$J$105,D273)+O273*'参数'!$L$21)*(1+'参数'!$B$40*P273)</x:f>
        <x:v>76891.92490155665</x:v>
      </x:c>
      <x:c r="U273" s="19" t="n">
        <x:f>(INDEX('角色成长'!$K$6:$K$105,D273)+O273*'参数'!$M$21)*(1+'参数'!$B$41*P273)</x:f>
        <x:v>4147.342503501088</x:v>
      </x:c>
      <x:c r="V273" s="19" t="n">
        <x:f>(('参数'!$K$5*(((Q273*(1+'参数'!$B$39*P273))^2/((Q273*(1+'参数'!$B$39*P273))+'参数'!$B$22*(I273)))*(1+'参数'!$B$42*P273)/'参数'!$J$5+((Q273*'参数'!$B$43*(1+'参数'!$B$39*P273))^2/((Q273*'参数'!$B$43*(1+'参数'!$B$39*P273))+'参数'!$B$22*(I273)))/'参数'!$B$44))+(((R273*(1+'参数'!$B$39*P273))^2/((R273*(1+'参数'!$B$39*P273))+'参数'!$B$22*(I273)))*(1+'参数'!$B$42*P273)/'参数'!$J$6+((R273*'参数'!$B$45*(1+'参数'!$B$39*P273))^2/((R273*'参数'!$B$45*(1+'参数'!$B$39*P273))+'参数'!$B$22*(I273)))/'参数'!$B$46)+((S273*(1+'参数'!$B$39*P273))^2/((S273*(1+'参数'!$B$39*P273))+'参数'!$B$22*(I273)))*(1+'参数'!$B$42*P273)/'参数'!$J$7)*(1+'参数'!$B$37*('参数'!$B$38-1))*'参数'!$B$25</x:f>
        <x:v>44880.75429502107</x:v>
      </x:c>
      <x:c r="W273" s="19" t="n">
        <x:f>(('参数'!$K$5*(((Q273*(1+'参数'!$B$39*P273))^2/((Q273*(1+'参数'!$B$39*P273))+'参数'!$B$22*(M273)))*(1+'参数'!$B$42*P273)/'参数'!$J$5+((Q273*'参数'!$B$43*(1+'参数'!$B$39*P273))^2/((Q273*'参数'!$B$43*(1+'参数'!$B$39*P273))+'参数'!$B$22*(M273)))/'参数'!$B$44))+(((R273*(1+'参数'!$B$39*P273))^2/((R273*(1+'参数'!$B$39*P273))+'参数'!$B$22*(M273)))*(1+'参数'!$B$42*P273)/'参数'!$J$6+((R273*'参数'!$B$45*(1+'参数'!$B$39*P273))^2/((R273*'参数'!$B$45*(1+'参数'!$B$39*P273))+'参数'!$B$22*(M273)))/'参数'!$B$46)+((S273*(1+'参数'!$B$39*P273))^2/((S273*(1+'参数'!$B$39*P273))+'参数'!$B$22*(M273)))*(1+'参数'!$B$42*P273)/'参数'!$J$7)*(1+'参数'!$B$37*('参数'!$B$38-1))</x:f>
        <x:v>34572.363536077144</x:v>
      </x:c>
      <x:c r="X273" s="26" t="n">
        <x:f>('参数'!$B$26+'参数'!$B$27*(D273-1)/99)*'参数'!$K$28*AD273</x:f>
        <x:v>20.94545454545454</x:v>
      </x:c>
      <x:c r="Y273" s="26" t="n">
        <x:f>('参数'!$B$28+'参数'!$B$29*(D273-1)/99)*'参数'!$K$28*AD273*IF(AE273=1,'参数'!$B$51,1)</x:f>
        <x:v>57.81818181818182</x:v>
      </x:c>
      <x:c r="Z273" s="22" t="n">
        <x:f>MIN('参数'!$B$36,U273/(U273+'参数'!$B$35))</x:f>
        <x:v>0.5090423658657882</x:v>
      </x:c>
      <x:c r="AA273" s="19" t="n">
        <x:f>T273*'参数'!$B$30/('参数'!$B$32*'参数'!$B$33)/(1-Z273)*AC273</x:f>
        <x:v>4306.945829494455</x:v>
      </x:c>
      <x:c r="AB273" s="19" t="n">
        <x:f>T273*'参数'!$B$31/'参数'!$B$34/(1-Z273)*AC273</x:f>
        <x:v>8613.89165898891</x:v>
      </x:c>
      <x:c r="AC273" s="20" t="n">
        <x:f>'参数'!$L$28*1</x:f>
        <x:v>1.1</x:v>
      </x:c>
      <x:c r="AD273" s="20" t="n">
        <x:f>1</x:f>
        <x:v>1</x:v>
      </x:c>
      <x:c r="AE273" s="19" t="n">
        <x:f>IF(MOD(B273,12)=0,1,0)</x:f>
        <x:v>0</x:v>
      </x:c>
    </x:row>
    <x:row r="274" ht="22" customHeight="1">
      <x:c r="A274" s="18" t="str">
        <x:v>噩梦</x:v>
      </x:c>
      <x:c r="B274" s="18" t="n">
        <x:v>29</x:v>
      </x:c>
      <x:c r="C274" s="18" t="n">
        <x:f>ROUNDUP(B274/12,0)</x:f>
        <x:v>3</x:v>
      </x:c>
      <x:c r="D274" s="18" t="n">
        <x:f>ROUND(MAX('参数'!$G$28,E274)+(IF(C274&lt;10,INDEX('参数'!$G$36:$P$36,1,MIN(10,C274+1)),'参数'!$H$28)-MAX('参数'!$G$28,E274))*MOD(B274-1,12)/11,0)</x:f>
        <x:v>92</x:v>
      </x:c>
      <x:c r="E274" s="18" t="n">
        <x:f>INDEX('参数'!$G$36:$P$36,1,C274)</x:f>
        <x:v>90</x:v>
      </x:c>
      <x:c r="F274" s="15" t="n">
        <x:f>'参数'!$I$28</x:f>
        <x:v>1.16</x:v>
      </x:c>
      <x:c r="G274" s="18" t="n">
        <x:f>ROUND(V274*X274/'参数'!$B$56,0)</x:f>
        <x:v>208497</x:v>
      </x:c>
      <x:c r="H274" s="18" t="n">
        <x:f>ROUND((AA274+SQRT(AA274^2+4*AA274*'参数'!$B$22*U274))/2,0)</x:f>
        <x:v>7545</x:v>
      </x:c>
      <x:c r="I274" s="18" t="n">
        <x:f>ROUND(Q274*'参数'!$B$23/'参数'!$B$22,0)</x:f>
        <x:v>1356</x:v>
      </x:c>
      <x:c r="J274" s="18" t="n">
        <x:f>ROUND(G274*'参数'!$B$50,0)</x:f>
        <x:v>625491</x:v>
      </x:c>
      <x:c r="K274" s="18" t="n">
        <x:f>ROUND(W274*Y274,0)</x:f>
        <x:v>2040805</x:v>
      </x:c>
      <x:c r="L274" s="18" t="n">
        <x:f>ROUND((AB274+SQRT(AB274^2+4*AB274*'参数'!$B$22*U274))/2,0)</x:f>
        <x:v>12601</x:v>
      </x:c>
      <x:c r="M274" s="18" t="n">
        <x:f>ROUND(I274*'参数'!$B$24,0)</x:f>
        <x:v>1695</x:v>
      </x:c>
      <x:c r="N274" s="18" t="n">
        <x:f>'参数'!$B$9*'参数'!$B$10^(D274-1)</x:f>
        <x:v>8837.688673729563</x:v>
      </x:c>
      <x:c r="O274" s="18" t="n">
        <x:f>'参数'!$B$18*'参数'!$B$19^(MIN(E274,MAX(1,5*INT(D274/5)))-1)*F274*'参数'!$J$28*P274</x:f>
        <x:v>1144.1779238966687</x:v>
      </x:c>
      <x:c r="P274" s="21" t="n">
        <x:f>MIN(1,(D274-1)/19)</x:f>
        <x:v>1</x:v>
      </x:c>
      <x:c r="Q274" s="18" t="n">
        <x:f>INDEX('角色成长'!$F$6:$F$105,D274)+O274*'参数'!$K$21</x:f>
        <x:v>6779.907083105506</x:v>
      </x:c>
      <x:c r="R274" s="18" t="n">
        <x:f>INDEX('角色成长'!$I$6:$I$105,D274)+O274*'参数'!$K$21</x:f>
        <x:v>5793.907083105506</x:v>
      </x:c>
      <x:c r="S274" s="18" t="n">
        <x:f>INDEX('角色成长'!$L$6:$L$105,D274)+O274*'参数'!$K$21</x:f>
        <x:v>5230.907083105506</x:v>
      </x:c>
      <x:c r="T274" s="18" t="n">
        <x:f>(INDEX('角色成长'!$J$6:$J$105,D274)+O274*'参数'!$L$21)*(1+'参数'!$B$40*P274)</x:f>
        <x:v>78655.22490155665</x:v>
      </x:c>
      <x:c r="U274" s="18" t="n">
        <x:f>(INDEX('角色成长'!$K$6:$K$105,D274)+O274*'参数'!$M$21)*(1+'参数'!$B$41*P274)</x:f>
        <x:v>4215.542503501088</x:v>
      </x:c>
      <x:c r="V274" s="18" t="n">
        <x:f>(('参数'!$K$5*(((Q274*(1+'参数'!$B$39*P274))^2/((Q274*(1+'参数'!$B$39*P274))+'参数'!$B$22*(I274)))*(1+'参数'!$B$42*P274)/'参数'!$J$5+((Q274*'参数'!$B$43*(1+'参数'!$B$39*P274))^2/((Q274*'参数'!$B$43*(1+'参数'!$B$39*P274))+'参数'!$B$22*(I274)))/'参数'!$B$44))+(((R274*(1+'参数'!$B$39*P274))^2/((R274*(1+'参数'!$B$39*P274))+'参数'!$B$22*(I274)))*(1+'参数'!$B$42*P274)/'参数'!$J$6+((R274*'参数'!$B$45*(1+'参数'!$B$39*P274))^2/((R274*'参数'!$B$45*(1+'参数'!$B$39*P274))+'参数'!$B$22*(I274)))/'参数'!$B$46)+((S274*(1+'参数'!$B$39*P274))^2/((S274*(1+'参数'!$B$39*P274))+'参数'!$B$22*(I274)))*(1+'参数'!$B$42*P274)/'参数'!$J$7)*(1+'参数'!$B$37*('参数'!$B$38-1))*'参数'!$B$25</x:f>
        <x:v>45631.285972992926</x:v>
      </x:c>
      <x:c r="W274" s="18" t="n">
        <x:f>(('参数'!$K$5*(((Q274*(1+'参数'!$B$39*P274))^2/((Q274*(1+'参数'!$B$39*P274))+'参数'!$B$22*(M274)))*(1+'参数'!$B$42*P274)/'参数'!$J$5+((Q274*'参数'!$B$43*(1+'参数'!$B$39*P274))^2/((Q274*'参数'!$B$43*(1+'参数'!$B$39*P274))+'参数'!$B$22*(M274)))/'参数'!$B$44))+(((R274*(1+'参数'!$B$39*P274))^2/((R274*(1+'参数'!$B$39*P274))+'参数'!$B$22*(M274)))*(1+'参数'!$B$42*P274)/'参数'!$J$6+((R274*'参数'!$B$45*(1+'参数'!$B$39*P274))^2/((R274*'参数'!$B$45*(1+'参数'!$B$39*P274))+'参数'!$B$22*(M274)))/'参数'!$B$46)+((S274*(1+'参数'!$B$39*P274))^2/((S274*(1+'参数'!$B$39*P274))+'参数'!$B$22*(M274)))*(1+'参数'!$B$42*P274)/'参数'!$J$7)*(1+'参数'!$B$37*('参数'!$B$38-1))</x:f>
        <x:v>35149.55610792691</x:v>
      </x:c>
      <x:c r="X274" s="25" t="n">
        <x:f>('参数'!$B$26+'参数'!$B$27*(D274-1)/99)*'参数'!$K$28*AD274</x:f>
        <x:v>21.01818181818182</x:v>
      </x:c>
      <x:c r="Y274" s="25" t="n">
        <x:f>('参数'!$B$28+'参数'!$B$29*(D274-1)/99)*'参数'!$K$28*AD274*IF(AE274=1,'参数'!$B$51,1)</x:f>
        <x:v>58.060606060606055</x:v>
      </x:c>
      <x:c r="Z274" s="21" t="n">
        <x:f>MIN('参数'!$B$36,U274/(U274+'参数'!$B$35))</x:f>
        <x:v>0.513117971418761</x:v>
      </x:c>
      <x:c r="AA274" s="18" t="n">
        <x:f>T274*'参数'!$B$30/('参数'!$B$32*'参数'!$B$33)/(1-Z274)*AC274</x:f>
        <x:v>4442.592985195584</x:v>
      </x:c>
      <x:c r="AB274" s="18" t="n">
        <x:f>T274*'参数'!$B$31/'参数'!$B$34/(1-Z274)*AC274</x:f>
        <x:v>8885.185970391169</x:v>
      </x:c>
      <x:c r="AC274" s="15" t="n">
        <x:f>'参数'!$L$28*1</x:f>
        <x:v>1.1</x:v>
      </x:c>
      <x:c r="AD274" s="15" t="n">
        <x:f>1</x:f>
        <x:v>1</x:v>
      </x:c>
      <x:c r="AE274" s="18" t="n">
        <x:f>IF(MOD(B274,12)=0,1,0)</x:f>
        <x:v>0</x:v>
      </x:c>
    </x:row>
    <x:row r="275" ht="22" customHeight="1">
      <x:c r="A275" s="19" t="str">
        <x:v>噩梦</x:v>
      </x:c>
      <x:c r="B275" s="19" t="n">
        <x:v>30</x:v>
      </x:c>
      <x:c r="C275" s="19" t="n">
        <x:f>ROUNDUP(B275/12,0)</x:f>
        <x:v>3</x:v>
      </x:c>
      <x:c r="D275" s="19" t="n">
        <x:f>ROUND(MAX('参数'!$G$28,E275)+(IF(C275&lt;10,INDEX('参数'!$G$36:$P$36,1,MIN(10,C275+1)),'参数'!$H$28)-MAX('参数'!$G$28,E275))*MOD(B275-1,12)/11,0)</x:f>
        <x:v>92</x:v>
      </x:c>
      <x:c r="E275" s="19" t="n">
        <x:f>INDEX('参数'!$G$36:$P$36,1,C275)</x:f>
        <x:v>90</x:v>
      </x:c>
      <x:c r="F275" s="20" t="n">
        <x:f>'参数'!$I$28</x:f>
        <x:v>1.16</x:v>
      </x:c>
      <x:c r="G275" s="19" t="n">
        <x:f>ROUND(V275*X275/'参数'!$B$56,0)</x:f>
        <x:v>208497</x:v>
      </x:c>
      <x:c r="H275" s="19" t="n">
        <x:f>ROUND((AA275+SQRT(AA275^2+4*AA275*'参数'!$B$22*U275))/2,0)</x:f>
        <x:v>7545</x:v>
      </x:c>
      <x:c r="I275" s="19" t="n">
        <x:f>ROUND(Q275*'参数'!$B$23/'参数'!$B$22,0)</x:f>
        <x:v>1356</x:v>
      </x:c>
      <x:c r="J275" s="19" t="n">
        <x:f>ROUND(G275*'参数'!$B$50,0)</x:f>
        <x:v>625491</x:v>
      </x:c>
      <x:c r="K275" s="19" t="n">
        <x:f>ROUND(W275*Y275,0)</x:f>
        <x:v>2040805</x:v>
      </x:c>
      <x:c r="L275" s="19" t="n">
        <x:f>ROUND((AB275+SQRT(AB275^2+4*AB275*'参数'!$B$22*U275))/2,0)</x:f>
        <x:v>12601</x:v>
      </x:c>
      <x:c r="M275" s="19" t="n">
        <x:f>ROUND(I275*'参数'!$B$24,0)</x:f>
        <x:v>1695</x:v>
      </x:c>
      <x:c r="N275" s="19" t="n">
        <x:f>'参数'!$B$9*'参数'!$B$10^(D275-1)</x:f>
        <x:v>8837.688673729563</x:v>
      </x:c>
      <x:c r="O275" s="19" t="n">
        <x:f>'参数'!$B$18*'参数'!$B$19^(MIN(E275,MAX(1,5*INT(D275/5)))-1)*F275*'参数'!$J$28*P275</x:f>
        <x:v>1144.1779238966687</x:v>
      </x:c>
      <x:c r="P275" s="22" t="n">
        <x:f>MIN(1,(D275-1)/19)</x:f>
        <x:v>1</x:v>
      </x:c>
      <x:c r="Q275" s="19" t="n">
        <x:f>INDEX('角色成长'!$F$6:$F$105,D275)+O275*'参数'!$K$21</x:f>
        <x:v>6779.907083105506</x:v>
      </x:c>
      <x:c r="R275" s="19" t="n">
        <x:f>INDEX('角色成长'!$I$6:$I$105,D275)+O275*'参数'!$K$21</x:f>
        <x:v>5793.907083105506</x:v>
      </x:c>
      <x:c r="S275" s="19" t="n">
        <x:f>INDEX('角色成长'!$L$6:$L$105,D275)+O275*'参数'!$K$21</x:f>
        <x:v>5230.907083105506</x:v>
      </x:c>
      <x:c r="T275" s="19" t="n">
        <x:f>(INDEX('角色成长'!$J$6:$J$105,D275)+O275*'参数'!$L$21)*(1+'参数'!$B$40*P275)</x:f>
        <x:v>78655.22490155665</x:v>
      </x:c>
      <x:c r="U275" s="19" t="n">
        <x:f>(INDEX('角色成长'!$K$6:$K$105,D275)+O275*'参数'!$M$21)*(1+'参数'!$B$41*P275)</x:f>
        <x:v>4215.542503501088</x:v>
      </x:c>
      <x:c r="V275" s="19" t="n">
        <x:f>(('参数'!$K$5*(((Q275*(1+'参数'!$B$39*P275))^2/((Q275*(1+'参数'!$B$39*P275))+'参数'!$B$22*(I275)))*(1+'参数'!$B$42*P275)/'参数'!$J$5+((Q275*'参数'!$B$43*(1+'参数'!$B$39*P275))^2/((Q275*'参数'!$B$43*(1+'参数'!$B$39*P275))+'参数'!$B$22*(I275)))/'参数'!$B$44))+(((R275*(1+'参数'!$B$39*P275))^2/((R275*(1+'参数'!$B$39*P275))+'参数'!$B$22*(I275)))*(1+'参数'!$B$42*P275)/'参数'!$J$6+((R275*'参数'!$B$45*(1+'参数'!$B$39*P275))^2/((R275*'参数'!$B$45*(1+'参数'!$B$39*P275))+'参数'!$B$22*(I275)))/'参数'!$B$46)+((S275*(1+'参数'!$B$39*P275))^2/((S275*(1+'参数'!$B$39*P275))+'参数'!$B$22*(I275)))*(1+'参数'!$B$42*P275)/'参数'!$J$7)*(1+'参数'!$B$37*('参数'!$B$38-1))*'参数'!$B$25</x:f>
        <x:v>45631.285972992926</x:v>
      </x:c>
      <x:c r="W275" s="19" t="n">
        <x:f>(('参数'!$K$5*(((Q275*(1+'参数'!$B$39*P275))^2/((Q275*(1+'参数'!$B$39*P275))+'参数'!$B$22*(M275)))*(1+'参数'!$B$42*P275)/'参数'!$J$5+((Q275*'参数'!$B$43*(1+'参数'!$B$39*P275))^2/((Q275*'参数'!$B$43*(1+'参数'!$B$39*P275))+'参数'!$B$22*(M275)))/'参数'!$B$44))+(((R275*(1+'参数'!$B$39*P275))^2/((R275*(1+'参数'!$B$39*P275))+'参数'!$B$22*(M275)))*(1+'参数'!$B$42*P275)/'参数'!$J$6+((R275*'参数'!$B$45*(1+'参数'!$B$39*P275))^2/((R275*'参数'!$B$45*(1+'参数'!$B$39*P275))+'参数'!$B$22*(M275)))/'参数'!$B$46)+((S275*(1+'参数'!$B$39*P275))^2/((S275*(1+'参数'!$B$39*P275))+'参数'!$B$22*(M275)))*(1+'参数'!$B$42*P275)/'参数'!$J$7)*(1+'参数'!$B$37*('参数'!$B$38-1))</x:f>
        <x:v>35149.55610792691</x:v>
      </x:c>
      <x:c r="X275" s="26" t="n">
        <x:f>('参数'!$B$26+'参数'!$B$27*(D275-1)/99)*'参数'!$K$28*AD275</x:f>
        <x:v>21.01818181818182</x:v>
      </x:c>
      <x:c r="Y275" s="26" t="n">
        <x:f>('参数'!$B$28+'参数'!$B$29*(D275-1)/99)*'参数'!$K$28*AD275*IF(AE275=1,'参数'!$B$51,1)</x:f>
        <x:v>58.060606060606055</x:v>
      </x:c>
      <x:c r="Z275" s="22" t="n">
        <x:f>MIN('参数'!$B$36,U275/(U275+'参数'!$B$35))</x:f>
        <x:v>0.513117971418761</x:v>
      </x:c>
      <x:c r="AA275" s="19" t="n">
        <x:f>T275*'参数'!$B$30/('参数'!$B$32*'参数'!$B$33)/(1-Z275)*AC275</x:f>
        <x:v>4442.592985195584</x:v>
      </x:c>
      <x:c r="AB275" s="19" t="n">
        <x:f>T275*'参数'!$B$31/'参数'!$B$34/(1-Z275)*AC275</x:f>
        <x:v>8885.185970391169</x:v>
      </x:c>
      <x:c r="AC275" s="20" t="n">
        <x:f>'参数'!$L$28*1</x:f>
        <x:v>1.1</x:v>
      </x:c>
      <x:c r="AD275" s="20" t="n">
        <x:f>1</x:f>
        <x:v>1</x:v>
      </x:c>
      <x:c r="AE275" s="19" t="n">
        <x:f>IF(MOD(B275,12)=0,1,0)</x:f>
        <x:v>0</x:v>
      </x:c>
    </x:row>
    <x:row r="276" ht="22" customHeight="1">
      <x:c r="A276" s="18" t="str">
        <x:v>噩梦</x:v>
      </x:c>
      <x:c r="B276" s="18" t="n">
        <x:v>31</x:v>
      </x:c>
      <x:c r="C276" s="18" t="n">
        <x:f>ROUNDUP(B276/12,0)</x:f>
        <x:v>3</x:v>
      </x:c>
      <x:c r="D276" s="18" t="n">
        <x:f>ROUND(MAX('参数'!$G$28,E276)+(IF(C276&lt;10,INDEX('参数'!$G$36:$P$36,1,MIN(10,C276+1)),'参数'!$H$28)-MAX('参数'!$G$28,E276))*MOD(B276-1,12)/11,0)</x:f>
        <x:v>93</x:v>
      </x:c>
      <x:c r="E276" s="18" t="n">
        <x:f>INDEX('参数'!$G$36:$P$36,1,C276)</x:f>
        <x:v>90</x:v>
      </x:c>
      <x:c r="F276" s="15" t="n">
        <x:f>'参数'!$I$28</x:f>
        <x:v>1.16</x:v>
      </x:c>
      <x:c r="G276" s="18" t="n">
        <x:f>ROUND(V276*X276/'参数'!$B$56,0)</x:f>
        <x:v>212782</x:v>
      </x:c>
      <x:c r="H276" s="18" t="n">
        <x:f>ROUND((AA276+SQRT(AA276^2+4*AA276*'参数'!$B$22*U276))/2,0)</x:f>
        <x:v>7753</x:v>
      </x:c>
      <x:c r="I276" s="18" t="n">
        <x:f>ROUND(Q276*'参数'!$B$23/'参数'!$B$22,0)</x:f>
        <x:v>1381</x:v>
      </x:c>
      <x:c r="J276" s="18" t="n">
        <x:f>ROUND(G276*'参数'!$B$50,0)</x:f>
        <x:v>638346</x:v>
      </x:c>
      <x:c r="K276" s="18" t="n">
        <x:f>ROUND(W276*Y276,0)</x:f>
        <x:v>2084222</x:v>
      </x:c>
      <x:c r="L276" s="18" t="n">
        <x:f>ROUND((AB276+SQRT(AB276^2+4*AB276*'参数'!$B$22*U276))/2,0)</x:f>
        <x:v>12960</x:v>
      </x:c>
      <x:c r="M276" s="18" t="n">
        <x:f>ROUND(I276*'参数'!$B$24,0)</x:f>
        <x:v>1726</x:v>
      </x:c>
      <x:c r="N276" s="18" t="n">
        <x:f>'参数'!$B$9*'参数'!$B$10^(D276-1)</x:f>
        <x:v>9102.81933394145</x:v>
      </x:c>
      <x:c r="O276" s="18" t="n">
        <x:f>'参数'!$B$18*'参数'!$B$19^(MIN(E276,MAX(1,5*INT(D276/5)))-1)*F276*'参数'!$J$28*P276</x:f>
        <x:v>1144.1779238966687</x:v>
      </x:c>
      <x:c r="P276" s="21" t="n">
        <x:f>MIN(1,(D276-1)/19)</x:f>
        <x:v>1</x:v>
      </x:c>
      <x:c r="Q276" s="18" t="n">
        <x:f>INDEX('角色成长'!$F$6:$F$105,D276)+O276*'参数'!$K$21</x:f>
        <x:v>6902.907083105506</x:v>
      </x:c>
      <x:c r="R276" s="18" t="n">
        <x:f>INDEX('角色成长'!$I$6:$I$105,D276)+O276*'参数'!$K$21</x:f>
        <x:v>5882.907083105506</x:v>
      </x:c>
      <x:c r="S276" s="18" t="n">
        <x:f>INDEX('角色成长'!$L$6:$L$105,D276)+O276*'参数'!$K$21</x:f>
        <x:v>5299.907083105506</x:v>
      </x:c>
      <x:c r="T276" s="18" t="n">
        <x:f>(INDEX('角色成长'!$J$6:$J$105,D276)+O276*'参数'!$L$21)*(1+'参数'!$B$40*P276)</x:f>
        <x:v>80480.12490155666</x:v>
      </x:c>
      <x:c r="U276" s="18" t="n">
        <x:f>(INDEX('角色成长'!$K$6:$K$105,D276)+O276*'参数'!$M$21)*(1+'参数'!$B$41*P276)</x:f>
        <x:v>4285.942503501088</x:v>
      </x:c>
      <x:c r="V276" s="18" t="n">
        <x:f>(('参数'!$K$5*(((Q276*(1+'参数'!$B$39*P276))^2/((Q276*(1+'参数'!$B$39*P276))+'参数'!$B$22*(I276)))*(1+'参数'!$B$42*P276)/'参数'!$J$5+((Q276*'参数'!$B$43*(1+'参数'!$B$39*P276))^2/((Q276*'参数'!$B$43*(1+'参数'!$B$39*P276))+'参数'!$B$22*(I276)))/'参数'!$B$44))+(((R276*(1+'参数'!$B$39*P276))^2/((R276*(1+'参数'!$B$39*P276))+'参数'!$B$22*(I276)))*(1+'参数'!$B$42*P276)/'参数'!$J$6+((R276*'参数'!$B$45*(1+'参数'!$B$39*P276))^2/((R276*'参数'!$B$45*(1+'参数'!$B$39*P276))+'参数'!$B$22*(I276)))/'参数'!$B$46)+((S276*(1+'参数'!$B$39*P276))^2/((S276*(1+'参数'!$B$39*P276))+'参数'!$B$22*(I276)))*(1+'参数'!$B$42*P276)/'参数'!$J$7)*(1+'参数'!$B$37*('参数'!$B$38-1))*'参数'!$B$25</x:f>
        <x:v>46408.45489230771</x:v>
      </x:c>
      <x:c r="W276" s="18" t="n">
        <x:f>(('参数'!$K$5*(((Q276*(1+'参数'!$B$39*P276))^2/((Q276*(1+'参数'!$B$39*P276))+'参数'!$B$22*(M276)))*(1+'参数'!$B$42*P276)/'参数'!$J$5+((Q276*'参数'!$B$43*(1+'参数'!$B$39*P276))^2/((Q276*'参数'!$B$43*(1+'参数'!$B$39*P276))+'参数'!$B$22*(M276)))/'参数'!$B$44))+(((R276*(1+'参数'!$B$39*P276))^2/((R276*(1+'参数'!$B$39*P276))+'参数'!$B$22*(M276)))*(1+'参数'!$B$42*P276)/'参数'!$J$6+((R276*'参数'!$B$45*(1+'参数'!$B$39*P276))^2/((R276*'参数'!$B$45*(1+'参数'!$B$39*P276))+'参数'!$B$22*(M276)))/'参数'!$B$46)+((S276*(1+'参数'!$B$39*P276))^2/((S276*(1+'参数'!$B$39*P276))+'参数'!$B$22*(M276)))*(1+'参数'!$B$42*P276)/'参数'!$J$7)*(1+'参数'!$B$37*('参数'!$B$38-1))</x:f>
        <x:v>35748.086851651664</x:v>
      </x:c>
      <x:c r="X276" s="25" t="n">
        <x:f>('参数'!$B$26+'参数'!$B$27*(D276-1)/99)*'参数'!$K$28*AD276</x:f>
        <x:v>21.090909090909093</x:v>
      </x:c>
      <x:c r="Y276" s="25" t="n">
        <x:f>('参数'!$B$28+'参数'!$B$29*(D276-1)/99)*'参数'!$K$28*AD276*IF(AE276=1,'参数'!$B$51,1)</x:f>
        <x:v>58.303030303030305</x:v>
      </x:c>
      <x:c r="Z276" s="21" t="n">
        <x:f>MIN('参数'!$B$36,U276/(U276+'参数'!$B$35))</x:f>
        <x:v>0.5172546758187296</x:v>
      </x:c>
      <x:c r="AA276" s="18" t="n">
        <x:f>T276*'参数'!$B$30/('参数'!$B$32*'参数'!$B$33)/(1-Z276)*AC276</x:f>
        <x:v>4584.619102311083</x:v>
      </x:c>
      <x:c r="AB276" s="18" t="n">
        <x:f>T276*'参数'!$B$31/'参数'!$B$34/(1-Z276)*AC276</x:f>
        <x:v>9169.238204622165</x:v>
      </x:c>
      <x:c r="AC276" s="15" t="n">
        <x:f>'参数'!$L$28*1</x:f>
        <x:v>1.1</x:v>
      </x:c>
      <x:c r="AD276" s="15" t="n">
        <x:f>1</x:f>
        <x:v>1</x:v>
      </x:c>
      <x:c r="AE276" s="18" t="n">
        <x:f>IF(MOD(B276,12)=0,1,0)</x:f>
        <x:v>0</x:v>
      </x:c>
    </x:row>
    <x:row r="277" ht="22" customHeight="1">
      <x:c r="A277" s="19" t="str">
        <x:v>噩梦</x:v>
      </x:c>
      <x:c r="B277" s="19" t="n">
        <x:v>32</x:v>
      </x:c>
      <x:c r="C277" s="19" t="n">
        <x:f>ROUNDUP(B277/12,0)</x:f>
        <x:v>3</x:v>
      </x:c>
      <x:c r="D277" s="19" t="n">
        <x:f>ROUND(MAX('参数'!$G$28,E277)+(IF(C277&lt;10,INDEX('参数'!$G$36:$P$36,1,MIN(10,C277+1)),'参数'!$H$28)-MAX('参数'!$G$28,E277))*MOD(B277-1,12)/11,0)</x:f>
        <x:v>93</x:v>
      </x:c>
      <x:c r="E277" s="19" t="n">
        <x:f>INDEX('参数'!$G$36:$P$36,1,C277)</x:f>
        <x:v>90</x:v>
      </x:c>
      <x:c r="F277" s="20" t="n">
        <x:f>'参数'!$I$28</x:f>
        <x:v>1.16</x:v>
      </x:c>
      <x:c r="G277" s="19" t="n">
        <x:f>ROUND(V277*X277/'参数'!$B$56,0)</x:f>
        <x:v>212782</x:v>
      </x:c>
      <x:c r="H277" s="19" t="n">
        <x:f>ROUND((AA277+SQRT(AA277^2+4*AA277*'参数'!$B$22*U277))/2,0)</x:f>
        <x:v>7753</x:v>
      </x:c>
      <x:c r="I277" s="19" t="n">
        <x:f>ROUND(Q277*'参数'!$B$23/'参数'!$B$22,0)</x:f>
        <x:v>1381</x:v>
      </x:c>
      <x:c r="J277" s="19" t="n">
        <x:f>ROUND(G277*'参数'!$B$50,0)</x:f>
        <x:v>638346</x:v>
      </x:c>
      <x:c r="K277" s="19" t="n">
        <x:f>ROUND(W277*Y277,0)</x:f>
        <x:v>2084222</x:v>
      </x:c>
      <x:c r="L277" s="19" t="n">
        <x:f>ROUND((AB277+SQRT(AB277^2+4*AB277*'参数'!$B$22*U277))/2,0)</x:f>
        <x:v>12960</x:v>
      </x:c>
      <x:c r="M277" s="19" t="n">
        <x:f>ROUND(I277*'参数'!$B$24,0)</x:f>
        <x:v>1726</x:v>
      </x:c>
      <x:c r="N277" s="19" t="n">
        <x:f>'参数'!$B$9*'参数'!$B$10^(D277-1)</x:f>
        <x:v>9102.81933394145</x:v>
      </x:c>
      <x:c r="O277" s="19" t="n">
        <x:f>'参数'!$B$18*'参数'!$B$19^(MIN(E277,MAX(1,5*INT(D277/5)))-1)*F277*'参数'!$J$28*P277</x:f>
        <x:v>1144.1779238966687</x:v>
      </x:c>
      <x:c r="P277" s="22" t="n">
        <x:f>MIN(1,(D277-1)/19)</x:f>
        <x:v>1</x:v>
      </x:c>
      <x:c r="Q277" s="19" t="n">
        <x:f>INDEX('角色成长'!$F$6:$F$105,D277)+O277*'参数'!$K$21</x:f>
        <x:v>6902.907083105506</x:v>
      </x:c>
      <x:c r="R277" s="19" t="n">
        <x:f>INDEX('角色成长'!$I$6:$I$105,D277)+O277*'参数'!$K$21</x:f>
        <x:v>5882.907083105506</x:v>
      </x:c>
      <x:c r="S277" s="19" t="n">
        <x:f>INDEX('角色成长'!$L$6:$L$105,D277)+O277*'参数'!$K$21</x:f>
        <x:v>5299.907083105506</x:v>
      </x:c>
      <x:c r="T277" s="19" t="n">
        <x:f>(INDEX('角色成长'!$J$6:$J$105,D277)+O277*'参数'!$L$21)*(1+'参数'!$B$40*P277)</x:f>
        <x:v>80480.12490155666</x:v>
      </x:c>
      <x:c r="U277" s="19" t="n">
        <x:f>(INDEX('角色成长'!$K$6:$K$105,D277)+O277*'参数'!$M$21)*(1+'参数'!$B$41*P277)</x:f>
        <x:v>4285.942503501088</x:v>
      </x:c>
      <x:c r="V277" s="19" t="n">
        <x:f>(('参数'!$K$5*(((Q277*(1+'参数'!$B$39*P277))^2/((Q277*(1+'参数'!$B$39*P277))+'参数'!$B$22*(I277)))*(1+'参数'!$B$42*P277)/'参数'!$J$5+((Q277*'参数'!$B$43*(1+'参数'!$B$39*P277))^2/((Q277*'参数'!$B$43*(1+'参数'!$B$39*P277))+'参数'!$B$22*(I277)))/'参数'!$B$44))+(((R277*(1+'参数'!$B$39*P277))^2/((R277*(1+'参数'!$B$39*P277))+'参数'!$B$22*(I277)))*(1+'参数'!$B$42*P277)/'参数'!$J$6+((R277*'参数'!$B$45*(1+'参数'!$B$39*P277))^2/((R277*'参数'!$B$45*(1+'参数'!$B$39*P277))+'参数'!$B$22*(I277)))/'参数'!$B$46)+((S277*(1+'参数'!$B$39*P277))^2/((S277*(1+'参数'!$B$39*P277))+'参数'!$B$22*(I277)))*(1+'参数'!$B$42*P277)/'参数'!$J$7)*(1+'参数'!$B$37*('参数'!$B$38-1))*'参数'!$B$25</x:f>
        <x:v>46408.45489230771</x:v>
      </x:c>
      <x:c r="W277" s="19" t="n">
        <x:f>(('参数'!$K$5*(((Q277*(1+'参数'!$B$39*P277))^2/((Q277*(1+'参数'!$B$39*P277))+'参数'!$B$22*(M277)))*(1+'参数'!$B$42*P277)/'参数'!$J$5+((Q277*'参数'!$B$43*(1+'参数'!$B$39*P277))^2/((Q277*'参数'!$B$43*(1+'参数'!$B$39*P277))+'参数'!$B$22*(M277)))/'参数'!$B$44))+(((R277*(1+'参数'!$B$39*P277))^2/((R277*(1+'参数'!$B$39*P277))+'参数'!$B$22*(M277)))*(1+'参数'!$B$42*P277)/'参数'!$J$6+((R277*'参数'!$B$45*(1+'参数'!$B$39*P277))^2/((R277*'参数'!$B$45*(1+'参数'!$B$39*P277))+'参数'!$B$22*(M277)))/'参数'!$B$46)+((S277*(1+'参数'!$B$39*P277))^2/((S277*(1+'参数'!$B$39*P277))+'参数'!$B$22*(M277)))*(1+'参数'!$B$42*P277)/'参数'!$J$7)*(1+'参数'!$B$37*('参数'!$B$38-1))</x:f>
        <x:v>35748.086851651664</x:v>
      </x:c>
      <x:c r="X277" s="26" t="n">
        <x:f>('参数'!$B$26+'参数'!$B$27*(D277-1)/99)*'参数'!$K$28*AD277</x:f>
        <x:v>21.090909090909093</x:v>
      </x:c>
      <x:c r="Y277" s="26" t="n">
        <x:f>('参数'!$B$28+'参数'!$B$29*(D277-1)/99)*'参数'!$K$28*AD277*IF(AE277=1,'参数'!$B$51,1)</x:f>
        <x:v>58.303030303030305</x:v>
      </x:c>
      <x:c r="Z277" s="22" t="n">
        <x:f>MIN('参数'!$B$36,U277/(U277+'参数'!$B$35))</x:f>
        <x:v>0.5172546758187296</x:v>
      </x:c>
      <x:c r="AA277" s="19" t="n">
        <x:f>T277*'参数'!$B$30/('参数'!$B$32*'参数'!$B$33)/(1-Z277)*AC277</x:f>
        <x:v>4584.619102311083</x:v>
      </x:c>
      <x:c r="AB277" s="19" t="n">
        <x:f>T277*'参数'!$B$31/'参数'!$B$34/(1-Z277)*AC277</x:f>
        <x:v>9169.238204622165</x:v>
      </x:c>
      <x:c r="AC277" s="20" t="n">
        <x:f>'参数'!$L$28*1</x:f>
        <x:v>1.1</x:v>
      </x:c>
      <x:c r="AD277" s="20" t="n">
        <x:f>1</x:f>
        <x:v>1</x:v>
      </x:c>
      <x:c r="AE277" s="19" t="n">
        <x:f>IF(MOD(B277,12)=0,1,0)</x:f>
        <x:v>0</x:v>
      </x:c>
    </x:row>
    <x:row r="278" ht="22" customHeight="1">
      <x:c r="A278" s="18" t="str">
        <x:v>噩梦</x:v>
      </x:c>
      <x:c r="B278" s="18" t="n">
        <x:v>33</x:v>
      </x:c>
      <x:c r="C278" s="18" t="n">
        <x:f>ROUNDUP(B278/12,0)</x:f>
        <x:v>3</x:v>
      </x:c>
      <x:c r="D278" s="18" t="n">
        <x:f>ROUND(MAX('参数'!$G$28,E278)+(IF(C278&lt;10,INDEX('参数'!$G$36:$P$36,1,MIN(10,C278+1)),'参数'!$H$28)-MAX('参数'!$G$28,E278))*MOD(B278-1,12)/11,0)</x:f>
        <x:v>94</x:v>
      </x:c>
      <x:c r="E278" s="18" t="n">
        <x:f>INDEX('参数'!$G$36:$P$36,1,C278)</x:f>
        <x:v>90</x:v>
      </x:c>
      <x:c r="F278" s="15" t="n">
        <x:f>'参数'!$I$28</x:f>
        <x:v>1.16</x:v>
      </x:c>
      <x:c r="G278" s="18" t="n">
        <x:f>ROUND(V278*X278/'参数'!$B$56,0)</x:f>
        <x:v>217231</x:v>
      </x:c>
      <x:c r="H278" s="18" t="n">
        <x:f>ROUND((AA278+SQRT(AA278^2+4*AA278*'参数'!$B$22*U278))/2,0)</x:f>
        <x:v>7969</x:v>
      </x:c>
      <x:c r="I278" s="18" t="n">
        <x:f>ROUND(Q278*'参数'!$B$23/'参数'!$B$22,0)</x:f>
        <x:v>1406</x:v>
      </x:c>
      <x:c r="J278" s="18" t="n">
        <x:f>ROUND(G278*'参数'!$B$50,0)</x:f>
        <x:v>651693</x:v>
      </x:c>
      <x:c r="K278" s="18" t="n">
        <x:f>ROUND(W278*Y278,0)</x:f>
        <x:v>2129113</x:v>
      </x:c>
      <x:c r="L278" s="18" t="n">
        <x:f>ROUND((AB278+SQRT(AB278^2+4*AB278*'参数'!$B$22*U278))/2,0)</x:f>
        <x:v>13335</x:v>
      </x:c>
      <x:c r="M278" s="18" t="n">
        <x:f>ROUND(I278*'参数'!$B$24,0)</x:f>
        <x:v>1758</x:v>
      </x:c>
      <x:c r="N278" s="18" t="n">
        <x:f>'参数'!$B$9*'参数'!$B$10^(D278-1)</x:f>
        <x:v>9375.903913959693</x:v>
      </x:c>
      <x:c r="O278" s="18" t="n">
        <x:f>'参数'!$B$18*'参数'!$B$19^(MIN(E278,MAX(1,5*INT(D278/5)))-1)*F278*'参数'!$J$28*P278</x:f>
        <x:v>1144.1779238966687</x:v>
      </x:c>
      <x:c r="P278" s="21" t="n">
        <x:f>MIN(1,(D278-1)/19)</x:f>
        <x:v>1</x:v>
      </x:c>
      <x:c r="Q278" s="18" t="n">
        <x:f>INDEX('角色成长'!$F$6:$F$105,D278)+O278*'参数'!$K$21</x:f>
        <x:v>7029.907083105506</x:v>
      </x:c>
      <x:c r="R278" s="18" t="n">
        <x:f>INDEX('角色成长'!$I$6:$I$105,D278)+O278*'参数'!$K$21</x:f>
        <x:v>5974.907083105506</x:v>
      </x:c>
      <x:c r="S278" s="18" t="n">
        <x:f>INDEX('角色成长'!$L$6:$L$105,D278)+O278*'参数'!$K$21</x:f>
        <x:v>5371.907083105506</x:v>
      </x:c>
      <x:c r="T278" s="18" t="n">
        <x:f>(INDEX('角色成长'!$J$6:$J$105,D278)+O278*'参数'!$L$21)*(1+'参数'!$B$40*P278)</x:f>
        <x:v>82372.12490155666</x:v>
      </x:c>
      <x:c r="U278" s="18" t="n">
        <x:f>(INDEX('角色成长'!$K$6:$K$105,D278)+O278*'参数'!$M$21)*(1+'参数'!$B$41*P278)</x:f>
        <x:v>4358.542503501088</x:v>
      </x:c>
      <x:c r="V278" s="18" t="n">
        <x:f>(('参数'!$K$5*(((Q278*(1+'参数'!$B$39*P278))^2/((Q278*(1+'参数'!$B$39*P278))+'参数'!$B$22*(I278)))*(1+'参数'!$B$42*P278)/'参数'!$J$5+((Q278*'参数'!$B$43*(1+'参数'!$B$39*P278))^2/((Q278*'参数'!$B$43*(1+'参数'!$B$39*P278))+'参数'!$B$22*(I278)))/'参数'!$B$44))+(((R278*(1+'参数'!$B$39*P278))^2/((R278*(1+'参数'!$B$39*P278))+'参数'!$B$22*(I278)))*(1+'参数'!$B$42*P278)/'参数'!$J$6+((R278*'参数'!$B$45*(1+'参数'!$B$39*P278))^2/((R278*'参数'!$B$45*(1+'参数'!$B$39*P278))+'参数'!$B$22*(I278)))/'参数'!$B$46)+((S278*(1+'参数'!$B$39*P278))^2/((S278*(1+'参数'!$B$39*P278))+'参数'!$B$22*(I278)))*(1+'参数'!$B$42*P278)/'参数'!$J$7)*(1+'参数'!$B$37*('参数'!$B$38-1))*'参数'!$B$25</x:f>
        <x:v>47216.04227020516</x:v>
      </x:c>
      <x:c r="W278" s="18" t="n">
        <x:f>(('参数'!$K$5*(((Q278*(1+'参数'!$B$39*P278))^2/((Q278*(1+'参数'!$B$39*P278))+'参数'!$B$22*(M278)))*(1+'参数'!$B$42*P278)/'参数'!$J$5+((Q278*'参数'!$B$43*(1+'参数'!$B$39*P278))^2/((Q278*'参数'!$B$43*(1+'参数'!$B$39*P278))+'参数'!$B$22*(M278)))/'参数'!$B$44))+(((R278*(1+'参数'!$B$39*P278))^2/((R278*(1+'参数'!$B$39*P278))+'参数'!$B$22*(M278)))*(1+'参数'!$B$42*P278)/'参数'!$J$6+((R278*'参数'!$B$45*(1+'参数'!$B$39*P278))^2/((R278*'参数'!$B$45*(1+'参数'!$B$39*P278))+'参数'!$B$22*(M278)))/'参数'!$B$46)+((S278*(1+'参数'!$B$39*P278))^2/((S278*(1+'参数'!$B$39*P278))+'参数'!$B$22*(M278)))*(1+'参数'!$B$42*P278)/'参数'!$J$7)*(1+'参数'!$B$37*('参数'!$B$38-1))</x:f>
        <x:v>36366.834105295755</x:v>
      </x:c>
      <x:c r="X278" s="25" t="n">
        <x:f>('参数'!$B$26+'参数'!$B$27*(D278-1)/99)*'参数'!$K$28*AD278</x:f>
        <x:v>21.163636363636364</x:v>
      </x:c>
      <x:c r="Y278" s="25" t="n">
        <x:f>('参数'!$B$28+'参数'!$B$29*(D278-1)/99)*'参数'!$K$28*AD278*IF(AE278=1,'参数'!$B$51,1)</x:f>
        <x:v>58.54545454545455</x:v>
      </x:c>
      <x:c r="Z278" s="21" t="n">
        <x:f>MIN('参数'!$B$36,U278/(U278+'参数'!$B$35))</x:f>
        <x:v>0.5214476688579921</x:v>
      </x:c>
      <x:c r="AA278" s="18" t="n">
        <x:f>T278*'参数'!$B$30/('参数'!$B$32*'参数'!$B$33)/(1-Z278)*AC278</x:f>
        <x:v>4733.512486266862</x:v>
      </x:c>
      <x:c r="AB278" s="18" t="n">
        <x:f>T278*'参数'!$B$31/'参数'!$B$34/(1-Z278)*AC278</x:f>
        <x:v>9467.024972533723</x:v>
      </x:c>
      <x:c r="AC278" s="15" t="n">
        <x:f>'参数'!$L$28*1</x:f>
        <x:v>1.1</x:v>
      </x:c>
      <x:c r="AD278" s="15" t="n">
        <x:f>1</x:f>
        <x:v>1</x:v>
      </x:c>
      <x:c r="AE278" s="18" t="n">
        <x:f>IF(MOD(B278,12)=0,1,0)</x:f>
        <x:v>0</x:v>
      </x:c>
    </x:row>
    <x:row r="279" ht="22" customHeight="1">
      <x:c r="A279" s="19" t="str">
        <x:v>噩梦</x:v>
      </x:c>
      <x:c r="B279" s="19" t="n">
        <x:v>34</x:v>
      </x:c>
      <x:c r="C279" s="19" t="n">
        <x:f>ROUNDUP(B279/12,0)</x:f>
        <x:v>3</x:v>
      </x:c>
      <x:c r="D279" s="19" t="n">
        <x:f>ROUND(MAX('参数'!$G$28,E279)+(IF(C279&lt;10,INDEX('参数'!$G$36:$P$36,1,MIN(10,C279+1)),'参数'!$H$28)-MAX('参数'!$G$28,E279))*MOD(B279-1,12)/11,0)</x:f>
        <x:v>94</x:v>
      </x:c>
      <x:c r="E279" s="19" t="n">
        <x:f>INDEX('参数'!$G$36:$P$36,1,C279)</x:f>
        <x:v>90</x:v>
      </x:c>
      <x:c r="F279" s="20" t="n">
        <x:f>'参数'!$I$28</x:f>
        <x:v>1.16</x:v>
      </x:c>
      <x:c r="G279" s="19" t="n">
        <x:f>ROUND(V279*X279/'参数'!$B$56,0)</x:f>
        <x:v>217231</x:v>
      </x:c>
      <x:c r="H279" s="19" t="n">
        <x:f>ROUND((AA279+SQRT(AA279^2+4*AA279*'参数'!$B$22*U279))/2,0)</x:f>
        <x:v>7969</x:v>
      </x:c>
      <x:c r="I279" s="19" t="n">
        <x:f>ROUND(Q279*'参数'!$B$23/'参数'!$B$22,0)</x:f>
        <x:v>1406</x:v>
      </x:c>
      <x:c r="J279" s="19" t="n">
        <x:f>ROUND(G279*'参数'!$B$50,0)</x:f>
        <x:v>651693</x:v>
      </x:c>
      <x:c r="K279" s="19" t="n">
        <x:f>ROUND(W279*Y279,0)</x:f>
        <x:v>2129113</x:v>
      </x:c>
      <x:c r="L279" s="19" t="n">
        <x:f>ROUND((AB279+SQRT(AB279^2+4*AB279*'参数'!$B$22*U279))/2,0)</x:f>
        <x:v>13335</x:v>
      </x:c>
      <x:c r="M279" s="19" t="n">
        <x:f>ROUND(I279*'参数'!$B$24,0)</x:f>
        <x:v>1758</x:v>
      </x:c>
      <x:c r="N279" s="19" t="n">
        <x:f>'参数'!$B$9*'参数'!$B$10^(D279-1)</x:f>
        <x:v>9375.903913959693</x:v>
      </x:c>
      <x:c r="O279" s="19" t="n">
        <x:f>'参数'!$B$18*'参数'!$B$19^(MIN(E279,MAX(1,5*INT(D279/5)))-1)*F279*'参数'!$J$28*P279</x:f>
        <x:v>1144.1779238966687</x:v>
      </x:c>
      <x:c r="P279" s="22" t="n">
        <x:f>MIN(1,(D279-1)/19)</x:f>
        <x:v>1</x:v>
      </x:c>
      <x:c r="Q279" s="19" t="n">
        <x:f>INDEX('角色成长'!$F$6:$F$105,D279)+O279*'参数'!$K$21</x:f>
        <x:v>7029.907083105506</x:v>
      </x:c>
      <x:c r="R279" s="19" t="n">
        <x:f>INDEX('角色成长'!$I$6:$I$105,D279)+O279*'参数'!$K$21</x:f>
        <x:v>5974.907083105506</x:v>
      </x:c>
      <x:c r="S279" s="19" t="n">
        <x:f>INDEX('角色成长'!$L$6:$L$105,D279)+O279*'参数'!$K$21</x:f>
        <x:v>5371.907083105506</x:v>
      </x:c>
      <x:c r="T279" s="19" t="n">
        <x:f>(INDEX('角色成长'!$J$6:$J$105,D279)+O279*'参数'!$L$21)*(1+'参数'!$B$40*P279)</x:f>
        <x:v>82372.12490155666</x:v>
      </x:c>
      <x:c r="U279" s="19" t="n">
        <x:f>(INDEX('角色成长'!$K$6:$K$105,D279)+O279*'参数'!$M$21)*(1+'参数'!$B$41*P279)</x:f>
        <x:v>4358.542503501088</x:v>
      </x:c>
      <x:c r="V279" s="19" t="n">
        <x:f>(('参数'!$K$5*(((Q279*(1+'参数'!$B$39*P279))^2/((Q279*(1+'参数'!$B$39*P279))+'参数'!$B$22*(I279)))*(1+'参数'!$B$42*P279)/'参数'!$J$5+((Q279*'参数'!$B$43*(1+'参数'!$B$39*P279))^2/((Q279*'参数'!$B$43*(1+'参数'!$B$39*P279))+'参数'!$B$22*(I279)))/'参数'!$B$44))+(((R279*(1+'参数'!$B$39*P279))^2/((R279*(1+'参数'!$B$39*P279))+'参数'!$B$22*(I279)))*(1+'参数'!$B$42*P279)/'参数'!$J$6+((R279*'参数'!$B$45*(1+'参数'!$B$39*P279))^2/((R279*'参数'!$B$45*(1+'参数'!$B$39*P279))+'参数'!$B$22*(I279)))/'参数'!$B$46)+((S279*(1+'参数'!$B$39*P279))^2/((S279*(1+'参数'!$B$39*P279))+'参数'!$B$22*(I279)))*(1+'参数'!$B$42*P279)/'参数'!$J$7)*(1+'参数'!$B$37*('参数'!$B$38-1))*'参数'!$B$25</x:f>
        <x:v>47216.04227020516</x:v>
      </x:c>
      <x:c r="W279" s="19" t="n">
        <x:f>(('参数'!$K$5*(((Q279*(1+'参数'!$B$39*P279))^2/((Q279*(1+'参数'!$B$39*P279))+'参数'!$B$22*(M279)))*(1+'参数'!$B$42*P279)/'参数'!$J$5+((Q279*'参数'!$B$43*(1+'参数'!$B$39*P279))^2/((Q279*'参数'!$B$43*(1+'参数'!$B$39*P279))+'参数'!$B$22*(M279)))/'参数'!$B$44))+(((R279*(1+'参数'!$B$39*P279))^2/((R279*(1+'参数'!$B$39*P279))+'参数'!$B$22*(M279)))*(1+'参数'!$B$42*P279)/'参数'!$J$6+((R279*'参数'!$B$45*(1+'参数'!$B$39*P279))^2/((R279*'参数'!$B$45*(1+'参数'!$B$39*P279))+'参数'!$B$22*(M279)))/'参数'!$B$46)+((S279*(1+'参数'!$B$39*P279))^2/((S279*(1+'参数'!$B$39*P279))+'参数'!$B$22*(M279)))*(1+'参数'!$B$42*P279)/'参数'!$J$7)*(1+'参数'!$B$37*('参数'!$B$38-1))</x:f>
        <x:v>36366.834105295755</x:v>
      </x:c>
      <x:c r="X279" s="26" t="n">
        <x:f>('参数'!$B$26+'参数'!$B$27*(D279-1)/99)*'参数'!$K$28*AD279</x:f>
        <x:v>21.163636363636364</x:v>
      </x:c>
      <x:c r="Y279" s="26" t="n">
        <x:f>('参数'!$B$28+'参数'!$B$29*(D279-1)/99)*'参数'!$K$28*AD279*IF(AE279=1,'参数'!$B$51,1)</x:f>
        <x:v>58.54545454545455</x:v>
      </x:c>
      <x:c r="Z279" s="22" t="n">
        <x:f>MIN('参数'!$B$36,U279/(U279+'参数'!$B$35))</x:f>
        <x:v>0.5214476688579921</x:v>
      </x:c>
      <x:c r="AA279" s="19" t="n">
        <x:f>T279*'参数'!$B$30/('参数'!$B$32*'参数'!$B$33)/(1-Z279)*AC279</x:f>
        <x:v>4733.512486266862</x:v>
      </x:c>
      <x:c r="AB279" s="19" t="n">
        <x:f>T279*'参数'!$B$31/'参数'!$B$34/(1-Z279)*AC279</x:f>
        <x:v>9467.024972533723</x:v>
      </x:c>
      <x:c r="AC279" s="20" t="n">
        <x:f>'参数'!$L$28*1</x:f>
        <x:v>1.1</x:v>
      </x:c>
      <x:c r="AD279" s="20" t="n">
        <x:f>1</x:f>
        <x:v>1</x:v>
      </x:c>
      <x:c r="AE279" s="19" t="n">
        <x:f>IF(MOD(B279,12)=0,1,0)</x:f>
        <x:v>0</x:v>
      </x:c>
    </x:row>
    <x:row r="280" ht="22" customHeight="1">
      <x:c r="A280" s="18" t="str">
        <x:v>噩梦</x:v>
      </x:c>
      <x:c r="B280" s="18" t="n">
        <x:v>35</x:v>
      </x:c>
      <x:c r="C280" s="18" t="n">
        <x:f>ROUNDUP(B280/12,0)</x:f>
        <x:v>3</x:v>
      </x:c>
      <x:c r="D280" s="18" t="n">
        <x:f>ROUND(MAX('参数'!$G$28,E280)+(IF(C280&lt;10,INDEX('参数'!$G$36:$P$36,1,MIN(10,C280+1)),'参数'!$H$28)-MAX('参数'!$G$28,E280))*MOD(B280-1,12)/11,0)</x:f>
        <x:v>95</x:v>
      </x:c>
      <x:c r="E280" s="18" t="n">
        <x:f>INDEX('参数'!$G$36:$P$36,1,C280)</x:f>
        <x:v>90</x:v>
      </x:c>
      <x:c r="F280" s="15" t="n">
        <x:f>'参数'!$I$28</x:f>
        <x:v>1.16</x:v>
      </x:c>
      <x:c r="G280" s="18" t="n">
        <x:f>ROUND(V280*X280/'参数'!$B$56,0)</x:f>
        <x:v>221844</x:v>
      </x:c>
      <x:c r="H280" s="18" t="n">
        <x:f>ROUND((AA280+SQRT(AA280^2+4*AA280*'参数'!$B$22*U280))/2,0)</x:f>
        <x:v>8197</x:v>
      </x:c>
      <x:c r="I280" s="18" t="n">
        <x:f>ROUND(Q280*'参数'!$B$23/'参数'!$B$22,0)</x:f>
        <x:v>1432</x:v>
      </x:c>
      <x:c r="J280" s="18" t="n">
        <x:f>ROUND(G280*'参数'!$B$50,0)</x:f>
        <x:v>665532</x:v>
      </x:c>
      <x:c r="K280" s="18" t="n">
        <x:f>ROUND(W280*Y280,0)</x:f>
        <x:v>2175942</x:v>
      </x:c>
      <x:c r="L280" s="18" t="n">
        <x:f>ROUND((AB280+SQRT(AB280^2+4*AB280*'参数'!$B$22*U280))/2,0)</x:f>
        <x:v>13729</x:v>
      </x:c>
      <x:c r="M280" s="18" t="n">
        <x:f>ROUND(I280*'参数'!$B$24,0)</x:f>
        <x:v>1790</x:v>
      </x:c>
      <x:c r="N280" s="18" t="n">
        <x:f>'参数'!$B$9*'参数'!$B$10^(D280-1)</x:f>
        <x:v>9657.181031378484</x:v>
      </x:c>
      <x:c r="O280" s="18" t="n">
        <x:f>'参数'!$B$18*'参数'!$B$19^(MIN(E280,MAX(1,5*INT(D280/5)))-1)*F280*'参数'!$J$28*P280</x:f>
        <x:v>1144.1779238966687</x:v>
      </x:c>
      <x:c r="P280" s="21" t="n">
        <x:f>MIN(1,(D280-1)/19)</x:f>
        <x:v>1</x:v>
      </x:c>
      <x:c r="Q280" s="18" t="n">
        <x:f>INDEX('角色成长'!$F$6:$F$105,D280)+O280*'参数'!$K$21</x:f>
        <x:v>7161.907083105506</x:v>
      </x:c>
      <x:c r="R280" s="18" t="n">
        <x:f>INDEX('角色成长'!$I$6:$I$105,D280)+O280*'参数'!$K$21</x:f>
        <x:v>6069.907083105506</x:v>
      </x:c>
      <x:c r="S280" s="18" t="n">
        <x:f>INDEX('角色成长'!$L$6:$L$105,D280)+O280*'参数'!$K$21</x:f>
        <x:v>5445.907083105506</x:v>
      </x:c>
      <x:c r="T280" s="18" t="n">
        <x:f>(INDEX('角色成长'!$J$6:$J$105,D280)+O280*'参数'!$L$21)*(1+'参数'!$B$40*P280)</x:f>
        <x:v>84331.22490155665</x:v>
      </x:c>
      <x:c r="U280" s="18" t="n">
        <x:f>(INDEX('角色成长'!$K$6:$K$105,D280)+O280*'参数'!$M$21)*(1+'参数'!$B$41*P280)</x:f>
        <x:v>4434.442503501088</x:v>
      </x:c>
      <x:c r="V280" s="18" t="n">
        <x:f>(('参数'!$K$5*(((Q280*(1+'参数'!$B$39*P280))^2/((Q280*(1+'参数'!$B$39*P280))+'参数'!$B$22*(I280)))*(1+'参数'!$B$42*P280)/'参数'!$J$5+((Q280*'参数'!$B$43*(1+'参数'!$B$39*P280))^2/((Q280*'参数'!$B$43*(1+'参数'!$B$39*P280))+'参数'!$B$22*(I280)))/'参数'!$B$44))+(((R280*(1+'参数'!$B$39*P280))^2/((R280*(1+'参数'!$B$39*P280))+'参数'!$B$22*(I280)))*(1+'参数'!$B$42*P280)/'参数'!$J$6+((R280*'参数'!$B$45*(1+'参数'!$B$39*P280))^2/((R280*'参数'!$B$45*(1+'参数'!$B$39*P280))+'参数'!$B$22*(I280)))/'参数'!$B$46)+((S280*(1+'参数'!$B$39*P280))^2/((S280*(1+'参数'!$B$39*P280))+'参数'!$B$22*(I280)))*(1+'参数'!$B$42*P280)/'参数'!$J$7)*(1+'参数'!$B$37*('参数'!$B$38-1))*'参数'!$B$25</x:f>
        <x:v>48053.64279201458</x:v>
      </x:c>
      <x:c r="W280" s="18" t="n">
        <x:f>(('参数'!$K$5*(((Q280*(1+'参数'!$B$39*P280))^2/((Q280*(1+'参数'!$B$39*P280))+'参数'!$B$22*(M280)))*(1+'参数'!$B$42*P280)/'参数'!$J$5+((Q280*'参数'!$B$43*(1+'参数'!$B$39*P280))^2/((Q280*'参数'!$B$43*(1+'参数'!$B$39*P280))+'参数'!$B$22*(M280)))/'参数'!$B$44))+(((R280*(1+'参数'!$B$39*P280))^2/((R280*(1+'参数'!$B$39*P280))+'参数'!$B$22*(M280)))*(1+'参数'!$B$42*P280)/'参数'!$J$6+((R280*'参数'!$B$45*(1+'参数'!$B$39*P280))^2/((R280*'参数'!$B$45*(1+'参数'!$B$39*P280))+'参数'!$B$22*(M280)))/'参数'!$B$46)+((S280*(1+'参数'!$B$39*P280))^2/((S280*(1+'参数'!$B$39*P280))+'参数'!$B$22*(M280)))*(1+'参数'!$B$42*P280)/'参数'!$J$7)*(1+'参数'!$B$37*('参数'!$B$38-1))</x:f>
        <x:v>37013.438269094775</x:v>
      </x:c>
      <x:c r="X280" s="25" t="n">
        <x:f>('参数'!$B$26+'参数'!$B$27*(D280-1)/99)*'参数'!$K$28*AD280</x:f>
        <x:v>21.236363636363635</x:v>
      </x:c>
      <x:c r="Y280" s="25" t="n">
        <x:f>('参数'!$B$28+'参数'!$B$29*(D280-1)/99)*'参数'!$K$28*AD280*IF(AE280=1,'参数'!$B$51,1)</x:f>
        <x:v>58.78787878787878</x:v>
      </x:c>
      <x:c r="Z280" s="21" t="n">
        <x:f>MIN('参数'!$B$36,U280/(U280+'参数'!$B$35))</x:f>
        <x:v>0.525754073450661</x:v>
      </x:c>
      <x:c r="AA280" s="18" t="n">
        <x:f>T280*'参数'!$B$30/('参数'!$B$32*'参数'!$B$33)/(1-Z280)*AC280</x:f>
        <x:v>4890.097215313743</x:v>
      </x:c>
      <x:c r="AB280" s="18" t="n">
        <x:f>T280*'参数'!$B$31/'参数'!$B$34/(1-Z280)*AC280</x:f>
        <x:v>9780.194430627485</x:v>
      </x:c>
      <x:c r="AC280" s="15" t="n">
        <x:f>'参数'!$L$28*1</x:f>
        <x:v>1.1</x:v>
      </x:c>
      <x:c r="AD280" s="15" t="n">
        <x:f>1</x:f>
        <x:v>1</x:v>
      </x:c>
      <x:c r="AE280" s="18" t="n">
        <x:f>IF(MOD(B280,12)=0,1,0)</x:f>
        <x:v>0</x:v>
      </x:c>
    </x:row>
    <x:row r="281" ht="22" customHeight="1">
      <x:c r="A281" s="19" t="str">
        <x:v>噩梦</x:v>
      </x:c>
      <x:c r="B281" s="19" t="n">
        <x:v>36</x:v>
      </x:c>
      <x:c r="C281" s="19" t="n">
        <x:f>ROUNDUP(B281/12,0)</x:f>
        <x:v>3</x:v>
      </x:c>
      <x:c r="D281" s="19" t="n">
        <x:f>ROUND(MAX('参数'!$G$28,E281)+(IF(C281&lt;10,INDEX('参数'!$G$36:$P$36,1,MIN(10,C281+1)),'参数'!$H$28)-MAX('参数'!$G$28,E281))*MOD(B281-1,12)/11,0)</x:f>
        <x:v>95</x:v>
      </x:c>
      <x:c r="E281" s="19" t="n">
        <x:f>INDEX('参数'!$G$36:$P$36,1,C281)</x:f>
        <x:v>90</x:v>
      </x:c>
      <x:c r="F281" s="20" t="n">
        <x:f>'参数'!$I$28</x:f>
        <x:v>1.16</x:v>
      </x:c>
      <x:c r="G281" s="19" t="n">
        <x:f>ROUND(V281*X281/'参数'!$B$56,0)</x:f>
        <x:v>221844</x:v>
      </x:c>
      <x:c r="H281" s="19" t="n">
        <x:f>ROUND((AA281+SQRT(AA281^2+4*AA281*'参数'!$B$22*U281))/2,0)</x:f>
        <x:v>8197</x:v>
      </x:c>
      <x:c r="I281" s="19" t="n">
        <x:f>ROUND(Q281*'参数'!$B$23/'参数'!$B$22,0)</x:f>
        <x:v>1432</x:v>
      </x:c>
      <x:c r="J281" s="19" t="n">
        <x:f>ROUND(G281*'参数'!$B$50,0)</x:f>
        <x:v>665532</x:v>
      </x:c>
      <x:c r="K281" s="19" t="n">
        <x:f>ROUND(W281*Y281,0)</x:f>
        <x:v>2502333</x:v>
      </x:c>
      <x:c r="L281" s="19" t="n">
        <x:f>ROUND((AB281+SQRT(AB281^2+4*AB281*'参数'!$B$22*U281))/2,0)</x:f>
        <x:v>13729</x:v>
      </x:c>
      <x:c r="M281" s="19" t="n">
        <x:f>ROUND(I281*'参数'!$B$24,0)</x:f>
        <x:v>1790</x:v>
      </x:c>
      <x:c r="N281" s="19" t="n">
        <x:f>'参数'!$B$9*'参数'!$B$10^(D281-1)</x:f>
        <x:v>9657.181031378484</x:v>
      </x:c>
      <x:c r="O281" s="19" t="n">
        <x:f>'参数'!$B$18*'参数'!$B$19^(MIN(E281,MAX(1,5*INT(D281/5)))-1)*F281*'参数'!$J$28*P281</x:f>
        <x:v>1144.1779238966687</x:v>
      </x:c>
      <x:c r="P281" s="22" t="n">
        <x:f>MIN(1,(D281-1)/19)</x:f>
        <x:v>1</x:v>
      </x:c>
      <x:c r="Q281" s="19" t="n">
        <x:f>INDEX('角色成长'!$F$6:$F$105,D281)+O281*'参数'!$K$21</x:f>
        <x:v>7161.907083105506</x:v>
      </x:c>
      <x:c r="R281" s="19" t="n">
        <x:f>INDEX('角色成长'!$I$6:$I$105,D281)+O281*'参数'!$K$21</x:f>
        <x:v>6069.907083105506</x:v>
      </x:c>
      <x:c r="S281" s="19" t="n">
        <x:f>INDEX('角色成长'!$L$6:$L$105,D281)+O281*'参数'!$K$21</x:f>
        <x:v>5445.907083105506</x:v>
      </x:c>
      <x:c r="T281" s="19" t="n">
        <x:f>(INDEX('角色成长'!$J$6:$J$105,D281)+O281*'参数'!$L$21)*(1+'参数'!$B$40*P281)</x:f>
        <x:v>84331.22490155665</x:v>
      </x:c>
      <x:c r="U281" s="19" t="n">
        <x:f>(INDEX('角色成长'!$K$6:$K$105,D281)+O281*'参数'!$M$21)*(1+'参数'!$B$41*P281)</x:f>
        <x:v>4434.442503501088</x:v>
      </x:c>
      <x:c r="V281" s="19" t="n">
        <x:f>(('参数'!$K$5*(((Q281*(1+'参数'!$B$39*P281))^2/((Q281*(1+'参数'!$B$39*P281))+'参数'!$B$22*(I281)))*(1+'参数'!$B$42*P281)/'参数'!$J$5+((Q281*'参数'!$B$43*(1+'参数'!$B$39*P281))^2/((Q281*'参数'!$B$43*(1+'参数'!$B$39*P281))+'参数'!$B$22*(I281)))/'参数'!$B$44))+(((R281*(1+'参数'!$B$39*P281))^2/((R281*(1+'参数'!$B$39*P281))+'参数'!$B$22*(I281)))*(1+'参数'!$B$42*P281)/'参数'!$J$6+((R281*'参数'!$B$45*(1+'参数'!$B$39*P281))^2/((R281*'参数'!$B$45*(1+'参数'!$B$39*P281))+'参数'!$B$22*(I281)))/'参数'!$B$46)+((S281*(1+'参数'!$B$39*P281))^2/((S281*(1+'参数'!$B$39*P281))+'参数'!$B$22*(I281)))*(1+'参数'!$B$42*P281)/'参数'!$J$7)*(1+'参数'!$B$37*('参数'!$B$38-1))*'参数'!$B$25</x:f>
        <x:v>48053.64279201458</x:v>
      </x:c>
      <x:c r="W281" s="19" t="n">
        <x:f>(('参数'!$K$5*(((Q281*(1+'参数'!$B$39*P281))^2/((Q281*(1+'参数'!$B$39*P281))+'参数'!$B$22*(M281)))*(1+'参数'!$B$42*P281)/'参数'!$J$5+((Q281*'参数'!$B$43*(1+'参数'!$B$39*P281))^2/((Q281*'参数'!$B$43*(1+'参数'!$B$39*P281))+'参数'!$B$22*(M281)))/'参数'!$B$44))+(((R281*(1+'参数'!$B$39*P281))^2/((R281*(1+'参数'!$B$39*P281))+'参数'!$B$22*(M281)))*(1+'参数'!$B$42*P281)/'参数'!$J$6+((R281*'参数'!$B$45*(1+'参数'!$B$39*P281))^2/((R281*'参数'!$B$45*(1+'参数'!$B$39*P281))+'参数'!$B$22*(M281)))/'参数'!$B$46)+((S281*(1+'参数'!$B$39*P281))^2/((S281*(1+'参数'!$B$39*P281))+'参数'!$B$22*(M281)))*(1+'参数'!$B$42*P281)/'参数'!$J$7)*(1+'参数'!$B$37*('参数'!$B$38-1))</x:f>
        <x:v>37013.438269094775</x:v>
      </x:c>
      <x:c r="X281" s="26" t="n">
        <x:f>('参数'!$B$26+'参数'!$B$27*(D281-1)/99)*'参数'!$K$28*AD281</x:f>
        <x:v>21.236363636363635</x:v>
      </x:c>
      <x:c r="Y281" s="26" t="n">
        <x:f>('参数'!$B$28+'参数'!$B$29*(D281-1)/99)*'参数'!$K$28*AD281*IF(AE281=1,'参数'!$B$51,1)</x:f>
        <x:v>67.6060606060606</x:v>
      </x:c>
      <x:c r="Z281" s="22" t="n">
        <x:f>MIN('参数'!$B$36,U281/(U281+'参数'!$B$35))</x:f>
        <x:v>0.525754073450661</x:v>
      </x:c>
      <x:c r="AA281" s="19" t="n">
        <x:f>T281*'参数'!$B$30/('参数'!$B$32*'参数'!$B$33)/(1-Z281)*AC281</x:f>
        <x:v>4890.097215313743</x:v>
      </x:c>
      <x:c r="AB281" s="19" t="n">
        <x:f>T281*'参数'!$B$31/'参数'!$B$34/(1-Z281)*AC281</x:f>
        <x:v>9780.194430627485</x:v>
      </x:c>
      <x:c r="AC281" s="20" t="n">
        <x:f>'参数'!$L$28*1</x:f>
        <x:v>1.1</x:v>
      </x:c>
      <x:c r="AD281" s="20" t="n">
        <x:f>1</x:f>
        <x:v>1</x:v>
      </x:c>
      <x:c r="AE281" s="19" t="n">
        <x:f>IF(MOD(B281,12)=0,1,0)</x:f>
        <x:v>1</x:v>
      </x:c>
    </x:row>
    <x:row r="282" ht="22" customHeight="1">
      <x:c r="A282" s="18" t="str">
        <x:v>噩梦</x:v>
      </x:c>
      <x:c r="B282" s="18" t="n">
        <x:v>37</x:v>
      </x:c>
      <x:c r="C282" s="18" t="n">
        <x:f>ROUNDUP(B282/12,0)</x:f>
        <x:v>4</x:v>
      </x:c>
      <x:c r="D282" s="18" t="n">
        <x:f>ROUND(MAX('参数'!$G$28,E282)+(IF(C282&lt;10,INDEX('参数'!$G$36:$P$36,1,MIN(10,C282+1)),'参数'!$H$28)-MAX('参数'!$G$28,E282))*MOD(B282-1,12)/11,0)</x:f>
        <x:v>95</x:v>
      </x:c>
      <x:c r="E282" s="18" t="n">
        <x:f>INDEX('参数'!$G$36:$P$36,1,C282)</x:f>
        <x:v>95</x:v>
      </x:c>
      <x:c r="F282" s="15" t="n">
        <x:f>'参数'!$I$28</x:f>
        <x:v>1.16</x:v>
      </x:c>
      <x:c r="G282" s="18" t="n">
        <x:f>ROUND(V282*X282/'参数'!$B$56,0)</x:f>
        <x:v>243326</x:v>
      </x:c>
      <x:c r="H282" s="18" t="n">
        <x:f>ROUND((AA282+SQRT(AA282^2+4*AA282*'参数'!$B$22*U282))/2,0)</x:f>
        <x:v>9139</x:v>
      </x:c>
      <x:c r="I282" s="18" t="n">
        <x:f>ROUND(Q282*'参数'!$B$23/'参数'!$B$22,0)</x:f>
        <x:v>1562</x:v>
      </x:c>
      <x:c r="J282" s="18" t="n">
        <x:f>ROUND(G282*'参数'!$B$50,0)</x:f>
        <x:v>729978</x:v>
      </x:c>
      <x:c r="K282" s="18" t="n">
        <x:f>ROUND(W282*Y282,0)</x:f>
        <x:v>2386796</x:v>
      </x:c>
      <x:c r="L282" s="18" t="n">
        <x:f>ROUND((AB282+SQRT(AB282^2+4*AB282*'参数'!$B$22*U282))/2,0)</x:f>
        <x:v>15327</x:v>
      </x:c>
      <x:c r="M282" s="18" t="n">
        <x:f>ROUND(I282*'参数'!$B$24,0)</x:f>
        <x:v>1953</x:v>
      </x:c>
      <x:c r="N282" s="18" t="n">
        <x:f>'参数'!$B$9*'参数'!$B$10^(D282-1)</x:f>
        <x:v>9657.181031378484</x:v>
      </x:c>
      <x:c r="O282" s="18" t="n">
        <x:f>'参数'!$B$18*'参数'!$B$19^(MIN(E282,MAX(1,5*INT(D282/5)))-1)*F282*'参数'!$J$28*P282</x:f>
        <x:v>1372.1049972495236</x:v>
      </x:c>
      <x:c r="P282" s="21" t="n">
        <x:f>MIN(1,(D282-1)/19)</x:f>
        <x:v>1</x:v>
      </x:c>
      <x:c r="Q282" s="18" t="n">
        <x:f>INDEX('角色成长'!$F$6:$F$105,D282)+O282*'参数'!$K$21</x:f>
        <x:v>7811.499242161142</x:v>
      </x:c>
      <x:c r="R282" s="18" t="n">
        <x:f>INDEX('角色成长'!$I$6:$I$105,D282)+O282*'参数'!$K$21</x:f>
        <x:v>6719.499242161142</x:v>
      </x:c>
      <x:c r="S282" s="18" t="n">
        <x:f>INDEX('角色成长'!$L$6:$L$105,D282)+O282*'参数'!$K$21</x:f>
        <x:v>6095.499242161142</x:v>
      </x:c>
      <x:c r="T282" s="18" t="n">
        <x:f>(INDEX('角色成长'!$J$6:$J$105,D282)+O282*'参数'!$L$21)*(1+'参数'!$B$40*P282)</x:f>
        <x:v>89897.20403283337</x:v>
      </x:c>
      <x:c r="U282" s="18" t="n">
        <x:f>(INDEX('角色成长'!$K$6:$K$105,D282)+O282*'参数'!$M$21)*(1+'参数'!$B$41*P282)</x:f>
        <x:v>4873.202119705334</x:v>
      </x:c>
      <x:c r="V282" s="18" t="n">
        <x:f>(('参数'!$K$5*(((Q282*(1+'参数'!$B$39*P282))^2/((Q282*(1+'参数'!$B$39*P282))+'参数'!$B$22*(I282)))*(1+'参数'!$B$42*P282)/'参数'!$J$5+((Q282*'参数'!$B$43*(1+'参数'!$B$39*P282))^2/((Q282*'参数'!$B$43*(1+'参数'!$B$39*P282))+'参数'!$B$22*(I282)))/'参数'!$B$44))+(((R282*(1+'参数'!$B$39*P282))^2/((R282*(1+'参数'!$B$39*P282))+'参数'!$B$22*(I282)))*(1+'参数'!$B$42*P282)/'参数'!$J$6+((R282*'参数'!$B$45*(1+'参数'!$B$39*P282))^2/((R282*'参数'!$B$45*(1+'参数'!$B$39*P282))+'参数'!$B$22*(I282)))/'参数'!$B$46)+((S282*(1+'参数'!$B$39*P282))^2/((S282*(1+'参数'!$B$39*P282))+'参数'!$B$22*(I282)))*(1+'参数'!$B$42*P282)/'参数'!$J$7)*(1+'参数'!$B$37*('参数'!$B$38-1))*'参数'!$B$25</x:f>
        <x:v>52706.7138918444</x:v>
      </x:c>
      <x:c r="W282" s="18" t="n">
        <x:f>(('参数'!$K$5*(((Q282*(1+'参数'!$B$39*P282))^2/((Q282*(1+'参数'!$B$39*P282))+'参数'!$B$22*(M282)))*(1+'参数'!$B$42*P282)/'参数'!$J$5+((Q282*'参数'!$B$43*(1+'参数'!$B$39*P282))^2/((Q282*'参数'!$B$43*(1+'参数'!$B$39*P282))+'参数'!$B$22*(M282)))/'参数'!$B$44))+(((R282*(1+'参数'!$B$39*P282))^2/((R282*(1+'参数'!$B$39*P282))+'参数'!$B$22*(M282)))*(1+'参数'!$B$42*P282)/'参数'!$J$6+((R282*'参数'!$B$45*(1+'参数'!$B$39*P282))^2/((R282*'参数'!$B$45*(1+'参数'!$B$39*P282))+'参数'!$B$22*(M282)))/'参数'!$B$46)+((S282*(1+'参数'!$B$39*P282))^2/((S282*(1+'参数'!$B$39*P282))+'参数'!$B$22*(M282)))*(1+'参数'!$B$42*P282)/'参数'!$J$7)*(1+'参数'!$B$37*('参数'!$B$38-1))</x:f>
        <x:v>40600.131665990346</x:v>
      </x:c>
      <x:c r="X282" s="25" t="n">
        <x:f>('参数'!$B$26+'参数'!$B$27*(D282-1)/99)*'参数'!$K$28*AD282</x:f>
        <x:v>21.236363636363635</x:v>
      </x:c>
      <x:c r="Y282" s="25" t="n">
        <x:f>('参数'!$B$28+'参数'!$B$29*(D282-1)/99)*'参数'!$K$28*AD282*IF(AE282=1,'参数'!$B$51,1)</x:f>
        <x:v>58.78787878787878</x:v>
      </x:c>
      <x:c r="Z282" s="21" t="n">
        <x:f>MIN('参数'!$B$36,U282/(U282+'参数'!$B$35))</x:f>
        <x:v>0.5492044533599745</x:v>
      </x:c>
      <x:c r="AA282" s="18" t="n">
        <x:f>T282*'参数'!$B$30/('参数'!$B$32*'参数'!$B$33)/(1-Z282)*AC282</x:f>
        <x:v>5484.022921985576</x:v>
      </x:c>
      <x:c r="AB282" s="18" t="n">
        <x:f>T282*'参数'!$B$31/'参数'!$B$34/(1-Z282)*AC282</x:f>
        <x:v>10968.045843971151</x:v>
      </x:c>
      <x:c r="AC282" s="15" t="n">
        <x:f>'参数'!$L$28*1</x:f>
        <x:v>1.1</x:v>
      </x:c>
      <x:c r="AD282" s="15" t="n">
        <x:f>1</x:f>
        <x:v>1</x:v>
      </x:c>
      <x:c r="AE282" s="18" t="n">
        <x:f>IF(MOD(B282,12)=0,1,0)</x:f>
        <x:v>0</x:v>
      </x:c>
    </x:row>
    <x:row r="283" ht="22" customHeight="1">
      <x:c r="A283" s="19" t="str">
        <x:v>噩梦</x:v>
      </x:c>
      <x:c r="B283" s="19" t="n">
        <x:v>38</x:v>
      </x:c>
      <x:c r="C283" s="19" t="n">
        <x:f>ROUNDUP(B283/12,0)</x:f>
        <x:v>4</x:v>
      </x:c>
      <x:c r="D283" s="19" t="n">
        <x:f>ROUND(MAX('参数'!$G$28,E283)+(IF(C283&lt;10,INDEX('参数'!$G$36:$P$36,1,MIN(10,C283+1)),'参数'!$H$28)-MAX('参数'!$G$28,E283))*MOD(B283-1,12)/11,0)</x:f>
        <x:v>95</x:v>
      </x:c>
      <x:c r="E283" s="19" t="n">
        <x:f>INDEX('参数'!$G$36:$P$36,1,C283)</x:f>
        <x:v>95</x:v>
      </x:c>
      <x:c r="F283" s="20" t="n">
        <x:f>'参数'!$I$28</x:f>
        <x:v>1.16</x:v>
      </x:c>
      <x:c r="G283" s="19" t="n">
        <x:f>ROUND(V283*X283/'参数'!$B$56,0)</x:f>
        <x:v>243326</x:v>
      </x:c>
      <x:c r="H283" s="19" t="n">
        <x:f>ROUND((AA283+SQRT(AA283^2+4*AA283*'参数'!$B$22*U283))/2,0)</x:f>
        <x:v>9139</x:v>
      </x:c>
      <x:c r="I283" s="19" t="n">
        <x:f>ROUND(Q283*'参数'!$B$23/'参数'!$B$22,0)</x:f>
        <x:v>1562</x:v>
      </x:c>
      <x:c r="J283" s="19" t="n">
        <x:f>ROUND(G283*'参数'!$B$50,0)</x:f>
        <x:v>729978</x:v>
      </x:c>
      <x:c r="K283" s="19" t="n">
        <x:f>ROUND(W283*Y283,0)</x:f>
        <x:v>2386796</x:v>
      </x:c>
      <x:c r="L283" s="19" t="n">
        <x:f>ROUND((AB283+SQRT(AB283^2+4*AB283*'参数'!$B$22*U283))/2,0)</x:f>
        <x:v>15327</x:v>
      </x:c>
      <x:c r="M283" s="19" t="n">
        <x:f>ROUND(I283*'参数'!$B$24,0)</x:f>
        <x:v>1953</x:v>
      </x:c>
      <x:c r="N283" s="19" t="n">
        <x:f>'参数'!$B$9*'参数'!$B$10^(D283-1)</x:f>
        <x:v>9657.181031378484</x:v>
      </x:c>
      <x:c r="O283" s="19" t="n">
        <x:f>'参数'!$B$18*'参数'!$B$19^(MIN(E283,MAX(1,5*INT(D283/5)))-1)*F283*'参数'!$J$28*P283</x:f>
        <x:v>1372.1049972495236</x:v>
      </x:c>
      <x:c r="P283" s="22" t="n">
        <x:f>MIN(1,(D283-1)/19)</x:f>
        <x:v>1</x:v>
      </x:c>
      <x:c r="Q283" s="19" t="n">
        <x:f>INDEX('角色成长'!$F$6:$F$105,D283)+O283*'参数'!$K$21</x:f>
        <x:v>7811.499242161142</x:v>
      </x:c>
      <x:c r="R283" s="19" t="n">
        <x:f>INDEX('角色成长'!$I$6:$I$105,D283)+O283*'参数'!$K$21</x:f>
        <x:v>6719.499242161142</x:v>
      </x:c>
      <x:c r="S283" s="19" t="n">
        <x:f>INDEX('角色成长'!$L$6:$L$105,D283)+O283*'参数'!$K$21</x:f>
        <x:v>6095.499242161142</x:v>
      </x:c>
      <x:c r="T283" s="19" t="n">
        <x:f>(INDEX('角色成长'!$J$6:$J$105,D283)+O283*'参数'!$L$21)*(1+'参数'!$B$40*P283)</x:f>
        <x:v>89897.20403283337</x:v>
      </x:c>
      <x:c r="U283" s="19" t="n">
        <x:f>(INDEX('角色成长'!$K$6:$K$105,D283)+O283*'参数'!$M$21)*(1+'参数'!$B$41*P283)</x:f>
        <x:v>4873.202119705334</x:v>
      </x:c>
      <x:c r="V283" s="19" t="n">
        <x:f>(('参数'!$K$5*(((Q283*(1+'参数'!$B$39*P283))^2/((Q283*(1+'参数'!$B$39*P283))+'参数'!$B$22*(I283)))*(1+'参数'!$B$42*P283)/'参数'!$J$5+((Q283*'参数'!$B$43*(1+'参数'!$B$39*P283))^2/((Q283*'参数'!$B$43*(1+'参数'!$B$39*P283))+'参数'!$B$22*(I283)))/'参数'!$B$44))+(((R283*(1+'参数'!$B$39*P283))^2/((R283*(1+'参数'!$B$39*P283))+'参数'!$B$22*(I283)))*(1+'参数'!$B$42*P283)/'参数'!$J$6+((R283*'参数'!$B$45*(1+'参数'!$B$39*P283))^2/((R283*'参数'!$B$45*(1+'参数'!$B$39*P283))+'参数'!$B$22*(I283)))/'参数'!$B$46)+((S283*(1+'参数'!$B$39*P283))^2/((S283*(1+'参数'!$B$39*P283))+'参数'!$B$22*(I283)))*(1+'参数'!$B$42*P283)/'参数'!$J$7)*(1+'参数'!$B$37*('参数'!$B$38-1))*'参数'!$B$25</x:f>
        <x:v>52706.7138918444</x:v>
      </x:c>
      <x:c r="W283" s="19" t="n">
        <x:f>(('参数'!$K$5*(((Q283*(1+'参数'!$B$39*P283))^2/((Q283*(1+'参数'!$B$39*P283))+'参数'!$B$22*(M283)))*(1+'参数'!$B$42*P283)/'参数'!$J$5+((Q283*'参数'!$B$43*(1+'参数'!$B$39*P283))^2/((Q283*'参数'!$B$43*(1+'参数'!$B$39*P283))+'参数'!$B$22*(M283)))/'参数'!$B$44))+(((R283*(1+'参数'!$B$39*P283))^2/((R283*(1+'参数'!$B$39*P283))+'参数'!$B$22*(M283)))*(1+'参数'!$B$42*P283)/'参数'!$J$6+((R283*'参数'!$B$45*(1+'参数'!$B$39*P283))^2/((R283*'参数'!$B$45*(1+'参数'!$B$39*P283))+'参数'!$B$22*(M283)))/'参数'!$B$46)+((S283*(1+'参数'!$B$39*P283))^2/((S283*(1+'参数'!$B$39*P283))+'参数'!$B$22*(M283)))*(1+'参数'!$B$42*P283)/'参数'!$J$7)*(1+'参数'!$B$37*('参数'!$B$38-1))</x:f>
        <x:v>40600.131665990346</x:v>
      </x:c>
      <x:c r="X283" s="26" t="n">
        <x:f>('参数'!$B$26+'参数'!$B$27*(D283-1)/99)*'参数'!$K$28*AD283</x:f>
        <x:v>21.236363636363635</x:v>
      </x:c>
      <x:c r="Y283" s="26" t="n">
        <x:f>('参数'!$B$28+'参数'!$B$29*(D283-1)/99)*'参数'!$K$28*AD283*IF(AE283=1,'参数'!$B$51,1)</x:f>
        <x:v>58.78787878787878</x:v>
      </x:c>
      <x:c r="Z283" s="22" t="n">
        <x:f>MIN('参数'!$B$36,U283/(U283+'参数'!$B$35))</x:f>
        <x:v>0.5492044533599745</x:v>
      </x:c>
      <x:c r="AA283" s="19" t="n">
        <x:f>T283*'参数'!$B$30/('参数'!$B$32*'参数'!$B$33)/(1-Z283)*AC283</x:f>
        <x:v>5484.022921985576</x:v>
      </x:c>
      <x:c r="AB283" s="19" t="n">
        <x:f>T283*'参数'!$B$31/'参数'!$B$34/(1-Z283)*AC283</x:f>
        <x:v>10968.045843971151</x:v>
      </x:c>
      <x:c r="AC283" s="20" t="n">
        <x:f>'参数'!$L$28*1</x:f>
        <x:v>1.1</x:v>
      </x:c>
      <x:c r="AD283" s="20" t="n">
        <x:f>1</x:f>
        <x:v>1</x:v>
      </x:c>
      <x:c r="AE283" s="19" t="n">
        <x:f>IF(MOD(B283,12)=0,1,0)</x:f>
        <x:v>0</x:v>
      </x:c>
    </x:row>
    <x:row r="284" ht="22" customHeight="1">
      <x:c r="A284" s="18" t="str">
        <x:v>噩梦</x:v>
      </x:c>
      <x:c r="B284" s="18" t="n">
        <x:v>39</x:v>
      </x:c>
      <x:c r="C284" s="18" t="n">
        <x:f>ROUNDUP(B284/12,0)</x:f>
        <x:v>4</x:v>
      </x:c>
      <x:c r="D284" s="18" t="n">
        <x:f>ROUND(MAX('参数'!$G$28,E284)+(IF(C284&lt;10,INDEX('参数'!$G$36:$P$36,1,MIN(10,C284+1)),'参数'!$H$28)-MAX('参数'!$G$28,E284))*MOD(B284-1,12)/11,0)</x:f>
        <x:v>95</x:v>
      </x:c>
      <x:c r="E284" s="18" t="n">
        <x:f>INDEX('参数'!$G$36:$P$36,1,C284)</x:f>
        <x:v>95</x:v>
      </x:c>
      <x:c r="F284" s="15" t="n">
        <x:f>'参数'!$I$28</x:f>
        <x:v>1.16</x:v>
      </x:c>
      <x:c r="G284" s="18" t="n">
        <x:f>ROUND(V284*X284/'参数'!$B$56,0)</x:f>
        <x:v>243326</x:v>
      </x:c>
      <x:c r="H284" s="18" t="n">
        <x:f>ROUND((AA284+SQRT(AA284^2+4*AA284*'参数'!$B$22*U284))/2,0)</x:f>
        <x:v>9139</x:v>
      </x:c>
      <x:c r="I284" s="18" t="n">
        <x:f>ROUND(Q284*'参数'!$B$23/'参数'!$B$22,0)</x:f>
        <x:v>1562</x:v>
      </x:c>
      <x:c r="J284" s="18" t="n">
        <x:f>ROUND(G284*'参数'!$B$50,0)</x:f>
        <x:v>729978</x:v>
      </x:c>
      <x:c r="K284" s="18" t="n">
        <x:f>ROUND(W284*Y284,0)</x:f>
        <x:v>2386796</x:v>
      </x:c>
      <x:c r="L284" s="18" t="n">
        <x:f>ROUND((AB284+SQRT(AB284^2+4*AB284*'参数'!$B$22*U284))/2,0)</x:f>
        <x:v>15327</x:v>
      </x:c>
      <x:c r="M284" s="18" t="n">
        <x:f>ROUND(I284*'参数'!$B$24,0)</x:f>
        <x:v>1953</x:v>
      </x:c>
      <x:c r="N284" s="18" t="n">
        <x:f>'参数'!$B$9*'参数'!$B$10^(D284-1)</x:f>
        <x:v>9657.181031378484</x:v>
      </x:c>
      <x:c r="O284" s="18" t="n">
        <x:f>'参数'!$B$18*'参数'!$B$19^(MIN(E284,MAX(1,5*INT(D284/5)))-1)*F284*'参数'!$J$28*P284</x:f>
        <x:v>1372.1049972495236</x:v>
      </x:c>
      <x:c r="P284" s="21" t="n">
        <x:f>MIN(1,(D284-1)/19)</x:f>
        <x:v>1</x:v>
      </x:c>
      <x:c r="Q284" s="18" t="n">
        <x:f>INDEX('角色成长'!$F$6:$F$105,D284)+O284*'参数'!$K$21</x:f>
        <x:v>7811.499242161142</x:v>
      </x:c>
      <x:c r="R284" s="18" t="n">
        <x:f>INDEX('角色成长'!$I$6:$I$105,D284)+O284*'参数'!$K$21</x:f>
        <x:v>6719.499242161142</x:v>
      </x:c>
      <x:c r="S284" s="18" t="n">
        <x:f>INDEX('角色成长'!$L$6:$L$105,D284)+O284*'参数'!$K$21</x:f>
        <x:v>6095.499242161142</x:v>
      </x:c>
      <x:c r="T284" s="18" t="n">
        <x:f>(INDEX('角色成长'!$J$6:$J$105,D284)+O284*'参数'!$L$21)*(1+'参数'!$B$40*P284)</x:f>
        <x:v>89897.20403283337</x:v>
      </x:c>
      <x:c r="U284" s="18" t="n">
        <x:f>(INDEX('角色成长'!$K$6:$K$105,D284)+O284*'参数'!$M$21)*(1+'参数'!$B$41*P284)</x:f>
        <x:v>4873.202119705334</x:v>
      </x:c>
      <x:c r="V284" s="18" t="n">
        <x:f>(('参数'!$K$5*(((Q284*(1+'参数'!$B$39*P284))^2/((Q284*(1+'参数'!$B$39*P284))+'参数'!$B$22*(I284)))*(1+'参数'!$B$42*P284)/'参数'!$J$5+((Q284*'参数'!$B$43*(1+'参数'!$B$39*P284))^2/((Q284*'参数'!$B$43*(1+'参数'!$B$39*P284))+'参数'!$B$22*(I284)))/'参数'!$B$44))+(((R284*(1+'参数'!$B$39*P284))^2/((R284*(1+'参数'!$B$39*P284))+'参数'!$B$22*(I284)))*(1+'参数'!$B$42*P284)/'参数'!$J$6+((R284*'参数'!$B$45*(1+'参数'!$B$39*P284))^2/((R284*'参数'!$B$45*(1+'参数'!$B$39*P284))+'参数'!$B$22*(I284)))/'参数'!$B$46)+((S284*(1+'参数'!$B$39*P284))^2/((S284*(1+'参数'!$B$39*P284))+'参数'!$B$22*(I284)))*(1+'参数'!$B$42*P284)/'参数'!$J$7)*(1+'参数'!$B$37*('参数'!$B$38-1))*'参数'!$B$25</x:f>
        <x:v>52706.7138918444</x:v>
      </x:c>
      <x:c r="W284" s="18" t="n">
        <x:f>(('参数'!$K$5*(((Q284*(1+'参数'!$B$39*P284))^2/((Q284*(1+'参数'!$B$39*P284))+'参数'!$B$22*(M284)))*(1+'参数'!$B$42*P284)/'参数'!$J$5+((Q284*'参数'!$B$43*(1+'参数'!$B$39*P284))^2/((Q284*'参数'!$B$43*(1+'参数'!$B$39*P284))+'参数'!$B$22*(M284)))/'参数'!$B$44))+(((R284*(1+'参数'!$B$39*P284))^2/((R284*(1+'参数'!$B$39*P284))+'参数'!$B$22*(M284)))*(1+'参数'!$B$42*P284)/'参数'!$J$6+((R284*'参数'!$B$45*(1+'参数'!$B$39*P284))^2/((R284*'参数'!$B$45*(1+'参数'!$B$39*P284))+'参数'!$B$22*(M284)))/'参数'!$B$46)+((S284*(1+'参数'!$B$39*P284))^2/((S284*(1+'参数'!$B$39*P284))+'参数'!$B$22*(M284)))*(1+'参数'!$B$42*P284)/'参数'!$J$7)*(1+'参数'!$B$37*('参数'!$B$38-1))</x:f>
        <x:v>40600.131665990346</x:v>
      </x:c>
      <x:c r="X284" s="25" t="n">
        <x:f>('参数'!$B$26+'参数'!$B$27*(D284-1)/99)*'参数'!$K$28*AD284</x:f>
        <x:v>21.236363636363635</x:v>
      </x:c>
      <x:c r="Y284" s="25" t="n">
        <x:f>('参数'!$B$28+'参数'!$B$29*(D284-1)/99)*'参数'!$K$28*AD284*IF(AE284=1,'参数'!$B$51,1)</x:f>
        <x:v>58.78787878787878</x:v>
      </x:c>
      <x:c r="Z284" s="21" t="n">
        <x:f>MIN('参数'!$B$36,U284/(U284+'参数'!$B$35))</x:f>
        <x:v>0.5492044533599745</x:v>
      </x:c>
      <x:c r="AA284" s="18" t="n">
        <x:f>T284*'参数'!$B$30/('参数'!$B$32*'参数'!$B$33)/(1-Z284)*AC284</x:f>
        <x:v>5484.022921985576</x:v>
      </x:c>
      <x:c r="AB284" s="18" t="n">
        <x:f>T284*'参数'!$B$31/'参数'!$B$34/(1-Z284)*AC284</x:f>
        <x:v>10968.045843971151</x:v>
      </x:c>
      <x:c r="AC284" s="15" t="n">
        <x:f>'参数'!$L$28*1</x:f>
        <x:v>1.1</x:v>
      </x:c>
      <x:c r="AD284" s="15" t="n">
        <x:f>1</x:f>
        <x:v>1</x:v>
      </x:c>
      <x:c r="AE284" s="18" t="n">
        <x:f>IF(MOD(B284,12)=0,1,0)</x:f>
        <x:v>0</x:v>
      </x:c>
    </x:row>
    <x:row r="285" ht="22" customHeight="1">
      <x:c r="A285" s="19" t="str">
        <x:v>噩梦</x:v>
      </x:c>
      <x:c r="B285" s="19" t="n">
        <x:v>40</x:v>
      </x:c>
      <x:c r="C285" s="19" t="n">
        <x:f>ROUNDUP(B285/12,0)</x:f>
        <x:v>4</x:v>
      </x:c>
      <x:c r="D285" s="19" t="n">
        <x:f>ROUND(MAX('参数'!$G$28,E285)+(IF(C285&lt;10,INDEX('参数'!$G$36:$P$36,1,MIN(10,C285+1)),'参数'!$H$28)-MAX('参数'!$G$28,E285))*MOD(B285-1,12)/11,0)</x:f>
        <x:v>95</x:v>
      </x:c>
      <x:c r="E285" s="19" t="n">
        <x:f>INDEX('参数'!$G$36:$P$36,1,C285)</x:f>
        <x:v>95</x:v>
      </x:c>
      <x:c r="F285" s="20" t="n">
        <x:f>'参数'!$I$28</x:f>
        <x:v>1.16</x:v>
      </x:c>
      <x:c r="G285" s="19" t="n">
        <x:f>ROUND(V285*X285/'参数'!$B$56,0)</x:f>
        <x:v>243326</x:v>
      </x:c>
      <x:c r="H285" s="19" t="n">
        <x:f>ROUND((AA285+SQRT(AA285^2+4*AA285*'参数'!$B$22*U285))/2,0)</x:f>
        <x:v>9139</x:v>
      </x:c>
      <x:c r="I285" s="19" t="n">
        <x:f>ROUND(Q285*'参数'!$B$23/'参数'!$B$22,0)</x:f>
        <x:v>1562</x:v>
      </x:c>
      <x:c r="J285" s="19" t="n">
        <x:f>ROUND(G285*'参数'!$B$50,0)</x:f>
        <x:v>729978</x:v>
      </x:c>
      <x:c r="K285" s="19" t="n">
        <x:f>ROUND(W285*Y285,0)</x:f>
        <x:v>2386796</x:v>
      </x:c>
      <x:c r="L285" s="19" t="n">
        <x:f>ROUND((AB285+SQRT(AB285^2+4*AB285*'参数'!$B$22*U285))/2,0)</x:f>
        <x:v>15327</x:v>
      </x:c>
      <x:c r="M285" s="19" t="n">
        <x:f>ROUND(I285*'参数'!$B$24,0)</x:f>
        <x:v>1953</x:v>
      </x:c>
      <x:c r="N285" s="19" t="n">
        <x:f>'参数'!$B$9*'参数'!$B$10^(D285-1)</x:f>
        <x:v>9657.181031378484</x:v>
      </x:c>
      <x:c r="O285" s="19" t="n">
        <x:f>'参数'!$B$18*'参数'!$B$19^(MIN(E285,MAX(1,5*INT(D285/5)))-1)*F285*'参数'!$J$28*P285</x:f>
        <x:v>1372.1049972495236</x:v>
      </x:c>
      <x:c r="P285" s="22" t="n">
        <x:f>MIN(1,(D285-1)/19)</x:f>
        <x:v>1</x:v>
      </x:c>
      <x:c r="Q285" s="19" t="n">
        <x:f>INDEX('角色成长'!$F$6:$F$105,D285)+O285*'参数'!$K$21</x:f>
        <x:v>7811.499242161142</x:v>
      </x:c>
      <x:c r="R285" s="19" t="n">
        <x:f>INDEX('角色成长'!$I$6:$I$105,D285)+O285*'参数'!$K$21</x:f>
        <x:v>6719.499242161142</x:v>
      </x:c>
      <x:c r="S285" s="19" t="n">
        <x:f>INDEX('角色成长'!$L$6:$L$105,D285)+O285*'参数'!$K$21</x:f>
        <x:v>6095.499242161142</x:v>
      </x:c>
      <x:c r="T285" s="19" t="n">
        <x:f>(INDEX('角色成长'!$J$6:$J$105,D285)+O285*'参数'!$L$21)*(1+'参数'!$B$40*P285)</x:f>
        <x:v>89897.20403283337</x:v>
      </x:c>
      <x:c r="U285" s="19" t="n">
        <x:f>(INDEX('角色成长'!$K$6:$K$105,D285)+O285*'参数'!$M$21)*(1+'参数'!$B$41*P285)</x:f>
        <x:v>4873.202119705334</x:v>
      </x:c>
      <x:c r="V285" s="19" t="n">
        <x:f>(('参数'!$K$5*(((Q285*(1+'参数'!$B$39*P285))^2/((Q285*(1+'参数'!$B$39*P285))+'参数'!$B$22*(I285)))*(1+'参数'!$B$42*P285)/'参数'!$J$5+((Q285*'参数'!$B$43*(1+'参数'!$B$39*P285))^2/((Q285*'参数'!$B$43*(1+'参数'!$B$39*P285))+'参数'!$B$22*(I285)))/'参数'!$B$44))+(((R285*(1+'参数'!$B$39*P285))^2/((R285*(1+'参数'!$B$39*P285))+'参数'!$B$22*(I285)))*(1+'参数'!$B$42*P285)/'参数'!$J$6+((R285*'参数'!$B$45*(1+'参数'!$B$39*P285))^2/((R285*'参数'!$B$45*(1+'参数'!$B$39*P285))+'参数'!$B$22*(I285)))/'参数'!$B$46)+((S285*(1+'参数'!$B$39*P285))^2/((S285*(1+'参数'!$B$39*P285))+'参数'!$B$22*(I285)))*(1+'参数'!$B$42*P285)/'参数'!$J$7)*(1+'参数'!$B$37*('参数'!$B$38-1))*'参数'!$B$25</x:f>
        <x:v>52706.7138918444</x:v>
      </x:c>
      <x:c r="W285" s="19" t="n">
        <x:f>(('参数'!$K$5*(((Q285*(1+'参数'!$B$39*P285))^2/((Q285*(1+'参数'!$B$39*P285))+'参数'!$B$22*(M285)))*(1+'参数'!$B$42*P285)/'参数'!$J$5+((Q285*'参数'!$B$43*(1+'参数'!$B$39*P285))^2/((Q285*'参数'!$B$43*(1+'参数'!$B$39*P285))+'参数'!$B$22*(M285)))/'参数'!$B$44))+(((R285*(1+'参数'!$B$39*P285))^2/((R285*(1+'参数'!$B$39*P285))+'参数'!$B$22*(M285)))*(1+'参数'!$B$42*P285)/'参数'!$J$6+((R285*'参数'!$B$45*(1+'参数'!$B$39*P285))^2/((R285*'参数'!$B$45*(1+'参数'!$B$39*P285))+'参数'!$B$22*(M285)))/'参数'!$B$46)+((S285*(1+'参数'!$B$39*P285))^2/((S285*(1+'参数'!$B$39*P285))+'参数'!$B$22*(M285)))*(1+'参数'!$B$42*P285)/'参数'!$J$7)*(1+'参数'!$B$37*('参数'!$B$38-1))</x:f>
        <x:v>40600.131665990346</x:v>
      </x:c>
      <x:c r="X285" s="26" t="n">
        <x:f>('参数'!$B$26+'参数'!$B$27*(D285-1)/99)*'参数'!$K$28*AD285</x:f>
        <x:v>21.236363636363635</x:v>
      </x:c>
      <x:c r="Y285" s="26" t="n">
        <x:f>('参数'!$B$28+'参数'!$B$29*(D285-1)/99)*'参数'!$K$28*AD285*IF(AE285=1,'参数'!$B$51,1)</x:f>
        <x:v>58.78787878787878</x:v>
      </x:c>
      <x:c r="Z285" s="22" t="n">
        <x:f>MIN('参数'!$B$36,U285/(U285+'参数'!$B$35))</x:f>
        <x:v>0.5492044533599745</x:v>
      </x:c>
      <x:c r="AA285" s="19" t="n">
        <x:f>T285*'参数'!$B$30/('参数'!$B$32*'参数'!$B$33)/(1-Z285)*AC285</x:f>
        <x:v>5484.022921985576</x:v>
      </x:c>
      <x:c r="AB285" s="19" t="n">
        <x:f>T285*'参数'!$B$31/'参数'!$B$34/(1-Z285)*AC285</x:f>
        <x:v>10968.045843971151</x:v>
      </x:c>
      <x:c r="AC285" s="20" t="n">
        <x:f>'参数'!$L$28*1</x:f>
        <x:v>1.1</x:v>
      </x:c>
      <x:c r="AD285" s="20" t="n">
        <x:f>1</x:f>
        <x:v>1</x:v>
      </x:c>
      <x:c r="AE285" s="19" t="n">
        <x:f>IF(MOD(B285,12)=0,1,0)</x:f>
        <x:v>0</x:v>
      </x:c>
    </x:row>
    <x:row r="286" ht="22" customHeight="1">
      <x:c r="A286" s="18" t="str">
        <x:v>噩梦</x:v>
      </x:c>
      <x:c r="B286" s="18" t="n">
        <x:v>41</x:v>
      </x:c>
      <x:c r="C286" s="18" t="n">
        <x:f>ROUNDUP(B286/12,0)</x:f>
        <x:v>4</x:v>
      </x:c>
      <x:c r="D286" s="18" t="n">
        <x:f>ROUND(MAX('参数'!$G$28,E286)+(IF(C286&lt;10,INDEX('参数'!$G$36:$P$36,1,MIN(10,C286+1)),'参数'!$H$28)-MAX('参数'!$G$28,E286))*MOD(B286-1,12)/11,0)</x:f>
        <x:v>95</x:v>
      </x:c>
      <x:c r="E286" s="18" t="n">
        <x:f>INDEX('参数'!$G$36:$P$36,1,C286)</x:f>
        <x:v>95</x:v>
      </x:c>
      <x:c r="F286" s="15" t="n">
        <x:f>'参数'!$I$28</x:f>
        <x:v>1.16</x:v>
      </x:c>
      <x:c r="G286" s="18" t="n">
        <x:f>ROUND(V286*X286/'参数'!$B$56,0)</x:f>
        <x:v>243326</x:v>
      </x:c>
      <x:c r="H286" s="18" t="n">
        <x:f>ROUND((AA286+SQRT(AA286^2+4*AA286*'参数'!$B$22*U286))/2,0)</x:f>
        <x:v>9139</x:v>
      </x:c>
      <x:c r="I286" s="18" t="n">
        <x:f>ROUND(Q286*'参数'!$B$23/'参数'!$B$22,0)</x:f>
        <x:v>1562</x:v>
      </x:c>
      <x:c r="J286" s="18" t="n">
        <x:f>ROUND(G286*'参数'!$B$50,0)</x:f>
        <x:v>729978</x:v>
      </x:c>
      <x:c r="K286" s="18" t="n">
        <x:f>ROUND(W286*Y286,0)</x:f>
        <x:v>2386796</x:v>
      </x:c>
      <x:c r="L286" s="18" t="n">
        <x:f>ROUND((AB286+SQRT(AB286^2+4*AB286*'参数'!$B$22*U286))/2,0)</x:f>
        <x:v>15327</x:v>
      </x:c>
      <x:c r="M286" s="18" t="n">
        <x:f>ROUND(I286*'参数'!$B$24,0)</x:f>
        <x:v>1953</x:v>
      </x:c>
      <x:c r="N286" s="18" t="n">
        <x:f>'参数'!$B$9*'参数'!$B$10^(D286-1)</x:f>
        <x:v>9657.181031378484</x:v>
      </x:c>
      <x:c r="O286" s="18" t="n">
        <x:f>'参数'!$B$18*'参数'!$B$19^(MIN(E286,MAX(1,5*INT(D286/5)))-1)*F286*'参数'!$J$28*P286</x:f>
        <x:v>1372.1049972495236</x:v>
      </x:c>
      <x:c r="P286" s="21" t="n">
        <x:f>MIN(1,(D286-1)/19)</x:f>
        <x:v>1</x:v>
      </x:c>
      <x:c r="Q286" s="18" t="n">
        <x:f>INDEX('角色成长'!$F$6:$F$105,D286)+O286*'参数'!$K$21</x:f>
        <x:v>7811.499242161142</x:v>
      </x:c>
      <x:c r="R286" s="18" t="n">
        <x:f>INDEX('角色成长'!$I$6:$I$105,D286)+O286*'参数'!$K$21</x:f>
        <x:v>6719.499242161142</x:v>
      </x:c>
      <x:c r="S286" s="18" t="n">
        <x:f>INDEX('角色成长'!$L$6:$L$105,D286)+O286*'参数'!$K$21</x:f>
        <x:v>6095.499242161142</x:v>
      </x:c>
      <x:c r="T286" s="18" t="n">
        <x:f>(INDEX('角色成长'!$J$6:$J$105,D286)+O286*'参数'!$L$21)*(1+'参数'!$B$40*P286)</x:f>
        <x:v>89897.20403283337</x:v>
      </x:c>
      <x:c r="U286" s="18" t="n">
        <x:f>(INDEX('角色成长'!$K$6:$K$105,D286)+O286*'参数'!$M$21)*(1+'参数'!$B$41*P286)</x:f>
        <x:v>4873.202119705334</x:v>
      </x:c>
      <x:c r="V286" s="18" t="n">
        <x:f>(('参数'!$K$5*(((Q286*(1+'参数'!$B$39*P286))^2/((Q286*(1+'参数'!$B$39*P286))+'参数'!$B$22*(I286)))*(1+'参数'!$B$42*P286)/'参数'!$J$5+((Q286*'参数'!$B$43*(1+'参数'!$B$39*P286))^2/((Q286*'参数'!$B$43*(1+'参数'!$B$39*P286))+'参数'!$B$22*(I286)))/'参数'!$B$44))+(((R286*(1+'参数'!$B$39*P286))^2/((R286*(1+'参数'!$B$39*P286))+'参数'!$B$22*(I286)))*(1+'参数'!$B$42*P286)/'参数'!$J$6+((R286*'参数'!$B$45*(1+'参数'!$B$39*P286))^2/((R286*'参数'!$B$45*(1+'参数'!$B$39*P286))+'参数'!$B$22*(I286)))/'参数'!$B$46)+((S286*(1+'参数'!$B$39*P286))^2/((S286*(1+'参数'!$B$39*P286))+'参数'!$B$22*(I286)))*(1+'参数'!$B$42*P286)/'参数'!$J$7)*(1+'参数'!$B$37*('参数'!$B$38-1))*'参数'!$B$25</x:f>
        <x:v>52706.7138918444</x:v>
      </x:c>
      <x:c r="W286" s="18" t="n">
        <x:f>(('参数'!$K$5*(((Q286*(1+'参数'!$B$39*P286))^2/((Q286*(1+'参数'!$B$39*P286))+'参数'!$B$22*(M286)))*(1+'参数'!$B$42*P286)/'参数'!$J$5+((Q286*'参数'!$B$43*(1+'参数'!$B$39*P286))^2/((Q286*'参数'!$B$43*(1+'参数'!$B$39*P286))+'参数'!$B$22*(M286)))/'参数'!$B$44))+(((R286*(1+'参数'!$B$39*P286))^2/((R286*(1+'参数'!$B$39*P286))+'参数'!$B$22*(M286)))*(1+'参数'!$B$42*P286)/'参数'!$J$6+((R286*'参数'!$B$45*(1+'参数'!$B$39*P286))^2/((R286*'参数'!$B$45*(1+'参数'!$B$39*P286))+'参数'!$B$22*(M286)))/'参数'!$B$46)+((S286*(1+'参数'!$B$39*P286))^2/((S286*(1+'参数'!$B$39*P286))+'参数'!$B$22*(M286)))*(1+'参数'!$B$42*P286)/'参数'!$J$7)*(1+'参数'!$B$37*('参数'!$B$38-1))</x:f>
        <x:v>40600.131665990346</x:v>
      </x:c>
      <x:c r="X286" s="25" t="n">
        <x:f>('参数'!$B$26+'参数'!$B$27*(D286-1)/99)*'参数'!$K$28*AD286</x:f>
        <x:v>21.236363636363635</x:v>
      </x:c>
      <x:c r="Y286" s="25" t="n">
        <x:f>('参数'!$B$28+'参数'!$B$29*(D286-1)/99)*'参数'!$K$28*AD286*IF(AE286=1,'参数'!$B$51,1)</x:f>
        <x:v>58.78787878787878</x:v>
      </x:c>
      <x:c r="Z286" s="21" t="n">
        <x:f>MIN('参数'!$B$36,U286/(U286+'参数'!$B$35))</x:f>
        <x:v>0.5492044533599745</x:v>
      </x:c>
      <x:c r="AA286" s="18" t="n">
        <x:f>T286*'参数'!$B$30/('参数'!$B$32*'参数'!$B$33)/(1-Z286)*AC286</x:f>
        <x:v>5484.022921985576</x:v>
      </x:c>
      <x:c r="AB286" s="18" t="n">
        <x:f>T286*'参数'!$B$31/'参数'!$B$34/(1-Z286)*AC286</x:f>
        <x:v>10968.045843971151</x:v>
      </x:c>
      <x:c r="AC286" s="15" t="n">
        <x:f>'参数'!$L$28*1</x:f>
        <x:v>1.1</x:v>
      </x:c>
      <x:c r="AD286" s="15" t="n">
        <x:f>1</x:f>
        <x:v>1</x:v>
      </x:c>
      <x:c r="AE286" s="18" t="n">
        <x:f>IF(MOD(B286,12)=0,1,0)</x:f>
        <x:v>0</x:v>
      </x:c>
    </x:row>
    <x:row r="287" ht="22" customHeight="1">
      <x:c r="A287" s="19" t="str">
        <x:v>噩梦</x:v>
      </x:c>
      <x:c r="B287" s="19" t="n">
        <x:v>42</x:v>
      </x:c>
      <x:c r="C287" s="19" t="n">
        <x:f>ROUNDUP(B287/12,0)</x:f>
        <x:v>4</x:v>
      </x:c>
      <x:c r="D287" s="19" t="n">
        <x:f>ROUND(MAX('参数'!$G$28,E287)+(IF(C287&lt;10,INDEX('参数'!$G$36:$P$36,1,MIN(10,C287+1)),'参数'!$H$28)-MAX('参数'!$G$28,E287))*MOD(B287-1,12)/11,0)</x:f>
        <x:v>95</x:v>
      </x:c>
      <x:c r="E287" s="19" t="n">
        <x:f>INDEX('参数'!$G$36:$P$36,1,C287)</x:f>
        <x:v>95</x:v>
      </x:c>
      <x:c r="F287" s="20" t="n">
        <x:f>'参数'!$I$28</x:f>
        <x:v>1.16</x:v>
      </x:c>
      <x:c r="G287" s="19" t="n">
        <x:f>ROUND(V287*X287/'参数'!$B$56,0)</x:f>
        <x:v>243326</x:v>
      </x:c>
      <x:c r="H287" s="19" t="n">
        <x:f>ROUND((AA287+SQRT(AA287^2+4*AA287*'参数'!$B$22*U287))/2,0)</x:f>
        <x:v>9139</x:v>
      </x:c>
      <x:c r="I287" s="19" t="n">
        <x:f>ROUND(Q287*'参数'!$B$23/'参数'!$B$22,0)</x:f>
        <x:v>1562</x:v>
      </x:c>
      <x:c r="J287" s="19" t="n">
        <x:f>ROUND(G287*'参数'!$B$50,0)</x:f>
        <x:v>729978</x:v>
      </x:c>
      <x:c r="K287" s="19" t="n">
        <x:f>ROUND(W287*Y287,0)</x:f>
        <x:v>2386796</x:v>
      </x:c>
      <x:c r="L287" s="19" t="n">
        <x:f>ROUND((AB287+SQRT(AB287^2+4*AB287*'参数'!$B$22*U287))/2,0)</x:f>
        <x:v>15327</x:v>
      </x:c>
      <x:c r="M287" s="19" t="n">
        <x:f>ROUND(I287*'参数'!$B$24,0)</x:f>
        <x:v>1953</x:v>
      </x:c>
      <x:c r="N287" s="19" t="n">
        <x:f>'参数'!$B$9*'参数'!$B$10^(D287-1)</x:f>
        <x:v>9657.181031378484</x:v>
      </x:c>
      <x:c r="O287" s="19" t="n">
        <x:f>'参数'!$B$18*'参数'!$B$19^(MIN(E287,MAX(1,5*INT(D287/5)))-1)*F287*'参数'!$J$28*P287</x:f>
        <x:v>1372.1049972495236</x:v>
      </x:c>
      <x:c r="P287" s="22" t="n">
        <x:f>MIN(1,(D287-1)/19)</x:f>
        <x:v>1</x:v>
      </x:c>
      <x:c r="Q287" s="19" t="n">
        <x:f>INDEX('角色成长'!$F$6:$F$105,D287)+O287*'参数'!$K$21</x:f>
        <x:v>7811.499242161142</x:v>
      </x:c>
      <x:c r="R287" s="19" t="n">
        <x:f>INDEX('角色成长'!$I$6:$I$105,D287)+O287*'参数'!$K$21</x:f>
        <x:v>6719.499242161142</x:v>
      </x:c>
      <x:c r="S287" s="19" t="n">
        <x:f>INDEX('角色成长'!$L$6:$L$105,D287)+O287*'参数'!$K$21</x:f>
        <x:v>6095.499242161142</x:v>
      </x:c>
      <x:c r="T287" s="19" t="n">
        <x:f>(INDEX('角色成长'!$J$6:$J$105,D287)+O287*'参数'!$L$21)*(1+'参数'!$B$40*P287)</x:f>
        <x:v>89897.20403283337</x:v>
      </x:c>
      <x:c r="U287" s="19" t="n">
        <x:f>(INDEX('角色成长'!$K$6:$K$105,D287)+O287*'参数'!$M$21)*(1+'参数'!$B$41*P287)</x:f>
        <x:v>4873.202119705334</x:v>
      </x:c>
      <x:c r="V287" s="19" t="n">
        <x:f>(('参数'!$K$5*(((Q287*(1+'参数'!$B$39*P287))^2/((Q287*(1+'参数'!$B$39*P287))+'参数'!$B$22*(I287)))*(1+'参数'!$B$42*P287)/'参数'!$J$5+((Q287*'参数'!$B$43*(1+'参数'!$B$39*P287))^2/((Q287*'参数'!$B$43*(1+'参数'!$B$39*P287))+'参数'!$B$22*(I287)))/'参数'!$B$44))+(((R287*(1+'参数'!$B$39*P287))^2/((R287*(1+'参数'!$B$39*P287))+'参数'!$B$22*(I287)))*(1+'参数'!$B$42*P287)/'参数'!$J$6+((R287*'参数'!$B$45*(1+'参数'!$B$39*P287))^2/((R287*'参数'!$B$45*(1+'参数'!$B$39*P287))+'参数'!$B$22*(I287)))/'参数'!$B$46)+((S287*(1+'参数'!$B$39*P287))^2/((S287*(1+'参数'!$B$39*P287))+'参数'!$B$22*(I287)))*(1+'参数'!$B$42*P287)/'参数'!$J$7)*(1+'参数'!$B$37*('参数'!$B$38-1))*'参数'!$B$25</x:f>
        <x:v>52706.7138918444</x:v>
      </x:c>
      <x:c r="W287" s="19" t="n">
        <x:f>(('参数'!$K$5*(((Q287*(1+'参数'!$B$39*P287))^2/((Q287*(1+'参数'!$B$39*P287))+'参数'!$B$22*(M287)))*(1+'参数'!$B$42*P287)/'参数'!$J$5+((Q287*'参数'!$B$43*(1+'参数'!$B$39*P287))^2/((Q287*'参数'!$B$43*(1+'参数'!$B$39*P287))+'参数'!$B$22*(M287)))/'参数'!$B$44))+(((R287*(1+'参数'!$B$39*P287))^2/((R287*(1+'参数'!$B$39*P287))+'参数'!$B$22*(M287)))*(1+'参数'!$B$42*P287)/'参数'!$J$6+((R287*'参数'!$B$45*(1+'参数'!$B$39*P287))^2/((R287*'参数'!$B$45*(1+'参数'!$B$39*P287))+'参数'!$B$22*(M287)))/'参数'!$B$46)+((S287*(1+'参数'!$B$39*P287))^2/((S287*(1+'参数'!$B$39*P287))+'参数'!$B$22*(M287)))*(1+'参数'!$B$42*P287)/'参数'!$J$7)*(1+'参数'!$B$37*('参数'!$B$38-1))</x:f>
        <x:v>40600.131665990346</x:v>
      </x:c>
      <x:c r="X287" s="26" t="n">
        <x:f>('参数'!$B$26+'参数'!$B$27*(D287-1)/99)*'参数'!$K$28*AD287</x:f>
        <x:v>21.236363636363635</x:v>
      </x:c>
      <x:c r="Y287" s="26" t="n">
        <x:f>('参数'!$B$28+'参数'!$B$29*(D287-1)/99)*'参数'!$K$28*AD287*IF(AE287=1,'参数'!$B$51,1)</x:f>
        <x:v>58.78787878787878</x:v>
      </x:c>
      <x:c r="Z287" s="22" t="n">
        <x:f>MIN('参数'!$B$36,U287/(U287+'参数'!$B$35))</x:f>
        <x:v>0.5492044533599745</x:v>
      </x:c>
      <x:c r="AA287" s="19" t="n">
        <x:f>T287*'参数'!$B$30/('参数'!$B$32*'参数'!$B$33)/(1-Z287)*AC287</x:f>
        <x:v>5484.022921985576</x:v>
      </x:c>
      <x:c r="AB287" s="19" t="n">
        <x:f>T287*'参数'!$B$31/'参数'!$B$34/(1-Z287)*AC287</x:f>
        <x:v>10968.045843971151</x:v>
      </x:c>
      <x:c r="AC287" s="20" t="n">
        <x:f>'参数'!$L$28*1</x:f>
        <x:v>1.1</x:v>
      </x:c>
      <x:c r="AD287" s="20" t="n">
        <x:f>1</x:f>
        <x:v>1</x:v>
      </x:c>
      <x:c r="AE287" s="19" t="n">
        <x:f>IF(MOD(B287,12)=0,1,0)</x:f>
        <x:v>0</x:v>
      </x:c>
    </x:row>
    <x:row r="288" ht="22" customHeight="1">
      <x:c r="A288" s="18" t="str">
        <x:v>噩梦</x:v>
      </x:c>
      <x:c r="B288" s="18" t="n">
        <x:v>43</x:v>
      </x:c>
      <x:c r="C288" s="18" t="n">
        <x:f>ROUNDUP(B288/12,0)</x:f>
        <x:v>4</x:v>
      </x:c>
      <x:c r="D288" s="18" t="n">
        <x:f>ROUND(MAX('参数'!$G$28,E288)+(IF(C288&lt;10,INDEX('参数'!$G$36:$P$36,1,MIN(10,C288+1)),'参数'!$H$28)-MAX('参数'!$G$28,E288))*MOD(B288-1,12)/11,0)</x:f>
        <x:v>95</x:v>
      </x:c>
      <x:c r="E288" s="18" t="n">
        <x:f>INDEX('参数'!$G$36:$P$36,1,C288)</x:f>
        <x:v>95</x:v>
      </x:c>
      <x:c r="F288" s="15" t="n">
        <x:f>'参数'!$I$28</x:f>
        <x:v>1.16</x:v>
      </x:c>
      <x:c r="G288" s="18" t="n">
        <x:f>ROUND(V288*X288/'参数'!$B$56,0)</x:f>
        <x:v>243326</x:v>
      </x:c>
      <x:c r="H288" s="18" t="n">
        <x:f>ROUND((AA288+SQRT(AA288^2+4*AA288*'参数'!$B$22*U288))/2,0)</x:f>
        <x:v>9139</x:v>
      </x:c>
      <x:c r="I288" s="18" t="n">
        <x:f>ROUND(Q288*'参数'!$B$23/'参数'!$B$22,0)</x:f>
        <x:v>1562</x:v>
      </x:c>
      <x:c r="J288" s="18" t="n">
        <x:f>ROUND(G288*'参数'!$B$50,0)</x:f>
        <x:v>729978</x:v>
      </x:c>
      <x:c r="K288" s="18" t="n">
        <x:f>ROUND(W288*Y288,0)</x:f>
        <x:v>2386796</x:v>
      </x:c>
      <x:c r="L288" s="18" t="n">
        <x:f>ROUND((AB288+SQRT(AB288^2+4*AB288*'参数'!$B$22*U288))/2,0)</x:f>
        <x:v>15327</x:v>
      </x:c>
      <x:c r="M288" s="18" t="n">
        <x:f>ROUND(I288*'参数'!$B$24,0)</x:f>
        <x:v>1953</x:v>
      </x:c>
      <x:c r="N288" s="18" t="n">
        <x:f>'参数'!$B$9*'参数'!$B$10^(D288-1)</x:f>
        <x:v>9657.181031378484</x:v>
      </x:c>
      <x:c r="O288" s="18" t="n">
        <x:f>'参数'!$B$18*'参数'!$B$19^(MIN(E288,MAX(1,5*INT(D288/5)))-1)*F288*'参数'!$J$28*P288</x:f>
        <x:v>1372.1049972495236</x:v>
      </x:c>
      <x:c r="P288" s="21" t="n">
        <x:f>MIN(1,(D288-1)/19)</x:f>
        <x:v>1</x:v>
      </x:c>
      <x:c r="Q288" s="18" t="n">
        <x:f>INDEX('角色成长'!$F$6:$F$105,D288)+O288*'参数'!$K$21</x:f>
        <x:v>7811.499242161142</x:v>
      </x:c>
      <x:c r="R288" s="18" t="n">
        <x:f>INDEX('角色成长'!$I$6:$I$105,D288)+O288*'参数'!$K$21</x:f>
        <x:v>6719.499242161142</x:v>
      </x:c>
      <x:c r="S288" s="18" t="n">
        <x:f>INDEX('角色成长'!$L$6:$L$105,D288)+O288*'参数'!$K$21</x:f>
        <x:v>6095.499242161142</x:v>
      </x:c>
      <x:c r="T288" s="18" t="n">
        <x:f>(INDEX('角色成长'!$J$6:$J$105,D288)+O288*'参数'!$L$21)*(1+'参数'!$B$40*P288)</x:f>
        <x:v>89897.20403283337</x:v>
      </x:c>
      <x:c r="U288" s="18" t="n">
        <x:f>(INDEX('角色成长'!$K$6:$K$105,D288)+O288*'参数'!$M$21)*(1+'参数'!$B$41*P288)</x:f>
        <x:v>4873.202119705334</x:v>
      </x:c>
      <x:c r="V288" s="18" t="n">
        <x:f>(('参数'!$K$5*(((Q288*(1+'参数'!$B$39*P288))^2/((Q288*(1+'参数'!$B$39*P288))+'参数'!$B$22*(I288)))*(1+'参数'!$B$42*P288)/'参数'!$J$5+((Q288*'参数'!$B$43*(1+'参数'!$B$39*P288))^2/((Q288*'参数'!$B$43*(1+'参数'!$B$39*P288))+'参数'!$B$22*(I288)))/'参数'!$B$44))+(((R288*(1+'参数'!$B$39*P288))^2/((R288*(1+'参数'!$B$39*P288))+'参数'!$B$22*(I288)))*(1+'参数'!$B$42*P288)/'参数'!$J$6+((R288*'参数'!$B$45*(1+'参数'!$B$39*P288))^2/((R288*'参数'!$B$45*(1+'参数'!$B$39*P288))+'参数'!$B$22*(I288)))/'参数'!$B$46)+((S288*(1+'参数'!$B$39*P288))^2/((S288*(1+'参数'!$B$39*P288))+'参数'!$B$22*(I288)))*(1+'参数'!$B$42*P288)/'参数'!$J$7)*(1+'参数'!$B$37*('参数'!$B$38-1))*'参数'!$B$25</x:f>
        <x:v>52706.7138918444</x:v>
      </x:c>
      <x:c r="W288" s="18" t="n">
        <x:f>(('参数'!$K$5*(((Q288*(1+'参数'!$B$39*P288))^2/((Q288*(1+'参数'!$B$39*P288))+'参数'!$B$22*(M288)))*(1+'参数'!$B$42*P288)/'参数'!$J$5+((Q288*'参数'!$B$43*(1+'参数'!$B$39*P288))^2/((Q288*'参数'!$B$43*(1+'参数'!$B$39*P288))+'参数'!$B$22*(M288)))/'参数'!$B$44))+(((R288*(1+'参数'!$B$39*P288))^2/((R288*(1+'参数'!$B$39*P288))+'参数'!$B$22*(M288)))*(1+'参数'!$B$42*P288)/'参数'!$J$6+((R288*'参数'!$B$45*(1+'参数'!$B$39*P288))^2/((R288*'参数'!$B$45*(1+'参数'!$B$39*P288))+'参数'!$B$22*(M288)))/'参数'!$B$46)+((S288*(1+'参数'!$B$39*P288))^2/((S288*(1+'参数'!$B$39*P288))+'参数'!$B$22*(M288)))*(1+'参数'!$B$42*P288)/'参数'!$J$7)*(1+'参数'!$B$37*('参数'!$B$38-1))</x:f>
        <x:v>40600.131665990346</x:v>
      </x:c>
      <x:c r="X288" s="25" t="n">
        <x:f>('参数'!$B$26+'参数'!$B$27*(D288-1)/99)*'参数'!$K$28*AD288</x:f>
        <x:v>21.236363636363635</x:v>
      </x:c>
      <x:c r="Y288" s="25" t="n">
        <x:f>('参数'!$B$28+'参数'!$B$29*(D288-1)/99)*'参数'!$K$28*AD288*IF(AE288=1,'参数'!$B$51,1)</x:f>
        <x:v>58.78787878787878</x:v>
      </x:c>
      <x:c r="Z288" s="21" t="n">
        <x:f>MIN('参数'!$B$36,U288/(U288+'参数'!$B$35))</x:f>
        <x:v>0.5492044533599745</x:v>
      </x:c>
      <x:c r="AA288" s="18" t="n">
        <x:f>T288*'参数'!$B$30/('参数'!$B$32*'参数'!$B$33)/(1-Z288)*AC288</x:f>
        <x:v>5484.022921985576</x:v>
      </x:c>
      <x:c r="AB288" s="18" t="n">
        <x:f>T288*'参数'!$B$31/'参数'!$B$34/(1-Z288)*AC288</x:f>
        <x:v>10968.045843971151</x:v>
      </x:c>
      <x:c r="AC288" s="15" t="n">
        <x:f>'参数'!$L$28*1</x:f>
        <x:v>1.1</x:v>
      </x:c>
      <x:c r="AD288" s="15" t="n">
        <x:f>1</x:f>
        <x:v>1</x:v>
      </x:c>
      <x:c r="AE288" s="18" t="n">
        <x:f>IF(MOD(B288,12)=0,1,0)</x:f>
        <x:v>0</x:v>
      </x:c>
    </x:row>
    <x:row r="289" ht="22" customHeight="1">
      <x:c r="A289" s="19" t="str">
        <x:v>噩梦</x:v>
      </x:c>
      <x:c r="B289" s="19" t="n">
        <x:v>44</x:v>
      </x:c>
      <x:c r="C289" s="19" t="n">
        <x:f>ROUNDUP(B289/12,0)</x:f>
        <x:v>4</x:v>
      </x:c>
      <x:c r="D289" s="19" t="n">
        <x:f>ROUND(MAX('参数'!$G$28,E289)+(IF(C289&lt;10,INDEX('参数'!$G$36:$P$36,1,MIN(10,C289+1)),'参数'!$H$28)-MAX('参数'!$G$28,E289))*MOD(B289-1,12)/11,0)</x:f>
        <x:v>95</x:v>
      </x:c>
      <x:c r="E289" s="19" t="n">
        <x:f>INDEX('参数'!$G$36:$P$36,1,C289)</x:f>
        <x:v>95</x:v>
      </x:c>
      <x:c r="F289" s="20" t="n">
        <x:f>'参数'!$I$28</x:f>
        <x:v>1.16</x:v>
      </x:c>
      <x:c r="G289" s="19" t="n">
        <x:f>ROUND(V289*X289/'参数'!$B$56,0)</x:f>
        <x:v>243326</x:v>
      </x:c>
      <x:c r="H289" s="19" t="n">
        <x:f>ROUND((AA289+SQRT(AA289^2+4*AA289*'参数'!$B$22*U289))/2,0)</x:f>
        <x:v>9139</x:v>
      </x:c>
      <x:c r="I289" s="19" t="n">
        <x:f>ROUND(Q289*'参数'!$B$23/'参数'!$B$22,0)</x:f>
        <x:v>1562</x:v>
      </x:c>
      <x:c r="J289" s="19" t="n">
        <x:f>ROUND(G289*'参数'!$B$50,0)</x:f>
        <x:v>729978</x:v>
      </x:c>
      <x:c r="K289" s="19" t="n">
        <x:f>ROUND(W289*Y289,0)</x:f>
        <x:v>2386796</x:v>
      </x:c>
      <x:c r="L289" s="19" t="n">
        <x:f>ROUND((AB289+SQRT(AB289^2+4*AB289*'参数'!$B$22*U289))/2,0)</x:f>
        <x:v>15327</x:v>
      </x:c>
      <x:c r="M289" s="19" t="n">
        <x:f>ROUND(I289*'参数'!$B$24,0)</x:f>
        <x:v>1953</x:v>
      </x:c>
      <x:c r="N289" s="19" t="n">
        <x:f>'参数'!$B$9*'参数'!$B$10^(D289-1)</x:f>
        <x:v>9657.181031378484</x:v>
      </x:c>
      <x:c r="O289" s="19" t="n">
        <x:f>'参数'!$B$18*'参数'!$B$19^(MIN(E289,MAX(1,5*INT(D289/5)))-1)*F289*'参数'!$J$28*P289</x:f>
        <x:v>1372.1049972495236</x:v>
      </x:c>
      <x:c r="P289" s="22" t="n">
        <x:f>MIN(1,(D289-1)/19)</x:f>
        <x:v>1</x:v>
      </x:c>
      <x:c r="Q289" s="19" t="n">
        <x:f>INDEX('角色成长'!$F$6:$F$105,D289)+O289*'参数'!$K$21</x:f>
        <x:v>7811.499242161142</x:v>
      </x:c>
      <x:c r="R289" s="19" t="n">
        <x:f>INDEX('角色成长'!$I$6:$I$105,D289)+O289*'参数'!$K$21</x:f>
        <x:v>6719.499242161142</x:v>
      </x:c>
      <x:c r="S289" s="19" t="n">
        <x:f>INDEX('角色成长'!$L$6:$L$105,D289)+O289*'参数'!$K$21</x:f>
        <x:v>6095.499242161142</x:v>
      </x:c>
      <x:c r="T289" s="19" t="n">
        <x:f>(INDEX('角色成长'!$J$6:$J$105,D289)+O289*'参数'!$L$21)*(1+'参数'!$B$40*P289)</x:f>
        <x:v>89897.20403283337</x:v>
      </x:c>
      <x:c r="U289" s="19" t="n">
        <x:f>(INDEX('角色成长'!$K$6:$K$105,D289)+O289*'参数'!$M$21)*(1+'参数'!$B$41*P289)</x:f>
        <x:v>4873.202119705334</x:v>
      </x:c>
      <x:c r="V289" s="19" t="n">
        <x:f>(('参数'!$K$5*(((Q289*(1+'参数'!$B$39*P289))^2/((Q289*(1+'参数'!$B$39*P289))+'参数'!$B$22*(I289)))*(1+'参数'!$B$42*P289)/'参数'!$J$5+((Q289*'参数'!$B$43*(1+'参数'!$B$39*P289))^2/((Q289*'参数'!$B$43*(1+'参数'!$B$39*P289))+'参数'!$B$22*(I289)))/'参数'!$B$44))+(((R289*(1+'参数'!$B$39*P289))^2/((R289*(1+'参数'!$B$39*P289))+'参数'!$B$22*(I289)))*(1+'参数'!$B$42*P289)/'参数'!$J$6+((R289*'参数'!$B$45*(1+'参数'!$B$39*P289))^2/((R289*'参数'!$B$45*(1+'参数'!$B$39*P289))+'参数'!$B$22*(I289)))/'参数'!$B$46)+((S289*(1+'参数'!$B$39*P289))^2/((S289*(1+'参数'!$B$39*P289))+'参数'!$B$22*(I289)))*(1+'参数'!$B$42*P289)/'参数'!$J$7)*(1+'参数'!$B$37*('参数'!$B$38-1))*'参数'!$B$25</x:f>
        <x:v>52706.7138918444</x:v>
      </x:c>
      <x:c r="W289" s="19" t="n">
        <x:f>(('参数'!$K$5*(((Q289*(1+'参数'!$B$39*P289))^2/((Q289*(1+'参数'!$B$39*P289))+'参数'!$B$22*(M289)))*(1+'参数'!$B$42*P289)/'参数'!$J$5+((Q289*'参数'!$B$43*(1+'参数'!$B$39*P289))^2/((Q289*'参数'!$B$43*(1+'参数'!$B$39*P289))+'参数'!$B$22*(M289)))/'参数'!$B$44))+(((R289*(1+'参数'!$B$39*P289))^2/((R289*(1+'参数'!$B$39*P289))+'参数'!$B$22*(M289)))*(1+'参数'!$B$42*P289)/'参数'!$J$6+((R289*'参数'!$B$45*(1+'参数'!$B$39*P289))^2/((R289*'参数'!$B$45*(1+'参数'!$B$39*P289))+'参数'!$B$22*(M289)))/'参数'!$B$46)+((S289*(1+'参数'!$B$39*P289))^2/((S289*(1+'参数'!$B$39*P289))+'参数'!$B$22*(M289)))*(1+'参数'!$B$42*P289)/'参数'!$J$7)*(1+'参数'!$B$37*('参数'!$B$38-1))</x:f>
        <x:v>40600.131665990346</x:v>
      </x:c>
      <x:c r="X289" s="26" t="n">
        <x:f>('参数'!$B$26+'参数'!$B$27*(D289-1)/99)*'参数'!$K$28*AD289</x:f>
        <x:v>21.236363636363635</x:v>
      </x:c>
      <x:c r="Y289" s="26" t="n">
        <x:f>('参数'!$B$28+'参数'!$B$29*(D289-1)/99)*'参数'!$K$28*AD289*IF(AE289=1,'参数'!$B$51,1)</x:f>
        <x:v>58.78787878787878</x:v>
      </x:c>
      <x:c r="Z289" s="22" t="n">
        <x:f>MIN('参数'!$B$36,U289/(U289+'参数'!$B$35))</x:f>
        <x:v>0.5492044533599745</x:v>
      </x:c>
      <x:c r="AA289" s="19" t="n">
        <x:f>T289*'参数'!$B$30/('参数'!$B$32*'参数'!$B$33)/(1-Z289)*AC289</x:f>
        <x:v>5484.022921985576</x:v>
      </x:c>
      <x:c r="AB289" s="19" t="n">
        <x:f>T289*'参数'!$B$31/'参数'!$B$34/(1-Z289)*AC289</x:f>
        <x:v>10968.045843971151</x:v>
      </x:c>
      <x:c r="AC289" s="20" t="n">
        <x:f>'参数'!$L$28*1</x:f>
        <x:v>1.1</x:v>
      </x:c>
      <x:c r="AD289" s="20" t="n">
        <x:f>1</x:f>
        <x:v>1</x:v>
      </x:c>
      <x:c r="AE289" s="19" t="n">
        <x:f>IF(MOD(B289,12)=0,1,0)</x:f>
        <x:v>0</x:v>
      </x:c>
    </x:row>
    <x:row r="290" ht="22" customHeight="1">
      <x:c r="A290" s="18" t="str">
        <x:v>噩梦</x:v>
      </x:c>
      <x:c r="B290" s="18" t="n">
        <x:v>45</x:v>
      </x:c>
      <x:c r="C290" s="18" t="n">
        <x:f>ROUNDUP(B290/12,0)</x:f>
        <x:v>4</x:v>
      </x:c>
      <x:c r="D290" s="18" t="n">
        <x:f>ROUND(MAX('参数'!$G$28,E290)+(IF(C290&lt;10,INDEX('参数'!$G$36:$P$36,1,MIN(10,C290+1)),'参数'!$H$28)-MAX('参数'!$G$28,E290))*MOD(B290-1,12)/11,0)</x:f>
        <x:v>95</x:v>
      </x:c>
      <x:c r="E290" s="18" t="n">
        <x:f>INDEX('参数'!$G$36:$P$36,1,C290)</x:f>
        <x:v>95</x:v>
      </x:c>
      <x:c r="F290" s="15" t="n">
        <x:f>'参数'!$I$28</x:f>
        <x:v>1.16</x:v>
      </x:c>
      <x:c r="G290" s="18" t="n">
        <x:f>ROUND(V290*X290/'参数'!$B$56,0)</x:f>
        <x:v>243326</x:v>
      </x:c>
      <x:c r="H290" s="18" t="n">
        <x:f>ROUND((AA290+SQRT(AA290^2+4*AA290*'参数'!$B$22*U290))/2,0)</x:f>
        <x:v>9139</x:v>
      </x:c>
      <x:c r="I290" s="18" t="n">
        <x:f>ROUND(Q290*'参数'!$B$23/'参数'!$B$22,0)</x:f>
        <x:v>1562</x:v>
      </x:c>
      <x:c r="J290" s="18" t="n">
        <x:f>ROUND(G290*'参数'!$B$50,0)</x:f>
        <x:v>729978</x:v>
      </x:c>
      <x:c r="K290" s="18" t="n">
        <x:f>ROUND(W290*Y290,0)</x:f>
        <x:v>2386796</x:v>
      </x:c>
      <x:c r="L290" s="18" t="n">
        <x:f>ROUND((AB290+SQRT(AB290^2+4*AB290*'参数'!$B$22*U290))/2,0)</x:f>
        <x:v>15327</x:v>
      </x:c>
      <x:c r="M290" s="18" t="n">
        <x:f>ROUND(I290*'参数'!$B$24,0)</x:f>
        <x:v>1953</x:v>
      </x:c>
      <x:c r="N290" s="18" t="n">
        <x:f>'参数'!$B$9*'参数'!$B$10^(D290-1)</x:f>
        <x:v>9657.181031378484</x:v>
      </x:c>
      <x:c r="O290" s="18" t="n">
        <x:f>'参数'!$B$18*'参数'!$B$19^(MIN(E290,MAX(1,5*INT(D290/5)))-1)*F290*'参数'!$J$28*P290</x:f>
        <x:v>1372.1049972495236</x:v>
      </x:c>
      <x:c r="P290" s="21" t="n">
        <x:f>MIN(1,(D290-1)/19)</x:f>
        <x:v>1</x:v>
      </x:c>
      <x:c r="Q290" s="18" t="n">
        <x:f>INDEX('角色成长'!$F$6:$F$105,D290)+O290*'参数'!$K$21</x:f>
        <x:v>7811.499242161142</x:v>
      </x:c>
      <x:c r="R290" s="18" t="n">
        <x:f>INDEX('角色成长'!$I$6:$I$105,D290)+O290*'参数'!$K$21</x:f>
        <x:v>6719.499242161142</x:v>
      </x:c>
      <x:c r="S290" s="18" t="n">
        <x:f>INDEX('角色成长'!$L$6:$L$105,D290)+O290*'参数'!$K$21</x:f>
        <x:v>6095.499242161142</x:v>
      </x:c>
      <x:c r="T290" s="18" t="n">
        <x:f>(INDEX('角色成长'!$J$6:$J$105,D290)+O290*'参数'!$L$21)*(1+'参数'!$B$40*P290)</x:f>
        <x:v>89897.20403283337</x:v>
      </x:c>
      <x:c r="U290" s="18" t="n">
        <x:f>(INDEX('角色成长'!$K$6:$K$105,D290)+O290*'参数'!$M$21)*(1+'参数'!$B$41*P290)</x:f>
        <x:v>4873.202119705334</x:v>
      </x:c>
      <x:c r="V290" s="18" t="n">
        <x:f>(('参数'!$K$5*(((Q290*(1+'参数'!$B$39*P290))^2/((Q290*(1+'参数'!$B$39*P290))+'参数'!$B$22*(I290)))*(1+'参数'!$B$42*P290)/'参数'!$J$5+((Q290*'参数'!$B$43*(1+'参数'!$B$39*P290))^2/((Q290*'参数'!$B$43*(1+'参数'!$B$39*P290))+'参数'!$B$22*(I290)))/'参数'!$B$44))+(((R290*(1+'参数'!$B$39*P290))^2/((R290*(1+'参数'!$B$39*P290))+'参数'!$B$22*(I290)))*(1+'参数'!$B$42*P290)/'参数'!$J$6+((R290*'参数'!$B$45*(1+'参数'!$B$39*P290))^2/((R290*'参数'!$B$45*(1+'参数'!$B$39*P290))+'参数'!$B$22*(I290)))/'参数'!$B$46)+((S290*(1+'参数'!$B$39*P290))^2/((S290*(1+'参数'!$B$39*P290))+'参数'!$B$22*(I290)))*(1+'参数'!$B$42*P290)/'参数'!$J$7)*(1+'参数'!$B$37*('参数'!$B$38-1))*'参数'!$B$25</x:f>
        <x:v>52706.7138918444</x:v>
      </x:c>
      <x:c r="W290" s="18" t="n">
        <x:f>(('参数'!$K$5*(((Q290*(1+'参数'!$B$39*P290))^2/((Q290*(1+'参数'!$B$39*P290))+'参数'!$B$22*(M290)))*(1+'参数'!$B$42*P290)/'参数'!$J$5+((Q290*'参数'!$B$43*(1+'参数'!$B$39*P290))^2/((Q290*'参数'!$B$43*(1+'参数'!$B$39*P290))+'参数'!$B$22*(M290)))/'参数'!$B$44))+(((R290*(1+'参数'!$B$39*P290))^2/((R290*(1+'参数'!$B$39*P290))+'参数'!$B$22*(M290)))*(1+'参数'!$B$42*P290)/'参数'!$J$6+((R290*'参数'!$B$45*(1+'参数'!$B$39*P290))^2/((R290*'参数'!$B$45*(1+'参数'!$B$39*P290))+'参数'!$B$22*(M290)))/'参数'!$B$46)+((S290*(1+'参数'!$B$39*P290))^2/((S290*(1+'参数'!$B$39*P290))+'参数'!$B$22*(M290)))*(1+'参数'!$B$42*P290)/'参数'!$J$7)*(1+'参数'!$B$37*('参数'!$B$38-1))</x:f>
        <x:v>40600.131665990346</x:v>
      </x:c>
      <x:c r="X290" s="25" t="n">
        <x:f>('参数'!$B$26+'参数'!$B$27*(D290-1)/99)*'参数'!$K$28*AD290</x:f>
        <x:v>21.236363636363635</x:v>
      </x:c>
      <x:c r="Y290" s="25" t="n">
        <x:f>('参数'!$B$28+'参数'!$B$29*(D290-1)/99)*'参数'!$K$28*AD290*IF(AE290=1,'参数'!$B$51,1)</x:f>
        <x:v>58.78787878787878</x:v>
      </x:c>
      <x:c r="Z290" s="21" t="n">
        <x:f>MIN('参数'!$B$36,U290/(U290+'参数'!$B$35))</x:f>
        <x:v>0.5492044533599745</x:v>
      </x:c>
      <x:c r="AA290" s="18" t="n">
        <x:f>T290*'参数'!$B$30/('参数'!$B$32*'参数'!$B$33)/(1-Z290)*AC290</x:f>
        <x:v>5484.022921985576</x:v>
      </x:c>
      <x:c r="AB290" s="18" t="n">
        <x:f>T290*'参数'!$B$31/'参数'!$B$34/(1-Z290)*AC290</x:f>
        <x:v>10968.045843971151</x:v>
      </x:c>
      <x:c r="AC290" s="15" t="n">
        <x:f>'参数'!$L$28*1</x:f>
        <x:v>1.1</x:v>
      </x:c>
      <x:c r="AD290" s="15" t="n">
        <x:f>1</x:f>
        <x:v>1</x:v>
      </x:c>
      <x:c r="AE290" s="18" t="n">
        <x:f>IF(MOD(B290,12)=0,1,0)</x:f>
        <x:v>0</x:v>
      </x:c>
    </x:row>
    <x:row r="291" ht="22" customHeight="1">
      <x:c r="A291" s="19" t="str">
        <x:v>噩梦</x:v>
      </x:c>
      <x:c r="B291" s="19" t="n">
        <x:v>46</x:v>
      </x:c>
      <x:c r="C291" s="19" t="n">
        <x:f>ROUNDUP(B291/12,0)</x:f>
        <x:v>4</x:v>
      </x:c>
      <x:c r="D291" s="19" t="n">
        <x:f>ROUND(MAX('参数'!$G$28,E291)+(IF(C291&lt;10,INDEX('参数'!$G$36:$P$36,1,MIN(10,C291+1)),'参数'!$H$28)-MAX('参数'!$G$28,E291))*MOD(B291-1,12)/11,0)</x:f>
        <x:v>95</x:v>
      </x:c>
      <x:c r="E291" s="19" t="n">
        <x:f>INDEX('参数'!$G$36:$P$36,1,C291)</x:f>
        <x:v>95</x:v>
      </x:c>
      <x:c r="F291" s="20" t="n">
        <x:f>'参数'!$I$28</x:f>
        <x:v>1.16</x:v>
      </x:c>
      <x:c r="G291" s="19" t="n">
        <x:f>ROUND(V291*X291/'参数'!$B$56,0)</x:f>
        <x:v>243326</x:v>
      </x:c>
      <x:c r="H291" s="19" t="n">
        <x:f>ROUND((AA291+SQRT(AA291^2+4*AA291*'参数'!$B$22*U291))/2,0)</x:f>
        <x:v>9139</x:v>
      </x:c>
      <x:c r="I291" s="19" t="n">
        <x:f>ROUND(Q291*'参数'!$B$23/'参数'!$B$22,0)</x:f>
        <x:v>1562</x:v>
      </x:c>
      <x:c r="J291" s="19" t="n">
        <x:f>ROUND(G291*'参数'!$B$50,0)</x:f>
        <x:v>729978</x:v>
      </x:c>
      <x:c r="K291" s="19" t="n">
        <x:f>ROUND(W291*Y291,0)</x:f>
        <x:v>2386796</x:v>
      </x:c>
      <x:c r="L291" s="19" t="n">
        <x:f>ROUND((AB291+SQRT(AB291^2+4*AB291*'参数'!$B$22*U291))/2,0)</x:f>
        <x:v>15327</x:v>
      </x:c>
      <x:c r="M291" s="19" t="n">
        <x:f>ROUND(I291*'参数'!$B$24,0)</x:f>
        <x:v>1953</x:v>
      </x:c>
      <x:c r="N291" s="19" t="n">
        <x:f>'参数'!$B$9*'参数'!$B$10^(D291-1)</x:f>
        <x:v>9657.181031378484</x:v>
      </x:c>
      <x:c r="O291" s="19" t="n">
        <x:f>'参数'!$B$18*'参数'!$B$19^(MIN(E291,MAX(1,5*INT(D291/5)))-1)*F291*'参数'!$J$28*P291</x:f>
        <x:v>1372.1049972495236</x:v>
      </x:c>
      <x:c r="P291" s="22" t="n">
        <x:f>MIN(1,(D291-1)/19)</x:f>
        <x:v>1</x:v>
      </x:c>
      <x:c r="Q291" s="19" t="n">
        <x:f>INDEX('角色成长'!$F$6:$F$105,D291)+O291*'参数'!$K$21</x:f>
        <x:v>7811.499242161142</x:v>
      </x:c>
      <x:c r="R291" s="19" t="n">
        <x:f>INDEX('角色成长'!$I$6:$I$105,D291)+O291*'参数'!$K$21</x:f>
        <x:v>6719.499242161142</x:v>
      </x:c>
      <x:c r="S291" s="19" t="n">
        <x:f>INDEX('角色成长'!$L$6:$L$105,D291)+O291*'参数'!$K$21</x:f>
        <x:v>6095.499242161142</x:v>
      </x:c>
      <x:c r="T291" s="19" t="n">
        <x:f>(INDEX('角色成长'!$J$6:$J$105,D291)+O291*'参数'!$L$21)*(1+'参数'!$B$40*P291)</x:f>
        <x:v>89897.20403283337</x:v>
      </x:c>
      <x:c r="U291" s="19" t="n">
        <x:f>(INDEX('角色成长'!$K$6:$K$105,D291)+O291*'参数'!$M$21)*(1+'参数'!$B$41*P291)</x:f>
        <x:v>4873.202119705334</x:v>
      </x:c>
      <x:c r="V291" s="19" t="n">
        <x:f>(('参数'!$K$5*(((Q291*(1+'参数'!$B$39*P291))^2/((Q291*(1+'参数'!$B$39*P291))+'参数'!$B$22*(I291)))*(1+'参数'!$B$42*P291)/'参数'!$J$5+((Q291*'参数'!$B$43*(1+'参数'!$B$39*P291))^2/((Q291*'参数'!$B$43*(1+'参数'!$B$39*P291))+'参数'!$B$22*(I291)))/'参数'!$B$44))+(((R291*(1+'参数'!$B$39*P291))^2/((R291*(1+'参数'!$B$39*P291))+'参数'!$B$22*(I291)))*(1+'参数'!$B$42*P291)/'参数'!$J$6+((R291*'参数'!$B$45*(1+'参数'!$B$39*P291))^2/((R291*'参数'!$B$45*(1+'参数'!$B$39*P291))+'参数'!$B$22*(I291)))/'参数'!$B$46)+((S291*(1+'参数'!$B$39*P291))^2/((S291*(1+'参数'!$B$39*P291))+'参数'!$B$22*(I291)))*(1+'参数'!$B$42*P291)/'参数'!$J$7)*(1+'参数'!$B$37*('参数'!$B$38-1))*'参数'!$B$25</x:f>
        <x:v>52706.7138918444</x:v>
      </x:c>
      <x:c r="W291" s="19" t="n">
        <x:f>(('参数'!$K$5*(((Q291*(1+'参数'!$B$39*P291))^2/((Q291*(1+'参数'!$B$39*P291))+'参数'!$B$22*(M291)))*(1+'参数'!$B$42*P291)/'参数'!$J$5+((Q291*'参数'!$B$43*(1+'参数'!$B$39*P291))^2/((Q291*'参数'!$B$43*(1+'参数'!$B$39*P291))+'参数'!$B$22*(M291)))/'参数'!$B$44))+(((R291*(1+'参数'!$B$39*P291))^2/((R291*(1+'参数'!$B$39*P291))+'参数'!$B$22*(M291)))*(1+'参数'!$B$42*P291)/'参数'!$J$6+((R291*'参数'!$B$45*(1+'参数'!$B$39*P291))^2/((R291*'参数'!$B$45*(1+'参数'!$B$39*P291))+'参数'!$B$22*(M291)))/'参数'!$B$46)+((S291*(1+'参数'!$B$39*P291))^2/((S291*(1+'参数'!$B$39*P291))+'参数'!$B$22*(M291)))*(1+'参数'!$B$42*P291)/'参数'!$J$7)*(1+'参数'!$B$37*('参数'!$B$38-1))</x:f>
        <x:v>40600.131665990346</x:v>
      </x:c>
      <x:c r="X291" s="26" t="n">
        <x:f>('参数'!$B$26+'参数'!$B$27*(D291-1)/99)*'参数'!$K$28*AD291</x:f>
        <x:v>21.236363636363635</x:v>
      </x:c>
      <x:c r="Y291" s="26" t="n">
        <x:f>('参数'!$B$28+'参数'!$B$29*(D291-1)/99)*'参数'!$K$28*AD291*IF(AE291=1,'参数'!$B$51,1)</x:f>
        <x:v>58.78787878787878</x:v>
      </x:c>
      <x:c r="Z291" s="22" t="n">
        <x:f>MIN('参数'!$B$36,U291/(U291+'参数'!$B$35))</x:f>
        <x:v>0.5492044533599745</x:v>
      </x:c>
      <x:c r="AA291" s="19" t="n">
        <x:f>T291*'参数'!$B$30/('参数'!$B$32*'参数'!$B$33)/(1-Z291)*AC291</x:f>
        <x:v>5484.022921985576</x:v>
      </x:c>
      <x:c r="AB291" s="19" t="n">
        <x:f>T291*'参数'!$B$31/'参数'!$B$34/(1-Z291)*AC291</x:f>
        <x:v>10968.045843971151</x:v>
      </x:c>
      <x:c r="AC291" s="20" t="n">
        <x:f>'参数'!$L$28*1</x:f>
        <x:v>1.1</x:v>
      </x:c>
      <x:c r="AD291" s="20" t="n">
        <x:f>1</x:f>
        <x:v>1</x:v>
      </x:c>
      <x:c r="AE291" s="19" t="n">
        <x:f>IF(MOD(B291,12)=0,1,0)</x:f>
        <x:v>0</x:v>
      </x:c>
    </x:row>
    <x:row r="292" ht="22" customHeight="1">
      <x:c r="A292" s="18" t="str">
        <x:v>噩梦</x:v>
      </x:c>
      <x:c r="B292" s="18" t="n">
        <x:v>47</x:v>
      </x:c>
      <x:c r="C292" s="18" t="n">
        <x:f>ROUNDUP(B292/12,0)</x:f>
        <x:v>4</x:v>
      </x:c>
      <x:c r="D292" s="18" t="n">
        <x:f>ROUND(MAX('参数'!$G$28,E292)+(IF(C292&lt;10,INDEX('参数'!$G$36:$P$36,1,MIN(10,C292+1)),'参数'!$H$28)-MAX('参数'!$G$28,E292))*MOD(B292-1,12)/11,0)</x:f>
        <x:v>95</x:v>
      </x:c>
      <x:c r="E292" s="18" t="n">
        <x:f>INDEX('参数'!$G$36:$P$36,1,C292)</x:f>
        <x:v>95</x:v>
      </x:c>
      <x:c r="F292" s="15" t="n">
        <x:f>'参数'!$I$28</x:f>
        <x:v>1.16</x:v>
      </x:c>
      <x:c r="G292" s="18" t="n">
        <x:f>ROUND(V292*X292/'参数'!$B$56,0)</x:f>
        <x:v>243326</x:v>
      </x:c>
      <x:c r="H292" s="18" t="n">
        <x:f>ROUND((AA292+SQRT(AA292^2+4*AA292*'参数'!$B$22*U292))/2,0)</x:f>
        <x:v>9139</x:v>
      </x:c>
      <x:c r="I292" s="18" t="n">
        <x:f>ROUND(Q292*'参数'!$B$23/'参数'!$B$22,0)</x:f>
        <x:v>1562</x:v>
      </x:c>
      <x:c r="J292" s="18" t="n">
        <x:f>ROUND(G292*'参数'!$B$50,0)</x:f>
        <x:v>729978</x:v>
      </x:c>
      <x:c r="K292" s="18" t="n">
        <x:f>ROUND(W292*Y292,0)</x:f>
        <x:v>2386796</x:v>
      </x:c>
      <x:c r="L292" s="18" t="n">
        <x:f>ROUND((AB292+SQRT(AB292^2+4*AB292*'参数'!$B$22*U292))/2,0)</x:f>
        <x:v>15327</x:v>
      </x:c>
      <x:c r="M292" s="18" t="n">
        <x:f>ROUND(I292*'参数'!$B$24,0)</x:f>
        <x:v>1953</x:v>
      </x:c>
      <x:c r="N292" s="18" t="n">
        <x:f>'参数'!$B$9*'参数'!$B$10^(D292-1)</x:f>
        <x:v>9657.181031378484</x:v>
      </x:c>
      <x:c r="O292" s="18" t="n">
        <x:f>'参数'!$B$18*'参数'!$B$19^(MIN(E292,MAX(1,5*INT(D292/5)))-1)*F292*'参数'!$J$28*P292</x:f>
        <x:v>1372.1049972495236</x:v>
      </x:c>
      <x:c r="P292" s="21" t="n">
        <x:f>MIN(1,(D292-1)/19)</x:f>
        <x:v>1</x:v>
      </x:c>
      <x:c r="Q292" s="18" t="n">
        <x:f>INDEX('角色成长'!$F$6:$F$105,D292)+O292*'参数'!$K$21</x:f>
        <x:v>7811.499242161142</x:v>
      </x:c>
      <x:c r="R292" s="18" t="n">
        <x:f>INDEX('角色成长'!$I$6:$I$105,D292)+O292*'参数'!$K$21</x:f>
        <x:v>6719.499242161142</x:v>
      </x:c>
      <x:c r="S292" s="18" t="n">
        <x:f>INDEX('角色成长'!$L$6:$L$105,D292)+O292*'参数'!$K$21</x:f>
        <x:v>6095.499242161142</x:v>
      </x:c>
      <x:c r="T292" s="18" t="n">
        <x:f>(INDEX('角色成长'!$J$6:$J$105,D292)+O292*'参数'!$L$21)*(1+'参数'!$B$40*P292)</x:f>
        <x:v>89897.20403283337</x:v>
      </x:c>
      <x:c r="U292" s="18" t="n">
        <x:f>(INDEX('角色成长'!$K$6:$K$105,D292)+O292*'参数'!$M$21)*(1+'参数'!$B$41*P292)</x:f>
        <x:v>4873.202119705334</x:v>
      </x:c>
      <x:c r="V292" s="18" t="n">
        <x:f>(('参数'!$K$5*(((Q292*(1+'参数'!$B$39*P292))^2/((Q292*(1+'参数'!$B$39*P292))+'参数'!$B$22*(I292)))*(1+'参数'!$B$42*P292)/'参数'!$J$5+((Q292*'参数'!$B$43*(1+'参数'!$B$39*P292))^2/((Q292*'参数'!$B$43*(1+'参数'!$B$39*P292))+'参数'!$B$22*(I292)))/'参数'!$B$44))+(((R292*(1+'参数'!$B$39*P292))^2/((R292*(1+'参数'!$B$39*P292))+'参数'!$B$22*(I292)))*(1+'参数'!$B$42*P292)/'参数'!$J$6+((R292*'参数'!$B$45*(1+'参数'!$B$39*P292))^2/((R292*'参数'!$B$45*(1+'参数'!$B$39*P292))+'参数'!$B$22*(I292)))/'参数'!$B$46)+((S292*(1+'参数'!$B$39*P292))^2/((S292*(1+'参数'!$B$39*P292))+'参数'!$B$22*(I292)))*(1+'参数'!$B$42*P292)/'参数'!$J$7)*(1+'参数'!$B$37*('参数'!$B$38-1))*'参数'!$B$25</x:f>
        <x:v>52706.7138918444</x:v>
      </x:c>
      <x:c r="W292" s="18" t="n">
        <x:f>(('参数'!$K$5*(((Q292*(1+'参数'!$B$39*P292))^2/((Q292*(1+'参数'!$B$39*P292))+'参数'!$B$22*(M292)))*(1+'参数'!$B$42*P292)/'参数'!$J$5+((Q292*'参数'!$B$43*(1+'参数'!$B$39*P292))^2/((Q292*'参数'!$B$43*(1+'参数'!$B$39*P292))+'参数'!$B$22*(M292)))/'参数'!$B$44))+(((R292*(1+'参数'!$B$39*P292))^2/((R292*(1+'参数'!$B$39*P292))+'参数'!$B$22*(M292)))*(1+'参数'!$B$42*P292)/'参数'!$J$6+((R292*'参数'!$B$45*(1+'参数'!$B$39*P292))^2/((R292*'参数'!$B$45*(1+'参数'!$B$39*P292))+'参数'!$B$22*(M292)))/'参数'!$B$46)+((S292*(1+'参数'!$B$39*P292))^2/((S292*(1+'参数'!$B$39*P292))+'参数'!$B$22*(M292)))*(1+'参数'!$B$42*P292)/'参数'!$J$7)*(1+'参数'!$B$37*('参数'!$B$38-1))</x:f>
        <x:v>40600.131665990346</x:v>
      </x:c>
      <x:c r="X292" s="25" t="n">
        <x:f>('参数'!$B$26+'参数'!$B$27*(D292-1)/99)*'参数'!$K$28*AD292</x:f>
        <x:v>21.236363636363635</x:v>
      </x:c>
      <x:c r="Y292" s="25" t="n">
        <x:f>('参数'!$B$28+'参数'!$B$29*(D292-1)/99)*'参数'!$K$28*AD292*IF(AE292=1,'参数'!$B$51,1)</x:f>
        <x:v>58.78787878787878</x:v>
      </x:c>
      <x:c r="Z292" s="21" t="n">
        <x:f>MIN('参数'!$B$36,U292/(U292+'参数'!$B$35))</x:f>
        <x:v>0.5492044533599745</x:v>
      </x:c>
      <x:c r="AA292" s="18" t="n">
        <x:f>T292*'参数'!$B$30/('参数'!$B$32*'参数'!$B$33)/(1-Z292)*AC292</x:f>
        <x:v>5484.022921985576</x:v>
      </x:c>
      <x:c r="AB292" s="18" t="n">
        <x:f>T292*'参数'!$B$31/'参数'!$B$34/(1-Z292)*AC292</x:f>
        <x:v>10968.045843971151</x:v>
      </x:c>
      <x:c r="AC292" s="15" t="n">
        <x:f>'参数'!$L$28*1</x:f>
        <x:v>1.1</x:v>
      </x:c>
      <x:c r="AD292" s="15" t="n">
        <x:f>1</x:f>
        <x:v>1</x:v>
      </x:c>
      <x:c r="AE292" s="18" t="n">
        <x:f>IF(MOD(B292,12)=0,1,0)</x:f>
        <x:v>0</x:v>
      </x:c>
    </x:row>
    <x:row r="293" ht="22" customHeight="1">
      <x:c r="A293" s="19" t="str">
        <x:v>噩梦</x:v>
      </x:c>
      <x:c r="B293" s="19" t="n">
        <x:v>48</x:v>
      </x:c>
      <x:c r="C293" s="19" t="n">
        <x:f>ROUNDUP(B293/12,0)</x:f>
        <x:v>4</x:v>
      </x:c>
      <x:c r="D293" s="19" t="n">
        <x:f>ROUND(MAX('参数'!$G$28,E293)+(IF(C293&lt;10,INDEX('参数'!$G$36:$P$36,1,MIN(10,C293+1)),'参数'!$H$28)-MAX('参数'!$G$28,E293))*MOD(B293-1,12)/11,0)</x:f>
        <x:v>95</x:v>
      </x:c>
      <x:c r="E293" s="19" t="n">
        <x:f>INDEX('参数'!$G$36:$P$36,1,C293)</x:f>
        <x:v>95</x:v>
      </x:c>
      <x:c r="F293" s="20" t="n">
        <x:f>'参数'!$I$28</x:f>
        <x:v>1.16</x:v>
      </x:c>
      <x:c r="G293" s="19" t="n">
        <x:f>ROUND(V293*X293/'参数'!$B$56,0)</x:f>
        <x:v>243326</x:v>
      </x:c>
      <x:c r="H293" s="19" t="n">
        <x:f>ROUND((AA293+SQRT(AA293^2+4*AA293*'参数'!$B$22*U293))/2,0)</x:f>
        <x:v>9139</x:v>
      </x:c>
      <x:c r="I293" s="19" t="n">
        <x:f>ROUND(Q293*'参数'!$B$23/'参数'!$B$22,0)</x:f>
        <x:v>1562</x:v>
      </x:c>
      <x:c r="J293" s="19" t="n">
        <x:f>ROUND(G293*'参数'!$B$50,0)</x:f>
        <x:v>729978</x:v>
      </x:c>
      <x:c r="K293" s="19" t="n">
        <x:f>ROUND(W293*Y293,0)</x:f>
        <x:v>2744815</x:v>
      </x:c>
      <x:c r="L293" s="19" t="n">
        <x:f>ROUND((AB293+SQRT(AB293^2+4*AB293*'参数'!$B$22*U293))/2,0)</x:f>
        <x:v>15327</x:v>
      </x:c>
      <x:c r="M293" s="19" t="n">
        <x:f>ROUND(I293*'参数'!$B$24,0)</x:f>
        <x:v>1953</x:v>
      </x:c>
      <x:c r="N293" s="19" t="n">
        <x:f>'参数'!$B$9*'参数'!$B$10^(D293-1)</x:f>
        <x:v>9657.181031378484</x:v>
      </x:c>
      <x:c r="O293" s="19" t="n">
        <x:f>'参数'!$B$18*'参数'!$B$19^(MIN(E293,MAX(1,5*INT(D293/5)))-1)*F293*'参数'!$J$28*P293</x:f>
        <x:v>1372.1049972495236</x:v>
      </x:c>
      <x:c r="P293" s="22" t="n">
        <x:f>MIN(1,(D293-1)/19)</x:f>
        <x:v>1</x:v>
      </x:c>
      <x:c r="Q293" s="19" t="n">
        <x:f>INDEX('角色成长'!$F$6:$F$105,D293)+O293*'参数'!$K$21</x:f>
        <x:v>7811.499242161142</x:v>
      </x:c>
      <x:c r="R293" s="19" t="n">
        <x:f>INDEX('角色成长'!$I$6:$I$105,D293)+O293*'参数'!$K$21</x:f>
        <x:v>6719.499242161142</x:v>
      </x:c>
      <x:c r="S293" s="19" t="n">
        <x:f>INDEX('角色成长'!$L$6:$L$105,D293)+O293*'参数'!$K$21</x:f>
        <x:v>6095.499242161142</x:v>
      </x:c>
      <x:c r="T293" s="19" t="n">
        <x:f>(INDEX('角色成长'!$J$6:$J$105,D293)+O293*'参数'!$L$21)*(1+'参数'!$B$40*P293)</x:f>
        <x:v>89897.20403283337</x:v>
      </x:c>
      <x:c r="U293" s="19" t="n">
        <x:f>(INDEX('角色成长'!$K$6:$K$105,D293)+O293*'参数'!$M$21)*(1+'参数'!$B$41*P293)</x:f>
        <x:v>4873.202119705334</x:v>
      </x:c>
      <x:c r="V293" s="19" t="n">
        <x:f>(('参数'!$K$5*(((Q293*(1+'参数'!$B$39*P293))^2/((Q293*(1+'参数'!$B$39*P293))+'参数'!$B$22*(I293)))*(1+'参数'!$B$42*P293)/'参数'!$J$5+((Q293*'参数'!$B$43*(1+'参数'!$B$39*P293))^2/((Q293*'参数'!$B$43*(1+'参数'!$B$39*P293))+'参数'!$B$22*(I293)))/'参数'!$B$44))+(((R293*(1+'参数'!$B$39*P293))^2/((R293*(1+'参数'!$B$39*P293))+'参数'!$B$22*(I293)))*(1+'参数'!$B$42*P293)/'参数'!$J$6+((R293*'参数'!$B$45*(1+'参数'!$B$39*P293))^2/((R293*'参数'!$B$45*(1+'参数'!$B$39*P293))+'参数'!$B$22*(I293)))/'参数'!$B$46)+((S293*(1+'参数'!$B$39*P293))^2/((S293*(1+'参数'!$B$39*P293))+'参数'!$B$22*(I293)))*(1+'参数'!$B$42*P293)/'参数'!$J$7)*(1+'参数'!$B$37*('参数'!$B$38-1))*'参数'!$B$25</x:f>
        <x:v>52706.7138918444</x:v>
      </x:c>
      <x:c r="W293" s="19" t="n">
        <x:f>(('参数'!$K$5*(((Q293*(1+'参数'!$B$39*P293))^2/((Q293*(1+'参数'!$B$39*P293))+'参数'!$B$22*(M293)))*(1+'参数'!$B$42*P293)/'参数'!$J$5+((Q293*'参数'!$B$43*(1+'参数'!$B$39*P293))^2/((Q293*'参数'!$B$43*(1+'参数'!$B$39*P293))+'参数'!$B$22*(M293)))/'参数'!$B$44))+(((R293*(1+'参数'!$B$39*P293))^2/((R293*(1+'参数'!$B$39*P293))+'参数'!$B$22*(M293)))*(1+'参数'!$B$42*P293)/'参数'!$J$6+((R293*'参数'!$B$45*(1+'参数'!$B$39*P293))^2/((R293*'参数'!$B$45*(1+'参数'!$B$39*P293))+'参数'!$B$22*(M293)))/'参数'!$B$46)+((S293*(1+'参数'!$B$39*P293))^2/((S293*(1+'参数'!$B$39*P293))+'参数'!$B$22*(M293)))*(1+'参数'!$B$42*P293)/'参数'!$J$7)*(1+'参数'!$B$37*('参数'!$B$38-1))</x:f>
        <x:v>40600.131665990346</x:v>
      </x:c>
      <x:c r="X293" s="26" t="n">
        <x:f>('参数'!$B$26+'参数'!$B$27*(D293-1)/99)*'参数'!$K$28*AD293</x:f>
        <x:v>21.236363636363635</x:v>
      </x:c>
      <x:c r="Y293" s="26" t="n">
        <x:f>('参数'!$B$28+'参数'!$B$29*(D293-1)/99)*'参数'!$K$28*AD293*IF(AE293=1,'参数'!$B$51,1)</x:f>
        <x:v>67.6060606060606</x:v>
      </x:c>
      <x:c r="Z293" s="22" t="n">
        <x:f>MIN('参数'!$B$36,U293/(U293+'参数'!$B$35))</x:f>
        <x:v>0.5492044533599745</x:v>
      </x:c>
      <x:c r="AA293" s="19" t="n">
        <x:f>T293*'参数'!$B$30/('参数'!$B$32*'参数'!$B$33)/(1-Z293)*AC293</x:f>
        <x:v>5484.022921985576</x:v>
      </x:c>
      <x:c r="AB293" s="19" t="n">
        <x:f>T293*'参数'!$B$31/'参数'!$B$34/(1-Z293)*AC293</x:f>
        <x:v>10968.045843971151</x:v>
      </x:c>
      <x:c r="AC293" s="20" t="n">
        <x:f>'参数'!$L$28*1</x:f>
        <x:v>1.1</x:v>
      </x:c>
      <x:c r="AD293" s="20" t="n">
        <x:f>1</x:f>
        <x:v>1</x:v>
      </x:c>
      <x:c r="AE293" s="19" t="n">
        <x:f>IF(MOD(B293,12)=0,1,0)</x:f>
        <x:v>1</x:v>
      </x:c>
    </x:row>
    <x:row r="294" ht="22" customHeight="1">
      <x:c r="A294" s="18" t="str">
        <x:v>噩梦</x:v>
      </x:c>
      <x:c r="B294" s="18" t="n">
        <x:v>49</x:v>
      </x:c>
      <x:c r="C294" s="18" t="n">
        <x:f>ROUNDUP(B294/12,0)</x:f>
        <x:v>5</x:v>
      </x:c>
      <x:c r="D294" s="18" t="n">
        <x:f>ROUND(MAX('参数'!$G$28,E294)+(IF(C294&lt;10,INDEX('参数'!$G$36:$P$36,1,MIN(10,C294+1)),'参数'!$H$28)-MAX('参数'!$G$28,E294))*MOD(B294-1,12)/11,0)</x:f>
        <x:v>95</x:v>
      </x:c>
      <x:c r="E294" s="18" t="n">
        <x:f>INDEX('参数'!$G$36:$P$36,1,C294)</x:f>
        <x:v>95</x:v>
      </x:c>
      <x:c r="F294" s="15" t="n">
        <x:f>'参数'!$I$28</x:f>
        <x:v>1.16</x:v>
      </x:c>
      <x:c r="G294" s="18" t="n">
        <x:f>ROUND(V294*X294/'参数'!$B$56,0)</x:f>
        <x:v>243326</x:v>
      </x:c>
      <x:c r="H294" s="18" t="n">
        <x:f>ROUND((AA294+SQRT(AA294^2+4*AA294*'参数'!$B$22*U294))/2,0)</x:f>
        <x:v>9139</x:v>
      </x:c>
      <x:c r="I294" s="18" t="n">
        <x:f>ROUND(Q294*'参数'!$B$23/'参数'!$B$22,0)</x:f>
        <x:v>1562</x:v>
      </x:c>
      <x:c r="J294" s="18" t="n">
        <x:f>ROUND(G294*'参数'!$B$50,0)</x:f>
        <x:v>729978</x:v>
      </x:c>
      <x:c r="K294" s="18" t="n">
        <x:f>ROUND(W294*Y294,0)</x:f>
        <x:v>2386796</x:v>
      </x:c>
      <x:c r="L294" s="18" t="n">
        <x:f>ROUND((AB294+SQRT(AB294^2+4*AB294*'参数'!$B$22*U294))/2,0)</x:f>
        <x:v>15327</x:v>
      </x:c>
      <x:c r="M294" s="18" t="n">
        <x:f>ROUND(I294*'参数'!$B$24,0)</x:f>
        <x:v>1953</x:v>
      </x:c>
      <x:c r="N294" s="18" t="n">
        <x:f>'参数'!$B$9*'参数'!$B$10^(D294-1)</x:f>
        <x:v>9657.181031378484</x:v>
      </x:c>
      <x:c r="O294" s="18" t="n">
        <x:f>'参数'!$B$18*'参数'!$B$19^(MIN(E294,MAX(1,5*INT(D294/5)))-1)*F294*'参数'!$J$28*P294</x:f>
        <x:v>1372.1049972495236</x:v>
      </x:c>
      <x:c r="P294" s="21" t="n">
        <x:f>MIN(1,(D294-1)/19)</x:f>
        <x:v>1</x:v>
      </x:c>
      <x:c r="Q294" s="18" t="n">
        <x:f>INDEX('角色成长'!$F$6:$F$105,D294)+O294*'参数'!$K$21</x:f>
        <x:v>7811.499242161142</x:v>
      </x:c>
      <x:c r="R294" s="18" t="n">
        <x:f>INDEX('角色成长'!$I$6:$I$105,D294)+O294*'参数'!$K$21</x:f>
        <x:v>6719.499242161142</x:v>
      </x:c>
      <x:c r="S294" s="18" t="n">
        <x:f>INDEX('角色成长'!$L$6:$L$105,D294)+O294*'参数'!$K$21</x:f>
        <x:v>6095.499242161142</x:v>
      </x:c>
      <x:c r="T294" s="18" t="n">
        <x:f>(INDEX('角色成长'!$J$6:$J$105,D294)+O294*'参数'!$L$21)*(1+'参数'!$B$40*P294)</x:f>
        <x:v>89897.20403283337</x:v>
      </x:c>
      <x:c r="U294" s="18" t="n">
        <x:f>(INDEX('角色成长'!$K$6:$K$105,D294)+O294*'参数'!$M$21)*(1+'参数'!$B$41*P294)</x:f>
        <x:v>4873.202119705334</x:v>
      </x:c>
      <x:c r="V294" s="18" t="n">
        <x:f>(('参数'!$K$5*(((Q294*(1+'参数'!$B$39*P294))^2/((Q294*(1+'参数'!$B$39*P294))+'参数'!$B$22*(I294)))*(1+'参数'!$B$42*P294)/'参数'!$J$5+((Q294*'参数'!$B$43*(1+'参数'!$B$39*P294))^2/((Q294*'参数'!$B$43*(1+'参数'!$B$39*P294))+'参数'!$B$22*(I294)))/'参数'!$B$44))+(((R294*(1+'参数'!$B$39*P294))^2/((R294*(1+'参数'!$B$39*P294))+'参数'!$B$22*(I294)))*(1+'参数'!$B$42*P294)/'参数'!$J$6+((R294*'参数'!$B$45*(1+'参数'!$B$39*P294))^2/((R294*'参数'!$B$45*(1+'参数'!$B$39*P294))+'参数'!$B$22*(I294)))/'参数'!$B$46)+((S294*(1+'参数'!$B$39*P294))^2/((S294*(1+'参数'!$B$39*P294))+'参数'!$B$22*(I294)))*(1+'参数'!$B$42*P294)/'参数'!$J$7)*(1+'参数'!$B$37*('参数'!$B$38-1))*'参数'!$B$25</x:f>
        <x:v>52706.7138918444</x:v>
      </x:c>
      <x:c r="W294" s="18" t="n">
        <x:f>(('参数'!$K$5*(((Q294*(1+'参数'!$B$39*P294))^2/((Q294*(1+'参数'!$B$39*P294))+'参数'!$B$22*(M294)))*(1+'参数'!$B$42*P294)/'参数'!$J$5+((Q294*'参数'!$B$43*(1+'参数'!$B$39*P294))^2/((Q294*'参数'!$B$43*(1+'参数'!$B$39*P294))+'参数'!$B$22*(M294)))/'参数'!$B$44))+(((R294*(1+'参数'!$B$39*P294))^2/((R294*(1+'参数'!$B$39*P294))+'参数'!$B$22*(M294)))*(1+'参数'!$B$42*P294)/'参数'!$J$6+((R294*'参数'!$B$45*(1+'参数'!$B$39*P294))^2/((R294*'参数'!$B$45*(1+'参数'!$B$39*P294))+'参数'!$B$22*(M294)))/'参数'!$B$46)+((S294*(1+'参数'!$B$39*P294))^2/((S294*(1+'参数'!$B$39*P294))+'参数'!$B$22*(M294)))*(1+'参数'!$B$42*P294)/'参数'!$J$7)*(1+'参数'!$B$37*('参数'!$B$38-1))</x:f>
        <x:v>40600.131665990346</x:v>
      </x:c>
      <x:c r="X294" s="25" t="n">
        <x:f>('参数'!$B$26+'参数'!$B$27*(D294-1)/99)*'参数'!$K$28*AD294</x:f>
        <x:v>21.236363636363635</x:v>
      </x:c>
      <x:c r="Y294" s="25" t="n">
        <x:f>('参数'!$B$28+'参数'!$B$29*(D294-1)/99)*'参数'!$K$28*AD294*IF(AE294=1,'参数'!$B$51,1)</x:f>
        <x:v>58.78787878787878</x:v>
      </x:c>
      <x:c r="Z294" s="21" t="n">
        <x:f>MIN('参数'!$B$36,U294/(U294+'参数'!$B$35))</x:f>
        <x:v>0.5492044533599745</x:v>
      </x:c>
      <x:c r="AA294" s="18" t="n">
        <x:f>T294*'参数'!$B$30/('参数'!$B$32*'参数'!$B$33)/(1-Z294)*AC294</x:f>
        <x:v>5484.022921985576</x:v>
      </x:c>
      <x:c r="AB294" s="18" t="n">
        <x:f>T294*'参数'!$B$31/'参数'!$B$34/(1-Z294)*AC294</x:f>
        <x:v>10968.045843971151</x:v>
      </x:c>
      <x:c r="AC294" s="15" t="n">
        <x:f>'参数'!$L$28*1</x:f>
        <x:v>1.1</x:v>
      </x:c>
      <x:c r="AD294" s="15" t="n">
        <x:f>1</x:f>
        <x:v>1</x:v>
      </x:c>
      <x:c r="AE294" s="18" t="n">
        <x:f>IF(MOD(B294,12)=0,1,0)</x:f>
        <x:v>0</x:v>
      </x:c>
    </x:row>
    <x:row r="295" ht="22" customHeight="1">
      <x:c r="A295" s="19" t="str">
        <x:v>噩梦</x:v>
      </x:c>
      <x:c r="B295" s="19" t="n">
        <x:v>50</x:v>
      </x:c>
      <x:c r="C295" s="19" t="n">
        <x:f>ROUNDUP(B295/12,0)</x:f>
        <x:v>5</x:v>
      </x:c>
      <x:c r="D295" s="19" t="n">
        <x:f>ROUND(MAX('参数'!$G$28,E295)+(IF(C295&lt;10,INDEX('参数'!$G$36:$P$36,1,MIN(10,C295+1)),'参数'!$H$28)-MAX('参数'!$G$28,E295))*MOD(B295-1,12)/11,0)</x:f>
        <x:v>95</x:v>
      </x:c>
      <x:c r="E295" s="19" t="n">
        <x:f>INDEX('参数'!$G$36:$P$36,1,C295)</x:f>
        <x:v>95</x:v>
      </x:c>
      <x:c r="F295" s="20" t="n">
        <x:f>'参数'!$I$28</x:f>
        <x:v>1.16</x:v>
      </x:c>
      <x:c r="G295" s="19" t="n">
        <x:f>ROUND(V295*X295/'参数'!$B$56,0)</x:f>
        <x:v>243326</x:v>
      </x:c>
      <x:c r="H295" s="19" t="n">
        <x:f>ROUND((AA295+SQRT(AA295^2+4*AA295*'参数'!$B$22*U295))/2,0)</x:f>
        <x:v>9139</x:v>
      </x:c>
      <x:c r="I295" s="19" t="n">
        <x:f>ROUND(Q295*'参数'!$B$23/'参数'!$B$22,0)</x:f>
        <x:v>1562</x:v>
      </x:c>
      <x:c r="J295" s="19" t="n">
        <x:f>ROUND(G295*'参数'!$B$50,0)</x:f>
        <x:v>729978</x:v>
      </x:c>
      <x:c r="K295" s="19" t="n">
        <x:f>ROUND(W295*Y295,0)</x:f>
        <x:v>2386796</x:v>
      </x:c>
      <x:c r="L295" s="19" t="n">
        <x:f>ROUND((AB295+SQRT(AB295^2+4*AB295*'参数'!$B$22*U295))/2,0)</x:f>
        <x:v>15327</x:v>
      </x:c>
      <x:c r="M295" s="19" t="n">
        <x:f>ROUND(I295*'参数'!$B$24,0)</x:f>
        <x:v>1953</x:v>
      </x:c>
      <x:c r="N295" s="19" t="n">
        <x:f>'参数'!$B$9*'参数'!$B$10^(D295-1)</x:f>
        <x:v>9657.181031378484</x:v>
      </x:c>
      <x:c r="O295" s="19" t="n">
        <x:f>'参数'!$B$18*'参数'!$B$19^(MIN(E295,MAX(1,5*INT(D295/5)))-1)*F295*'参数'!$J$28*P295</x:f>
        <x:v>1372.1049972495236</x:v>
      </x:c>
      <x:c r="P295" s="22" t="n">
        <x:f>MIN(1,(D295-1)/19)</x:f>
        <x:v>1</x:v>
      </x:c>
      <x:c r="Q295" s="19" t="n">
        <x:f>INDEX('角色成长'!$F$6:$F$105,D295)+O295*'参数'!$K$21</x:f>
        <x:v>7811.499242161142</x:v>
      </x:c>
      <x:c r="R295" s="19" t="n">
        <x:f>INDEX('角色成长'!$I$6:$I$105,D295)+O295*'参数'!$K$21</x:f>
        <x:v>6719.499242161142</x:v>
      </x:c>
      <x:c r="S295" s="19" t="n">
        <x:f>INDEX('角色成长'!$L$6:$L$105,D295)+O295*'参数'!$K$21</x:f>
        <x:v>6095.499242161142</x:v>
      </x:c>
      <x:c r="T295" s="19" t="n">
        <x:f>(INDEX('角色成长'!$J$6:$J$105,D295)+O295*'参数'!$L$21)*(1+'参数'!$B$40*P295)</x:f>
        <x:v>89897.20403283337</x:v>
      </x:c>
      <x:c r="U295" s="19" t="n">
        <x:f>(INDEX('角色成长'!$K$6:$K$105,D295)+O295*'参数'!$M$21)*(1+'参数'!$B$41*P295)</x:f>
        <x:v>4873.202119705334</x:v>
      </x:c>
      <x:c r="V295" s="19" t="n">
        <x:f>(('参数'!$K$5*(((Q295*(1+'参数'!$B$39*P295))^2/((Q295*(1+'参数'!$B$39*P295))+'参数'!$B$22*(I295)))*(1+'参数'!$B$42*P295)/'参数'!$J$5+((Q295*'参数'!$B$43*(1+'参数'!$B$39*P295))^2/((Q295*'参数'!$B$43*(1+'参数'!$B$39*P295))+'参数'!$B$22*(I295)))/'参数'!$B$44))+(((R295*(1+'参数'!$B$39*P295))^2/((R295*(1+'参数'!$B$39*P295))+'参数'!$B$22*(I295)))*(1+'参数'!$B$42*P295)/'参数'!$J$6+((R295*'参数'!$B$45*(1+'参数'!$B$39*P295))^2/((R295*'参数'!$B$45*(1+'参数'!$B$39*P295))+'参数'!$B$22*(I295)))/'参数'!$B$46)+((S295*(1+'参数'!$B$39*P295))^2/((S295*(1+'参数'!$B$39*P295))+'参数'!$B$22*(I295)))*(1+'参数'!$B$42*P295)/'参数'!$J$7)*(1+'参数'!$B$37*('参数'!$B$38-1))*'参数'!$B$25</x:f>
        <x:v>52706.7138918444</x:v>
      </x:c>
      <x:c r="W295" s="19" t="n">
        <x:f>(('参数'!$K$5*(((Q295*(1+'参数'!$B$39*P295))^2/((Q295*(1+'参数'!$B$39*P295))+'参数'!$B$22*(M295)))*(1+'参数'!$B$42*P295)/'参数'!$J$5+((Q295*'参数'!$B$43*(1+'参数'!$B$39*P295))^2/((Q295*'参数'!$B$43*(1+'参数'!$B$39*P295))+'参数'!$B$22*(M295)))/'参数'!$B$44))+(((R295*(1+'参数'!$B$39*P295))^2/((R295*(1+'参数'!$B$39*P295))+'参数'!$B$22*(M295)))*(1+'参数'!$B$42*P295)/'参数'!$J$6+((R295*'参数'!$B$45*(1+'参数'!$B$39*P295))^2/((R295*'参数'!$B$45*(1+'参数'!$B$39*P295))+'参数'!$B$22*(M295)))/'参数'!$B$46)+((S295*(1+'参数'!$B$39*P295))^2/((S295*(1+'参数'!$B$39*P295))+'参数'!$B$22*(M295)))*(1+'参数'!$B$42*P295)/'参数'!$J$7)*(1+'参数'!$B$37*('参数'!$B$38-1))</x:f>
        <x:v>40600.131665990346</x:v>
      </x:c>
      <x:c r="X295" s="26" t="n">
        <x:f>('参数'!$B$26+'参数'!$B$27*(D295-1)/99)*'参数'!$K$28*AD295</x:f>
        <x:v>21.236363636363635</x:v>
      </x:c>
      <x:c r="Y295" s="26" t="n">
        <x:f>('参数'!$B$28+'参数'!$B$29*(D295-1)/99)*'参数'!$K$28*AD295*IF(AE295=1,'参数'!$B$51,1)</x:f>
        <x:v>58.78787878787878</x:v>
      </x:c>
      <x:c r="Z295" s="22" t="n">
        <x:f>MIN('参数'!$B$36,U295/(U295+'参数'!$B$35))</x:f>
        <x:v>0.5492044533599745</x:v>
      </x:c>
      <x:c r="AA295" s="19" t="n">
        <x:f>T295*'参数'!$B$30/('参数'!$B$32*'参数'!$B$33)/(1-Z295)*AC295</x:f>
        <x:v>5484.022921985576</x:v>
      </x:c>
      <x:c r="AB295" s="19" t="n">
        <x:f>T295*'参数'!$B$31/'参数'!$B$34/(1-Z295)*AC295</x:f>
        <x:v>10968.045843971151</x:v>
      </x:c>
      <x:c r="AC295" s="20" t="n">
        <x:f>'参数'!$L$28*1</x:f>
        <x:v>1.1</x:v>
      </x:c>
      <x:c r="AD295" s="20" t="n">
        <x:f>1</x:f>
        <x:v>1</x:v>
      </x:c>
      <x:c r="AE295" s="19" t="n">
        <x:f>IF(MOD(B295,12)=0,1,0)</x:f>
        <x:v>0</x:v>
      </x:c>
    </x:row>
    <x:row r="296" ht="22" customHeight="1">
      <x:c r="A296" s="18" t="str">
        <x:v>噩梦</x:v>
      </x:c>
      <x:c r="B296" s="18" t="n">
        <x:v>51</x:v>
      </x:c>
      <x:c r="C296" s="18" t="n">
        <x:f>ROUNDUP(B296/12,0)</x:f>
        <x:v>5</x:v>
      </x:c>
      <x:c r="D296" s="18" t="n">
        <x:f>ROUND(MAX('参数'!$G$28,E296)+(IF(C296&lt;10,INDEX('参数'!$G$36:$P$36,1,MIN(10,C296+1)),'参数'!$H$28)-MAX('参数'!$G$28,E296))*MOD(B296-1,12)/11,0)</x:f>
        <x:v>95</x:v>
      </x:c>
      <x:c r="E296" s="18" t="n">
        <x:f>INDEX('参数'!$G$36:$P$36,1,C296)</x:f>
        <x:v>95</x:v>
      </x:c>
      <x:c r="F296" s="15" t="n">
        <x:f>'参数'!$I$28</x:f>
        <x:v>1.16</x:v>
      </x:c>
      <x:c r="G296" s="18" t="n">
        <x:f>ROUND(V296*X296/'参数'!$B$56,0)</x:f>
        <x:v>243326</x:v>
      </x:c>
      <x:c r="H296" s="18" t="n">
        <x:f>ROUND((AA296+SQRT(AA296^2+4*AA296*'参数'!$B$22*U296))/2,0)</x:f>
        <x:v>9139</x:v>
      </x:c>
      <x:c r="I296" s="18" t="n">
        <x:f>ROUND(Q296*'参数'!$B$23/'参数'!$B$22,0)</x:f>
        <x:v>1562</x:v>
      </x:c>
      <x:c r="J296" s="18" t="n">
        <x:f>ROUND(G296*'参数'!$B$50,0)</x:f>
        <x:v>729978</x:v>
      </x:c>
      <x:c r="K296" s="18" t="n">
        <x:f>ROUND(W296*Y296,0)</x:f>
        <x:v>2386796</x:v>
      </x:c>
      <x:c r="L296" s="18" t="n">
        <x:f>ROUND((AB296+SQRT(AB296^2+4*AB296*'参数'!$B$22*U296))/2,0)</x:f>
        <x:v>15327</x:v>
      </x:c>
      <x:c r="M296" s="18" t="n">
        <x:f>ROUND(I296*'参数'!$B$24,0)</x:f>
        <x:v>1953</x:v>
      </x:c>
      <x:c r="N296" s="18" t="n">
        <x:f>'参数'!$B$9*'参数'!$B$10^(D296-1)</x:f>
        <x:v>9657.181031378484</x:v>
      </x:c>
      <x:c r="O296" s="18" t="n">
        <x:f>'参数'!$B$18*'参数'!$B$19^(MIN(E296,MAX(1,5*INT(D296/5)))-1)*F296*'参数'!$J$28*P296</x:f>
        <x:v>1372.1049972495236</x:v>
      </x:c>
      <x:c r="P296" s="21" t="n">
        <x:f>MIN(1,(D296-1)/19)</x:f>
        <x:v>1</x:v>
      </x:c>
      <x:c r="Q296" s="18" t="n">
        <x:f>INDEX('角色成长'!$F$6:$F$105,D296)+O296*'参数'!$K$21</x:f>
        <x:v>7811.499242161142</x:v>
      </x:c>
      <x:c r="R296" s="18" t="n">
        <x:f>INDEX('角色成长'!$I$6:$I$105,D296)+O296*'参数'!$K$21</x:f>
        <x:v>6719.499242161142</x:v>
      </x:c>
      <x:c r="S296" s="18" t="n">
        <x:f>INDEX('角色成长'!$L$6:$L$105,D296)+O296*'参数'!$K$21</x:f>
        <x:v>6095.499242161142</x:v>
      </x:c>
      <x:c r="T296" s="18" t="n">
        <x:f>(INDEX('角色成长'!$J$6:$J$105,D296)+O296*'参数'!$L$21)*(1+'参数'!$B$40*P296)</x:f>
        <x:v>89897.20403283337</x:v>
      </x:c>
      <x:c r="U296" s="18" t="n">
        <x:f>(INDEX('角色成长'!$K$6:$K$105,D296)+O296*'参数'!$M$21)*(1+'参数'!$B$41*P296)</x:f>
        <x:v>4873.202119705334</x:v>
      </x:c>
      <x:c r="V296" s="18" t="n">
        <x:f>(('参数'!$K$5*(((Q296*(1+'参数'!$B$39*P296))^2/((Q296*(1+'参数'!$B$39*P296))+'参数'!$B$22*(I296)))*(1+'参数'!$B$42*P296)/'参数'!$J$5+((Q296*'参数'!$B$43*(1+'参数'!$B$39*P296))^2/((Q296*'参数'!$B$43*(1+'参数'!$B$39*P296))+'参数'!$B$22*(I296)))/'参数'!$B$44))+(((R296*(1+'参数'!$B$39*P296))^2/((R296*(1+'参数'!$B$39*P296))+'参数'!$B$22*(I296)))*(1+'参数'!$B$42*P296)/'参数'!$J$6+((R296*'参数'!$B$45*(1+'参数'!$B$39*P296))^2/((R296*'参数'!$B$45*(1+'参数'!$B$39*P296))+'参数'!$B$22*(I296)))/'参数'!$B$46)+((S296*(1+'参数'!$B$39*P296))^2/((S296*(1+'参数'!$B$39*P296))+'参数'!$B$22*(I296)))*(1+'参数'!$B$42*P296)/'参数'!$J$7)*(1+'参数'!$B$37*('参数'!$B$38-1))*'参数'!$B$25</x:f>
        <x:v>52706.7138918444</x:v>
      </x:c>
      <x:c r="W296" s="18" t="n">
        <x:f>(('参数'!$K$5*(((Q296*(1+'参数'!$B$39*P296))^2/((Q296*(1+'参数'!$B$39*P296))+'参数'!$B$22*(M296)))*(1+'参数'!$B$42*P296)/'参数'!$J$5+((Q296*'参数'!$B$43*(1+'参数'!$B$39*P296))^2/((Q296*'参数'!$B$43*(1+'参数'!$B$39*P296))+'参数'!$B$22*(M296)))/'参数'!$B$44))+(((R296*(1+'参数'!$B$39*P296))^2/((R296*(1+'参数'!$B$39*P296))+'参数'!$B$22*(M296)))*(1+'参数'!$B$42*P296)/'参数'!$J$6+((R296*'参数'!$B$45*(1+'参数'!$B$39*P296))^2/((R296*'参数'!$B$45*(1+'参数'!$B$39*P296))+'参数'!$B$22*(M296)))/'参数'!$B$46)+((S296*(1+'参数'!$B$39*P296))^2/((S296*(1+'参数'!$B$39*P296))+'参数'!$B$22*(M296)))*(1+'参数'!$B$42*P296)/'参数'!$J$7)*(1+'参数'!$B$37*('参数'!$B$38-1))</x:f>
        <x:v>40600.131665990346</x:v>
      </x:c>
      <x:c r="X296" s="25" t="n">
        <x:f>('参数'!$B$26+'参数'!$B$27*(D296-1)/99)*'参数'!$K$28*AD296</x:f>
        <x:v>21.236363636363635</x:v>
      </x:c>
      <x:c r="Y296" s="25" t="n">
        <x:f>('参数'!$B$28+'参数'!$B$29*(D296-1)/99)*'参数'!$K$28*AD296*IF(AE296=1,'参数'!$B$51,1)</x:f>
        <x:v>58.78787878787878</x:v>
      </x:c>
      <x:c r="Z296" s="21" t="n">
        <x:f>MIN('参数'!$B$36,U296/(U296+'参数'!$B$35))</x:f>
        <x:v>0.5492044533599745</x:v>
      </x:c>
      <x:c r="AA296" s="18" t="n">
        <x:f>T296*'参数'!$B$30/('参数'!$B$32*'参数'!$B$33)/(1-Z296)*AC296</x:f>
        <x:v>5484.022921985576</x:v>
      </x:c>
      <x:c r="AB296" s="18" t="n">
        <x:f>T296*'参数'!$B$31/'参数'!$B$34/(1-Z296)*AC296</x:f>
        <x:v>10968.045843971151</x:v>
      </x:c>
      <x:c r="AC296" s="15" t="n">
        <x:f>'参数'!$L$28*1</x:f>
        <x:v>1.1</x:v>
      </x:c>
      <x:c r="AD296" s="15" t="n">
        <x:f>1</x:f>
        <x:v>1</x:v>
      </x:c>
      <x:c r="AE296" s="18" t="n">
        <x:f>IF(MOD(B296,12)=0,1,0)</x:f>
        <x:v>0</x:v>
      </x:c>
    </x:row>
    <x:row r="297" ht="22" customHeight="1">
      <x:c r="A297" s="19" t="str">
        <x:v>噩梦</x:v>
      </x:c>
      <x:c r="B297" s="19" t="n">
        <x:v>52</x:v>
      </x:c>
      <x:c r="C297" s="19" t="n">
        <x:f>ROUNDUP(B297/12,0)</x:f>
        <x:v>5</x:v>
      </x:c>
      <x:c r="D297" s="19" t="n">
        <x:f>ROUND(MAX('参数'!$G$28,E297)+(IF(C297&lt;10,INDEX('参数'!$G$36:$P$36,1,MIN(10,C297+1)),'参数'!$H$28)-MAX('参数'!$G$28,E297))*MOD(B297-1,12)/11,0)</x:f>
        <x:v>95</x:v>
      </x:c>
      <x:c r="E297" s="19" t="n">
        <x:f>INDEX('参数'!$G$36:$P$36,1,C297)</x:f>
        <x:v>95</x:v>
      </x:c>
      <x:c r="F297" s="20" t="n">
        <x:f>'参数'!$I$28</x:f>
        <x:v>1.16</x:v>
      </x:c>
      <x:c r="G297" s="19" t="n">
        <x:f>ROUND(V297*X297/'参数'!$B$56,0)</x:f>
        <x:v>243326</x:v>
      </x:c>
      <x:c r="H297" s="19" t="n">
        <x:f>ROUND((AA297+SQRT(AA297^2+4*AA297*'参数'!$B$22*U297))/2,0)</x:f>
        <x:v>9139</x:v>
      </x:c>
      <x:c r="I297" s="19" t="n">
        <x:f>ROUND(Q297*'参数'!$B$23/'参数'!$B$22,0)</x:f>
        <x:v>1562</x:v>
      </x:c>
      <x:c r="J297" s="19" t="n">
        <x:f>ROUND(G297*'参数'!$B$50,0)</x:f>
        <x:v>729978</x:v>
      </x:c>
      <x:c r="K297" s="19" t="n">
        <x:f>ROUND(W297*Y297,0)</x:f>
        <x:v>2386796</x:v>
      </x:c>
      <x:c r="L297" s="19" t="n">
        <x:f>ROUND((AB297+SQRT(AB297^2+4*AB297*'参数'!$B$22*U297))/2,0)</x:f>
        <x:v>15327</x:v>
      </x:c>
      <x:c r="M297" s="19" t="n">
        <x:f>ROUND(I297*'参数'!$B$24,0)</x:f>
        <x:v>1953</x:v>
      </x:c>
      <x:c r="N297" s="19" t="n">
        <x:f>'参数'!$B$9*'参数'!$B$10^(D297-1)</x:f>
        <x:v>9657.181031378484</x:v>
      </x:c>
      <x:c r="O297" s="19" t="n">
        <x:f>'参数'!$B$18*'参数'!$B$19^(MIN(E297,MAX(1,5*INT(D297/5)))-1)*F297*'参数'!$J$28*P297</x:f>
        <x:v>1372.1049972495236</x:v>
      </x:c>
      <x:c r="P297" s="22" t="n">
        <x:f>MIN(1,(D297-1)/19)</x:f>
        <x:v>1</x:v>
      </x:c>
      <x:c r="Q297" s="19" t="n">
        <x:f>INDEX('角色成长'!$F$6:$F$105,D297)+O297*'参数'!$K$21</x:f>
        <x:v>7811.499242161142</x:v>
      </x:c>
      <x:c r="R297" s="19" t="n">
        <x:f>INDEX('角色成长'!$I$6:$I$105,D297)+O297*'参数'!$K$21</x:f>
        <x:v>6719.499242161142</x:v>
      </x:c>
      <x:c r="S297" s="19" t="n">
        <x:f>INDEX('角色成长'!$L$6:$L$105,D297)+O297*'参数'!$K$21</x:f>
        <x:v>6095.499242161142</x:v>
      </x:c>
      <x:c r="T297" s="19" t="n">
        <x:f>(INDEX('角色成长'!$J$6:$J$105,D297)+O297*'参数'!$L$21)*(1+'参数'!$B$40*P297)</x:f>
        <x:v>89897.20403283337</x:v>
      </x:c>
      <x:c r="U297" s="19" t="n">
        <x:f>(INDEX('角色成长'!$K$6:$K$105,D297)+O297*'参数'!$M$21)*(1+'参数'!$B$41*P297)</x:f>
        <x:v>4873.202119705334</x:v>
      </x:c>
      <x:c r="V297" s="19" t="n">
        <x:f>(('参数'!$K$5*(((Q297*(1+'参数'!$B$39*P297))^2/((Q297*(1+'参数'!$B$39*P297))+'参数'!$B$22*(I297)))*(1+'参数'!$B$42*P297)/'参数'!$J$5+((Q297*'参数'!$B$43*(1+'参数'!$B$39*P297))^2/((Q297*'参数'!$B$43*(1+'参数'!$B$39*P297))+'参数'!$B$22*(I297)))/'参数'!$B$44))+(((R297*(1+'参数'!$B$39*P297))^2/((R297*(1+'参数'!$B$39*P297))+'参数'!$B$22*(I297)))*(1+'参数'!$B$42*P297)/'参数'!$J$6+((R297*'参数'!$B$45*(1+'参数'!$B$39*P297))^2/((R297*'参数'!$B$45*(1+'参数'!$B$39*P297))+'参数'!$B$22*(I297)))/'参数'!$B$46)+((S297*(1+'参数'!$B$39*P297))^2/((S297*(1+'参数'!$B$39*P297))+'参数'!$B$22*(I297)))*(1+'参数'!$B$42*P297)/'参数'!$J$7)*(1+'参数'!$B$37*('参数'!$B$38-1))*'参数'!$B$25</x:f>
        <x:v>52706.7138918444</x:v>
      </x:c>
      <x:c r="W297" s="19" t="n">
        <x:f>(('参数'!$K$5*(((Q297*(1+'参数'!$B$39*P297))^2/((Q297*(1+'参数'!$B$39*P297))+'参数'!$B$22*(M297)))*(1+'参数'!$B$42*P297)/'参数'!$J$5+((Q297*'参数'!$B$43*(1+'参数'!$B$39*P297))^2/((Q297*'参数'!$B$43*(1+'参数'!$B$39*P297))+'参数'!$B$22*(M297)))/'参数'!$B$44))+(((R297*(1+'参数'!$B$39*P297))^2/((R297*(1+'参数'!$B$39*P297))+'参数'!$B$22*(M297)))*(1+'参数'!$B$42*P297)/'参数'!$J$6+((R297*'参数'!$B$45*(1+'参数'!$B$39*P297))^2/((R297*'参数'!$B$45*(1+'参数'!$B$39*P297))+'参数'!$B$22*(M297)))/'参数'!$B$46)+((S297*(1+'参数'!$B$39*P297))^2/((S297*(1+'参数'!$B$39*P297))+'参数'!$B$22*(M297)))*(1+'参数'!$B$42*P297)/'参数'!$J$7)*(1+'参数'!$B$37*('参数'!$B$38-1))</x:f>
        <x:v>40600.131665990346</x:v>
      </x:c>
      <x:c r="X297" s="26" t="n">
        <x:f>('参数'!$B$26+'参数'!$B$27*(D297-1)/99)*'参数'!$K$28*AD297</x:f>
        <x:v>21.236363636363635</x:v>
      </x:c>
      <x:c r="Y297" s="26" t="n">
        <x:f>('参数'!$B$28+'参数'!$B$29*(D297-1)/99)*'参数'!$K$28*AD297*IF(AE297=1,'参数'!$B$51,1)</x:f>
        <x:v>58.78787878787878</x:v>
      </x:c>
      <x:c r="Z297" s="22" t="n">
        <x:f>MIN('参数'!$B$36,U297/(U297+'参数'!$B$35))</x:f>
        <x:v>0.5492044533599745</x:v>
      </x:c>
      <x:c r="AA297" s="19" t="n">
        <x:f>T297*'参数'!$B$30/('参数'!$B$32*'参数'!$B$33)/(1-Z297)*AC297</x:f>
        <x:v>5484.022921985576</x:v>
      </x:c>
      <x:c r="AB297" s="19" t="n">
        <x:f>T297*'参数'!$B$31/'参数'!$B$34/(1-Z297)*AC297</x:f>
        <x:v>10968.045843971151</x:v>
      </x:c>
      <x:c r="AC297" s="20" t="n">
        <x:f>'参数'!$L$28*1</x:f>
        <x:v>1.1</x:v>
      </x:c>
      <x:c r="AD297" s="20" t="n">
        <x:f>1</x:f>
        <x:v>1</x:v>
      </x:c>
      <x:c r="AE297" s="19" t="n">
        <x:f>IF(MOD(B297,12)=0,1,0)</x:f>
        <x:v>0</x:v>
      </x:c>
    </x:row>
    <x:row r="298" ht="22" customHeight="1">
      <x:c r="A298" s="18" t="str">
        <x:v>噩梦</x:v>
      </x:c>
      <x:c r="B298" s="18" t="n">
        <x:v>53</x:v>
      </x:c>
      <x:c r="C298" s="18" t="n">
        <x:f>ROUNDUP(B298/12,0)</x:f>
        <x:v>5</x:v>
      </x:c>
      <x:c r="D298" s="18" t="n">
        <x:f>ROUND(MAX('参数'!$G$28,E298)+(IF(C298&lt;10,INDEX('参数'!$G$36:$P$36,1,MIN(10,C298+1)),'参数'!$H$28)-MAX('参数'!$G$28,E298))*MOD(B298-1,12)/11,0)</x:f>
        <x:v>95</x:v>
      </x:c>
      <x:c r="E298" s="18" t="n">
        <x:f>INDEX('参数'!$G$36:$P$36,1,C298)</x:f>
        <x:v>95</x:v>
      </x:c>
      <x:c r="F298" s="15" t="n">
        <x:f>'参数'!$I$28</x:f>
        <x:v>1.16</x:v>
      </x:c>
      <x:c r="G298" s="18" t="n">
        <x:f>ROUND(V298*X298/'参数'!$B$56,0)</x:f>
        <x:v>243326</x:v>
      </x:c>
      <x:c r="H298" s="18" t="n">
        <x:f>ROUND((AA298+SQRT(AA298^2+4*AA298*'参数'!$B$22*U298))/2,0)</x:f>
        <x:v>9139</x:v>
      </x:c>
      <x:c r="I298" s="18" t="n">
        <x:f>ROUND(Q298*'参数'!$B$23/'参数'!$B$22,0)</x:f>
        <x:v>1562</x:v>
      </x:c>
      <x:c r="J298" s="18" t="n">
        <x:f>ROUND(G298*'参数'!$B$50,0)</x:f>
        <x:v>729978</x:v>
      </x:c>
      <x:c r="K298" s="18" t="n">
        <x:f>ROUND(W298*Y298,0)</x:f>
        <x:v>2386796</x:v>
      </x:c>
      <x:c r="L298" s="18" t="n">
        <x:f>ROUND((AB298+SQRT(AB298^2+4*AB298*'参数'!$B$22*U298))/2,0)</x:f>
        <x:v>15327</x:v>
      </x:c>
      <x:c r="M298" s="18" t="n">
        <x:f>ROUND(I298*'参数'!$B$24,0)</x:f>
        <x:v>1953</x:v>
      </x:c>
      <x:c r="N298" s="18" t="n">
        <x:f>'参数'!$B$9*'参数'!$B$10^(D298-1)</x:f>
        <x:v>9657.181031378484</x:v>
      </x:c>
      <x:c r="O298" s="18" t="n">
        <x:f>'参数'!$B$18*'参数'!$B$19^(MIN(E298,MAX(1,5*INT(D298/5)))-1)*F298*'参数'!$J$28*P298</x:f>
        <x:v>1372.1049972495236</x:v>
      </x:c>
      <x:c r="P298" s="21" t="n">
        <x:f>MIN(1,(D298-1)/19)</x:f>
        <x:v>1</x:v>
      </x:c>
      <x:c r="Q298" s="18" t="n">
        <x:f>INDEX('角色成长'!$F$6:$F$105,D298)+O298*'参数'!$K$21</x:f>
        <x:v>7811.499242161142</x:v>
      </x:c>
      <x:c r="R298" s="18" t="n">
        <x:f>INDEX('角色成长'!$I$6:$I$105,D298)+O298*'参数'!$K$21</x:f>
        <x:v>6719.499242161142</x:v>
      </x:c>
      <x:c r="S298" s="18" t="n">
        <x:f>INDEX('角色成长'!$L$6:$L$105,D298)+O298*'参数'!$K$21</x:f>
        <x:v>6095.499242161142</x:v>
      </x:c>
      <x:c r="T298" s="18" t="n">
        <x:f>(INDEX('角色成长'!$J$6:$J$105,D298)+O298*'参数'!$L$21)*(1+'参数'!$B$40*P298)</x:f>
        <x:v>89897.20403283337</x:v>
      </x:c>
      <x:c r="U298" s="18" t="n">
        <x:f>(INDEX('角色成长'!$K$6:$K$105,D298)+O298*'参数'!$M$21)*(1+'参数'!$B$41*P298)</x:f>
        <x:v>4873.202119705334</x:v>
      </x:c>
      <x:c r="V298" s="18" t="n">
        <x:f>(('参数'!$K$5*(((Q298*(1+'参数'!$B$39*P298))^2/((Q298*(1+'参数'!$B$39*P298))+'参数'!$B$22*(I298)))*(1+'参数'!$B$42*P298)/'参数'!$J$5+((Q298*'参数'!$B$43*(1+'参数'!$B$39*P298))^2/((Q298*'参数'!$B$43*(1+'参数'!$B$39*P298))+'参数'!$B$22*(I298)))/'参数'!$B$44))+(((R298*(1+'参数'!$B$39*P298))^2/((R298*(1+'参数'!$B$39*P298))+'参数'!$B$22*(I298)))*(1+'参数'!$B$42*P298)/'参数'!$J$6+((R298*'参数'!$B$45*(1+'参数'!$B$39*P298))^2/((R298*'参数'!$B$45*(1+'参数'!$B$39*P298))+'参数'!$B$22*(I298)))/'参数'!$B$46)+((S298*(1+'参数'!$B$39*P298))^2/((S298*(1+'参数'!$B$39*P298))+'参数'!$B$22*(I298)))*(1+'参数'!$B$42*P298)/'参数'!$J$7)*(1+'参数'!$B$37*('参数'!$B$38-1))*'参数'!$B$25</x:f>
        <x:v>52706.7138918444</x:v>
      </x:c>
      <x:c r="W298" s="18" t="n">
        <x:f>(('参数'!$K$5*(((Q298*(1+'参数'!$B$39*P298))^2/((Q298*(1+'参数'!$B$39*P298))+'参数'!$B$22*(M298)))*(1+'参数'!$B$42*P298)/'参数'!$J$5+((Q298*'参数'!$B$43*(1+'参数'!$B$39*P298))^2/((Q298*'参数'!$B$43*(1+'参数'!$B$39*P298))+'参数'!$B$22*(M298)))/'参数'!$B$44))+(((R298*(1+'参数'!$B$39*P298))^2/((R298*(1+'参数'!$B$39*P298))+'参数'!$B$22*(M298)))*(1+'参数'!$B$42*P298)/'参数'!$J$6+((R298*'参数'!$B$45*(1+'参数'!$B$39*P298))^2/((R298*'参数'!$B$45*(1+'参数'!$B$39*P298))+'参数'!$B$22*(M298)))/'参数'!$B$46)+((S298*(1+'参数'!$B$39*P298))^2/((S298*(1+'参数'!$B$39*P298))+'参数'!$B$22*(M298)))*(1+'参数'!$B$42*P298)/'参数'!$J$7)*(1+'参数'!$B$37*('参数'!$B$38-1))</x:f>
        <x:v>40600.131665990346</x:v>
      </x:c>
      <x:c r="X298" s="25" t="n">
        <x:f>('参数'!$B$26+'参数'!$B$27*(D298-1)/99)*'参数'!$K$28*AD298</x:f>
        <x:v>21.236363636363635</x:v>
      </x:c>
      <x:c r="Y298" s="25" t="n">
        <x:f>('参数'!$B$28+'参数'!$B$29*(D298-1)/99)*'参数'!$K$28*AD298*IF(AE298=1,'参数'!$B$51,1)</x:f>
        <x:v>58.78787878787878</x:v>
      </x:c>
      <x:c r="Z298" s="21" t="n">
        <x:f>MIN('参数'!$B$36,U298/(U298+'参数'!$B$35))</x:f>
        <x:v>0.5492044533599745</x:v>
      </x:c>
      <x:c r="AA298" s="18" t="n">
        <x:f>T298*'参数'!$B$30/('参数'!$B$32*'参数'!$B$33)/(1-Z298)*AC298</x:f>
        <x:v>5484.022921985576</x:v>
      </x:c>
      <x:c r="AB298" s="18" t="n">
        <x:f>T298*'参数'!$B$31/'参数'!$B$34/(1-Z298)*AC298</x:f>
        <x:v>10968.045843971151</x:v>
      </x:c>
      <x:c r="AC298" s="15" t="n">
        <x:f>'参数'!$L$28*1</x:f>
        <x:v>1.1</x:v>
      </x:c>
      <x:c r="AD298" s="15" t="n">
        <x:f>1</x:f>
        <x:v>1</x:v>
      </x:c>
      <x:c r="AE298" s="18" t="n">
        <x:f>IF(MOD(B298,12)=0,1,0)</x:f>
        <x:v>0</x:v>
      </x:c>
    </x:row>
    <x:row r="299" ht="22" customHeight="1">
      <x:c r="A299" s="19" t="str">
        <x:v>噩梦</x:v>
      </x:c>
      <x:c r="B299" s="19" t="n">
        <x:v>54</x:v>
      </x:c>
      <x:c r="C299" s="19" t="n">
        <x:f>ROUNDUP(B299/12,0)</x:f>
        <x:v>5</x:v>
      </x:c>
      <x:c r="D299" s="19" t="n">
        <x:f>ROUND(MAX('参数'!$G$28,E299)+(IF(C299&lt;10,INDEX('参数'!$G$36:$P$36,1,MIN(10,C299+1)),'参数'!$H$28)-MAX('参数'!$G$28,E299))*MOD(B299-1,12)/11,0)</x:f>
        <x:v>95</x:v>
      </x:c>
      <x:c r="E299" s="19" t="n">
        <x:f>INDEX('参数'!$G$36:$P$36,1,C299)</x:f>
        <x:v>95</x:v>
      </x:c>
      <x:c r="F299" s="20" t="n">
        <x:f>'参数'!$I$28</x:f>
        <x:v>1.16</x:v>
      </x:c>
      <x:c r="G299" s="19" t="n">
        <x:f>ROUND(V299*X299/'参数'!$B$56,0)</x:f>
        <x:v>243326</x:v>
      </x:c>
      <x:c r="H299" s="19" t="n">
        <x:f>ROUND((AA299+SQRT(AA299^2+4*AA299*'参数'!$B$22*U299))/2,0)</x:f>
        <x:v>9139</x:v>
      </x:c>
      <x:c r="I299" s="19" t="n">
        <x:f>ROUND(Q299*'参数'!$B$23/'参数'!$B$22,0)</x:f>
        <x:v>1562</x:v>
      </x:c>
      <x:c r="J299" s="19" t="n">
        <x:f>ROUND(G299*'参数'!$B$50,0)</x:f>
        <x:v>729978</x:v>
      </x:c>
      <x:c r="K299" s="19" t="n">
        <x:f>ROUND(W299*Y299,0)</x:f>
        <x:v>2386796</x:v>
      </x:c>
      <x:c r="L299" s="19" t="n">
        <x:f>ROUND((AB299+SQRT(AB299^2+4*AB299*'参数'!$B$22*U299))/2,0)</x:f>
        <x:v>15327</x:v>
      </x:c>
      <x:c r="M299" s="19" t="n">
        <x:f>ROUND(I299*'参数'!$B$24,0)</x:f>
        <x:v>1953</x:v>
      </x:c>
      <x:c r="N299" s="19" t="n">
        <x:f>'参数'!$B$9*'参数'!$B$10^(D299-1)</x:f>
        <x:v>9657.181031378484</x:v>
      </x:c>
      <x:c r="O299" s="19" t="n">
        <x:f>'参数'!$B$18*'参数'!$B$19^(MIN(E299,MAX(1,5*INT(D299/5)))-1)*F299*'参数'!$J$28*P299</x:f>
        <x:v>1372.1049972495236</x:v>
      </x:c>
      <x:c r="P299" s="22" t="n">
        <x:f>MIN(1,(D299-1)/19)</x:f>
        <x:v>1</x:v>
      </x:c>
      <x:c r="Q299" s="19" t="n">
        <x:f>INDEX('角色成长'!$F$6:$F$105,D299)+O299*'参数'!$K$21</x:f>
        <x:v>7811.499242161142</x:v>
      </x:c>
      <x:c r="R299" s="19" t="n">
        <x:f>INDEX('角色成长'!$I$6:$I$105,D299)+O299*'参数'!$K$21</x:f>
        <x:v>6719.499242161142</x:v>
      </x:c>
      <x:c r="S299" s="19" t="n">
        <x:f>INDEX('角色成长'!$L$6:$L$105,D299)+O299*'参数'!$K$21</x:f>
        <x:v>6095.499242161142</x:v>
      </x:c>
      <x:c r="T299" s="19" t="n">
        <x:f>(INDEX('角色成长'!$J$6:$J$105,D299)+O299*'参数'!$L$21)*(1+'参数'!$B$40*P299)</x:f>
        <x:v>89897.20403283337</x:v>
      </x:c>
      <x:c r="U299" s="19" t="n">
        <x:f>(INDEX('角色成长'!$K$6:$K$105,D299)+O299*'参数'!$M$21)*(1+'参数'!$B$41*P299)</x:f>
        <x:v>4873.202119705334</x:v>
      </x:c>
      <x:c r="V299" s="19" t="n">
        <x:f>(('参数'!$K$5*(((Q299*(1+'参数'!$B$39*P299))^2/((Q299*(1+'参数'!$B$39*P299))+'参数'!$B$22*(I299)))*(1+'参数'!$B$42*P299)/'参数'!$J$5+((Q299*'参数'!$B$43*(1+'参数'!$B$39*P299))^2/((Q299*'参数'!$B$43*(1+'参数'!$B$39*P299))+'参数'!$B$22*(I299)))/'参数'!$B$44))+(((R299*(1+'参数'!$B$39*P299))^2/((R299*(1+'参数'!$B$39*P299))+'参数'!$B$22*(I299)))*(1+'参数'!$B$42*P299)/'参数'!$J$6+((R299*'参数'!$B$45*(1+'参数'!$B$39*P299))^2/((R299*'参数'!$B$45*(1+'参数'!$B$39*P299))+'参数'!$B$22*(I299)))/'参数'!$B$46)+((S299*(1+'参数'!$B$39*P299))^2/((S299*(1+'参数'!$B$39*P299))+'参数'!$B$22*(I299)))*(1+'参数'!$B$42*P299)/'参数'!$J$7)*(1+'参数'!$B$37*('参数'!$B$38-1))*'参数'!$B$25</x:f>
        <x:v>52706.7138918444</x:v>
      </x:c>
      <x:c r="W299" s="19" t="n">
        <x:f>(('参数'!$K$5*(((Q299*(1+'参数'!$B$39*P299))^2/((Q299*(1+'参数'!$B$39*P299))+'参数'!$B$22*(M299)))*(1+'参数'!$B$42*P299)/'参数'!$J$5+((Q299*'参数'!$B$43*(1+'参数'!$B$39*P299))^2/((Q299*'参数'!$B$43*(1+'参数'!$B$39*P299))+'参数'!$B$22*(M299)))/'参数'!$B$44))+(((R299*(1+'参数'!$B$39*P299))^2/((R299*(1+'参数'!$B$39*P299))+'参数'!$B$22*(M299)))*(1+'参数'!$B$42*P299)/'参数'!$J$6+((R299*'参数'!$B$45*(1+'参数'!$B$39*P299))^2/((R299*'参数'!$B$45*(1+'参数'!$B$39*P299))+'参数'!$B$22*(M299)))/'参数'!$B$46)+((S299*(1+'参数'!$B$39*P299))^2/((S299*(1+'参数'!$B$39*P299))+'参数'!$B$22*(M299)))*(1+'参数'!$B$42*P299)/'参数'!$J$7)*(1+'参数'!$B$37*('参数'!$B$38-1))</x:f>
        <x:v>40600.131665990346</x:v>
      </x:c>
      <x:c r="X299" s="26" t="n">
        <x:f>('参数'!$B$26+'参数'!$B$27*(D299-1)/99)*'参数'!$K$28*AD299</x:f>
        <x:v>21.236363636363635</x:v>
      </x:c>
      <x:c r="Y299" s="26" t="n">
        <x:f>('参数'!$B$28+'参数'!$B$29*(D299-1)/99)*'参数'!$K$28*AD299*IF(AE299=1,'参数'!$B$51,1)</x:f>
        <x:v>58.78787878787878</x:v>
      </x:c>
      <x:c r="Z299" s="22" t="n">
        <x:f>MIN('参数'!$B$36,U299/(U299+'参数'!$B$35))</x:f>
        <x:v>0.5492044533599745</x:v>
      </x:c>
      <x:c r="AA299" s="19" t="n">
        <x:f>T299*'参数'!$B$30/('参数'!$B$32*'参数'!$B$33)/(1-Z299)*AC299</x:f>
        <x:v>5484.022921985576</x:v>
      </x:c>
      <x:c r="AB299" s="19" t="n">
        <x:f>T299*'参数'!$B$31/'参数'!$B$34/(1-Z299)*AC299</x:f>
        <x:v>10968.045843971151</x:v>
      </x:c>
      <x:c r="AC299" s="20" t="n">
        <x:f>'参数'!$L$28*1</x:f>
        <x:v>1.1</x:v>
      </x:c>
      <x:c r="AD299" s="20" t="n">
        <x:f>1</x:f>
        <x:v>1</x:v>
      </x:c>
      <x:c r="AE299" s="19" t="n">
        <x:f>IF(MOD(B299,12)=0,1,0)</x:f>
        <x:v>0</x:v>
      </x:c>
    </x:row>
    <x:row r="300" ht="22" customHeight="1">
      <x:c r="A300" s="18" t="str">
        <x:v>噩梦</x:v>
      </x:c>
      <x:c r="B300" s="18" t="n">
        <x:v>55</x:v>
      </x:c>
      <x:c r="C300" s="18" t="n">
        <x:f>ROUNDUP(B300/12,0)</x:f>
        <x:v>5</x:v>
      </x:c>
      <x:c r="D300" s="18" t="n">
        <x:f>ROUND(MAX('参数'!$G$28,E300)+(IF(C300&lt;10,INDEX('参数'!$G$36:$P$36,1,MIN(10,C300+1)),'参数'!$H$28)-MAX('参数'!$G$28,E300))*MOD(B300-1,12)/11,0)</x:f>
        <x:v>95</x:v>
      </x:c>
      <x:c r="E300" s="18" t="n">
        <x:f>INDEX('参数'!$G$36:$P$36,1,C300)</x:f>
        <x:v>95</x:v>
      </x:c>
      <x:c r="F300" s="15" t="n">
        <x:f>'参数'!$I$28</x:f>
        <x:v>1.16</x:v>
      </x:c>
      <x:c r="G300" s="18" t="n">
        <x:f>ROUND(V300*X300/'参数'!$B$56,0)</x:f>
        <x:v>243326</x:v>
      </x:c>
      <x:c r="H300" s="18" t="n">
        <x:f>ROUND((AA300+SQRT(AA300^2+4*AA300*'参数'!$B$22*U300))/2,0)</x:f>
        <x:v>9139</x:v>
      </x:c>
      <x:c r="I300" s="18" t="n">
        <x:f>ROUND(Q300*'参数'!$B$23/'参数'!$B$22,0)</x:f>
        <x:v>1562</x:v>
      </x:c>
      <x:c r="J300" s="18" t="n">
        <x:f>ROUND(G300*'参数'!$B$50,0)</x:f>
        <x:v>729978</x:v>
      </x:c>
      <x:c r="K300" s="18" t="n">
        <x:f>ROUND(W300*Y300,0)</x:f>
        <x:v>2386796</x:v>
      </x:c>
      <x:c r="L300" s="18" t="n">
        <x:f>ROUND((AB300+SQRT(AB300^2+4*AB300*'参数'!$B$22*U300))/2,0)</x:f>
        <x:v>15327</x:v>
      </x:c>
      <x:c r="M300" s="18" t="n">
        <x:f>ROUND(I300*'参数'!$B$24,0)</x:f>
        <x:v>1953</x:v>
      </x:c>
      <x:c r="N300" s="18" t="n">
        <x:f>'参数'!$B$9*'参数'!$B$10^(D300-1)</x:f>
        <x:v>9657.181031378484</x:v>
      </x:c>
      <x:c r="O300" s="18" t="n">
        <x:f>'参数'!$B$18*'参数'!$B$19^(MIN(E300,MAX(1,5*INT(D300/5)))-1)*F300*'参数'!$J$28*P300</x:f>
        <x:v>1372.1049972495236</x:v>
      </x:c>
      <x:c r="P300" s="21" t="n">
        <x:f>MIN(1,(D300-1)/19)</x:f>
        <x:v>1</x:v>
      </x:c>
      <x:c r="Q300" s="18" t="n">
        <x:f>INDEX('角色成长'!$F$6:$F$105,D300)+O300*'参数'!$K$21</x:f>
        <x:v>7811.499242161142</x:v>
      </x:c>
      <x:c r="R300" s="18" t="n">
        <x:f>INDEX('角色成长'!$I$6:$I$105,D300)+O300*'参数'!$K$21</x:f>
        <x:v>6719.499242161142</x:v>
      </x:c>
      <x:c r="S300" s="18" t="n">
        <x:f>INDEX('角色成长'!$L$6:$L$105,D300)+O300*'参数'!$K$21</x:f>
        <x:v>6095.499242161142</x:v>
      </x:c>
      <x:c r="T300" s="18" t="n">
        <x:f>(INDEX('角色成长'!$J$6:$J$105,D300)+O300*'参数'!$L$21)*(1+'参数'!$B$40*P300)</x:f>
        <x:v>89897.20403283337</x:v>
      </x:c>
      <x:c r="U300" s="18" t="n">
        <x:f>(INDEX('角色成长'!$K$6:$K$105,D300)+O300*'参数'!$M$21)*(1+'参数'!$B$41*P300)</x:f>
        <x:v>4873.202119705334</x:v>
      </x:c>
      <x:c r="V300" s="18" t="n">
        <x:f>(('参数'!$K$5*(((Q300*(1+'参数'!$B$39*P300))^2/((Q300*(1+'参数'!$B$39*P300))+'参数'!$B$22*(I300)))*(1+'参数'!$B$42*P300)/'参数'!$J$5+((Q300*'参数'!$B$43*(1+'参数'!$B$39*P300))^2/((Q300*'参数'!$B$43*(1+'参数'!$B$39*P300))+'参数'!$B$22*(I300)))/'参数'!$B$44))+(((R300*(1+'参数'!$B$39*P300))^2/((R300*(1+'参数'!$B$39*P300))+'参数'!$B$22*(I300)))*(1+'参数'!$B$42*P300)/'参数'!$J$6+((R300*'参数'!$B$45*(1+'参数'!$B$39*P300))^2/((R300*'参数'!$B$45*(1+'参数'!$B$39*P300))+'参数'!$B$22*(I300)))/'参数'!$B$46)+((S300*(1+'参数'!$B$39*P300))^2/((S300*(1+'参数'!$B$39*P300))+'参数'!$B$22*(I300)))*(1+'参数'!$B$42*P300)/'参数'!$J$7)*(1+'参数'!$B$37*('参数'!$B$38-1))*'参数'!$B$25</x:f>
        <x:v>52706.7138918444</x:v>
      </x:c>
      <x:c r="W300" s="18" t="n">
        <x:f>(('参数'!$K$5*(((Q300*(1+'参数'!$B$39*P300))^2/((Q300*(1+'参数'!$B$39*P300))+'参数'!$B$22*(M300)))*(1+'参数'!$B$42*P300)/'参数'!$J$5+((Q300*'参数'!$B$43*(1+'参数'!$B$39*P300))^2/((Q300*'参数'!$B$43*(1+'参数'!$B$39*P300))+'参数'!$B$22*(M300)))/'参数'!$B$44))+(((R300*(1+'参数'!$B$39*P300))^2/((R300*(1+'参数'!$B$39*P300))+'参数'!$B$22*(M300)))*(1+'参数'!$B$42*P300)/'参数'!$J$6+((R300*'参数'!$B$45*(1+'参数'!$B$39*P300))^2/((R300*'参数'!$B$45*(1+'参数'!$B$39*P300))+'参数'!$B$22*(M300)))/'参数'!$B$46)+((S300*(1+'参数'!$B$39*P300))^2/((S300*(1+'参数'!$B$39*P300))+'参数'!$B$22*(M300)))*(1+'参数'!$B$42*P300)/'参数'!$J$7)*(1+'参数'!$B$37*('参数'!$B$38-1))</x:f>
        <x:v>40600.131665990346</x:v>
      </x:c>
      <x:c r="X300" s="25" t="n">
        <x:f>('参数'!$B$26+'参数'!$B$27*(D300-1)/99)*'参数'!$K$28*AD300</x:f>
        <x:v>21.236363636363635</x:v>
      </x:c>
      <x:c r="Y300" s="25" t="n">
        <x:f>('参数'!$B$28+'参数'!$B$29*(D300-1)/99)*'参数'!$K$28*AD300*IF(AE300=1,'参数'!$B$51,1)</x:f>
        <x:v>58.78787878787878</x:v>
      </x:c>
      <x:c r="Z300" s="21" t="n">
        <x:f>MIN('参数'!$B$36,U300/(U300+'参数'!$B$35))</x:f>
        <x:v>0.5492044533599745</x:v>
      </x:c>
      <x:c r="AA300" s="18" t="n">
        <x:f>T300*'参数'!$B$30/('参数'!$B$32*'参数'!$B$33)/(1-Z300)*AC300</x:f>
        <x:v>5484.022921985576</x:v>
      </x:c>
      <x:c r="AB300" s="18" t="n">
        <x:f>T300*'参数'!$B$31/'参数'!$B$34/(1-Z300)*AC300</x:f>
        <x:v>10968.045843971151</x:v>
      </x:c>
      <x:c r="AC300" s="15" t="n">
        <x:f>'参数'!$L$28*1</x:f>
        <x:v>1.1</x:v>
      </x:c>
      <x:c r="AD300" s="15" t="n">
        <x:f>1</x:f>
        <x:v>1</x:v>
      </x:c>
      <x:c r="AE300" s="18" t="n">
        <x:f>IF(MOD(B300,12)=0,1,0)</x:f>
        <x:v>0</x:v>
      </x:c>
    </x:row>
    <x:row r="301" ht="22" customHeight="1">
      <x:c r="A301" s="19" t="str">
        <x:v>噩梦</x:v>
      </x:c>
      <x:c r="B301" s="19" t="n">
        <x:v>56</x:v>
      </x:c>
      <x:c r="C301" s="19" t="n">
        <x:f>ROUNDUP(B301/12,0)</x:f>
        <x:v>5</x:v>
      </x:c>
      <x:c r="D301" s="19" t="n">
        <x:f>ROUND(MAX('参数'!$G$28,E301)+(IF(C301&lt;10,INDEX('参数'!$G$36:$P$36,1,MIN(10,C301+1)),'参数'!$H$28)-MAX('参数'!$G$28,E301))*MOD(B301-1,12)/11,0)</x:f>
        <x:v>95</x:v>
      </x:c>
      <x:c r="E301" s="19" t="n">
        <x:f>INDEX('参数'!$G$36:$P$36,1,C301)</x:f>
        <x:v>95</x:v>
      </x:c>
      <x:c r="F301" s="20" t="n">
        <x:f>'参数'!$I$28</x:f>
        <x:v>1.16</x:v>
      </x:c>
      <x:c r="G301" s="19" t="n">
        <x:f>ROUND(V301*X301/'参数'!$B$56,0)</x:f>
        <x:v>243326</x:v>
      </x:c>
      <x:c r="H301" s="19" t="n">
        <x:f>ROUND((AA301+SQRT(AA301^2+4*AA301*'参数'!$B$22*U301))/2,0)</x:f>
        <x:v>9139</x:v>
      </x:c>
      <x:c r="I301" s="19" t="n">
        <x:f>ROUND(Q301*'参数'!$B$23/'参数'!$B$22,0)</x:f>
        <x:v>1562</x:v>
      </x:c>
      <x:c r="J301" s="19" t="n">
        <x:f>ROUND(G301*'参数'!$B$50,0)</x:f>
        <x:v>729978</x:v>
      </x:c>
      <x:c r="K301" s="19" t="n">
        <x:f>ROUND(W301*Y301,0)</x:f>
        <x:v>2386796</x:v>
      </x:c>
      <x:c r="L301" s="19" t="n">
        <x:f>ROUND((AB301+SQRT(AB301^2+4*AB301*'参数'!$B$22*U301))/2,0)</x:f>
        <x:v>15327</x:v>
      </x:c>
      <x:c r="M301" s="19" t="n">
        <x:f>ROUND(I301*'参数'!$B$24,0)</x:f>
        <x:v>1953</x:v>
      </x:c>
      <x:c r="N301" s="19" t="n">
        <x:f>'参数'!$B$9*'参数'!$B$10^(D301-1)</x:f>
        <x:v>9657.181031378484</x:v>
      </x:c>
      <x:c r="O301" s="19" t="n">
        <x:f>'参数'!$B$18*'参数'!$B$19^(MIN(E301,MAX(1,5*INT(D301/5)))-1)*F301*'参数'!$J$28*P301</x:f>
        <x:v>1372.1049972495236</x:v>
      </x:c>
      <x:c r="P301" s="22" t="n">
        <x:f>MIN(1,(D301-1)/19)</x:f>
        <x:v>1</x:v>
      </x:c>
      <x:c r="Q301" s="19" t="n">
        <x:f>INDEX('角色成长'!$F$6:$F$105,D301)+O301*'参数'!$K$21</x:f>
        <x:v>7811.499242161142</x:v>
      </x:c>
      <x:c r="R301" s="19" t="n">
        <x:f>INDEX('角色成长'!$I$6:$I$105,D301)+O301*'参数'!$K$21</x:f>
        <x:v>6719.499242161142</x:v>
      </x:c>
      <x:c r="S301" s="19" t="n">
        <x:f>INDEX('角色成长'!$L$6:$L$105,D301)+O301*'参数'!$K$21</x:f>
        <x:v>6095.499242161142</x:v>
      </x:c>
      <x:c r="T301" s="19" t="n">
        <x:f>(INDEX('角色成长'!$J$6:$J$105,D301)+O301*'参数'!$L$21)*(1+'参数'!$B$40*P301)</x:f>
        <x:v>89897.20403283337</x:v>
      </x:c>
      <x:c r="U301" s="19" t="n">
        <x:f>(INDEX('角色成长'!$K$6:$K$105,D301)+O301*'参数'!$M$21)*(1+'参数'!$B$41*P301)</x:f>
        <x:v>4873.202119705334</x:v>
      </x:c>
      <x:c r="V301" s="19" t="n">
        <x:f>(('参数'!$K$5*(((Q301*(1+'参数'!$B$39*P301))^2/((Q301*(1+'参数'!$B$39*P301))+'参数'!$B$22*(I301)))*(1+'参数'!$B$42*P301)/'参数'!$J$5+((Q301*'参数'!$B$43*(1+'参数'!$B$39*P301))^2/((Q301*'参数'!$B$43*(1+'参数'!$B$39*P301))+'参数'!$B$22*(I301)))/'参数'!$B$44))+(((R301*(1+'参数'!$B$39*P301))^2/((R301*(1+'参数'!$B$39*P301))+'参数'!$B$22*(I301)))*(1+'参数'!$B$42*P301)/'参数'!$J$6+((R301*'参数'!$B$45*(1+'参数'!$B$39*P301))^2/((R301*'参数'!$B$45*(1+'参数'!$B$39*P301))+'参数'!$B$22*(I301)))/'参数'!$B$46)+((S301*(1+'参数'!$B$39*P301))^2/((S301*(1+'参数'!$B$39*P301))+'参数'!$B$22*(I301)))*(1+'参数'!$B$42*P301)/'参数'!$J$7)*(1+'参数'!$B$37*('参数'!$B$38-1))*'参数'!$B$25</x:f>
        <x:v>52706.7138918444</x:v>
      </x:c>
      <x:c r="W301" s="19" t="n">
        <x:f>(('参数'!$K$5*(((Q301*(1+'参数'!$B$39*P301))^2/((Q301*(1+'参数'!$B$39*P301))+'参数'!$B$22*(M301)))*(1+'参数'!$B$42*P301)/'参数'!$J$5+((Q301*'参数'!$B$43*(1+'参数'!$B$39*P301))^2/((Q301*'参数'!$B$43*(1+'参数'!$B$39*P301))+'参数'!$B$22*(M301)))/'参数'!$B$44))+(((R301*(1+'参数'!$B$39*P301))^2/((R301*(1+'参数'!$B$39*P301))+'参数'!$B$22*(M301)))*(1+'参数'!$B$42*P301)/'参数'!$J$6+((R301*'参数'!$B$45*(1+'参数'!$B$39*P301))^2/((R301*'参数'!$B$45*(1+'参数'!$B$39*P301))+'参数'!$B$22*(M301)))/'参数'!$B$46)+((S301*(1+'参数'!$B$39*P301))^2/((S301*(1+'参数'!$B$39*P301))+'参数'!$B$22*(M301)))*(1+'参数'!$B$42*P301)/'参数'!$J$7)*(1+'参数'!$B$37*('参数'!$B$38-1))</x:f>
        <x:v>40600.131665990346</x:v>
      </x:c>
      <x:c r="X301" s="26" t="n">
        <x:f>('参数'!$B$26+'参数'!$B$27*(D301-1)/99)*'参数'!$K$28*AD301</x:f>
        <x:v>21.236363636363635</x:v>
      </x:c>
      <x:c r="Y301" s="26" t="n">
        <x:f>('参数'!$B$28+'参数'!$B$29*(D301-1)/99)*'参数'!$K$28*AD301*IF(AE301=1,'参数'!$B$51,1)</x:f>
        <x:v>58.78787878787878</x:v>
      </x:c>
      <x:c r="Z301" s="22" t="n">
        <x:f>MIN('参数'!$B$36,U301/(U301+'参数'!$B$35))</x:f>
        <x:v>0.5492044533599745</x:v>
      </x:c>
      <x:c r="AA301" s="19" t="n">
        <x:f>T301*'参数'!$B$30/('参数'!$B$32*'参数'!$B$33)/(1-Z301)*AC301</x:f>
        <x:v>5484.022921985576</x:v>
      </x:c>
      <x:c r="AB301" s="19" t="n">
        <x:f>T301*'参数'!$B$31/'参数'!$B$34/(1-Z301)*AC301</x:f>
        <x:v>10968.045843971151</x:v>
      </x:c>
      <x:c r="AC301" s="20" t="n">
        <x:f>'参数'!$L$28*1</x:f>
        <x:v>1.1</x:v>
      </x:c>
      <x:c r="AD301" s="20" t="n">
        <x:f>1</x:f>
        <x:v>1</x:v>
      </x:c>
      <x:c r="AE301" s="19" t="n">
        <x:f>IF(MOD(B301,12)=0,1,0)</x:f>
        <x:v>0</x:v>
      </x:c>
    </x:row>
    <x:row r="302" ht="22" customHeight="1">
      <x:c r="A302" s="18" t="str">
        <x:v>噩梦</x:v>
      </x:c>
      <x:c r="B302" s="18" t="n">
        <x:v>57</x:v>
      </x:c>
      <x:c r="C302" s="18" t="n">
        <x:f>ROUNDUP(B302/12,0)</x:f>
        <x:v>5</x:v>
      </x:c>
      <x:c r="D302" s="18" t="n">
        <x:f>ROUND(MAX('参数'!$G$28,E302)+(IF(C302&lt;10,INDEX('参数'!$G$36:$P$36,1,MIN(10,C302+1)),'参数'!$H$28)-MAX('参数'!$G$28,E302))*MOD(B302-1,12)/11,0)</x:f>
        <x:v>95</x:v>
      </x:c>
      <x:c r="E302" s="18" t="n">
        <x:f>INDEX('参数'!$G$36:$P$36,1,C302)</x:f>
        <x:v>95</x:v>
      </x:c>
      <x:c r="F302" s="15" t="n">
        <x:f>'参数'!$I$28</x:f>
        <x:v>1.16</x:v>
      </x:c>
      <x:c r="G302" s="18" t="n">
        <x:f>ROUND(V302*X302/'参数'!$B$56,0)</x:f>
        <x:v>243326</x:v>
      </x:c>
      <x:c r="H302" s="18" t="n">
        <x:f>ROUND((AA302+SQRT(AA302^2+4*AA302*'参数'!$B$22*U302))/2,0)</x:f>
        <x:v>9139</x:v>
      </x:c>
      <x:c r="I302" s="18" t="n">
        <x:f>ROUND(Q302*'参数'!$B$23/'参数'!$B$22,0)</x:f>
        <x:v>1562</x:v>
      </x:c>
      <x:c r="J302" s="18" t="n">
        <x:f>ROUND(G302*'参数'!$B$50,0)</x:f>
        <x:v>729978</x:v>
      </x:c>
      <x:c r="K302" s="18" t="n">
        <x:f>ROUND(W302*Y302,0)</x:f>
        <x:v>2386796</x:v>
      </x:c>
      <x:c r="L302" s="18" t="n">
        <x:f>ROUND((AB302+SQRT(AB302^2+4*AB302*'参数'!$B$22*U302))/2,0)</x:f>
        <x:v>15327</x:v>
      </x:c>
      <x:c r="M302" s="18" t="n">
        <x:f>ROUND(I302*'参数'!$B$24,0)</x:f>
        <x:v>1953</x:v>
      </x:c>
      <x:c r="N302" s="18" t="n">
        <x:f>'参数'!$B$9*'参数'!$B$10^(D302-1)</x:f>
        <x:v>9657.181031378484</x:v>
      </x:c>
      <x:c r="O302" s="18" t="n">
        <x:f>'参数'!$B$18*'参数'!$B$19^(MIN(E302,MAX(1,5*INT(D302/5)))-1)*F302*'参数'!$J$28*P302</x:f>
        <x:v>1372.1049972495236</x:v>
      </x:c>
      <x:c r="P302" s="21" t="n">
        <x:f>MIN(1,(D302-1)/19)</x:f>
        <x:v>1</x:v>
      </x:c>
      <x:c r="Q302" s="18" t="n">
        <x:f>INDEX('角色成长'!$F$6:$F$105,D302)+O302*'参数'!$K$21</x:f>
        <x:v>7811.499242161142</x:v>
      </x:c>
      <x:c r="R302" s="18" t="n">
        <x:f>INDEX('角色成长'!$I$6:$I$105,D302)+O302*'参数'!$K$21</x:f>
        <x:v>6719.499242161142</x:v>
      </x:c>
      <x:c r="S302" s="18" t="n">
        <x:f>INDEX('角色成长'!$L$6:$L$105,D302)+O302*'参数'!$K$21</x:f>
        <x:v>6095.499242161142</x:v>
      </x:c>
      <x:c r="T302" s="18" t="n">
        <x:f>(INDEX('角色成长'!$J$6:$J$105,D302)+O302*'参数'!$L$21)*(1+'参数'!$B$40*P302)</x:f>
        <x:v>89897.20403283337</x:v>
      </x:c>
      <x:c r="U302" s="18" t="n">
        <x:f>(INDEX('角色成长'!$K$6:$K$105,D302)+O302*'参数'!$M$21)*(1+'参数'!$B$41*P302)</x:f>
        <x:v>4873.202119705334</x:v>
      </x:c>
      <x:c r="V302" s="18" t="n">
        <x:f>(('参数'!$K$5*(((Q302*(1+'参数'!$B$39*P302))^2/((Q302*(1+'参数'!$B$39*P302))+'参数'!$B$22*(I302)))*(1+'参数'!$B$42*P302)/'参数'!$J$5+((Q302*'参数'!$B$43*(1+'参数'!$B$39*P302))^2/((Q302*'参数'!$B$43*(1+'参数'!$B$39*P302))+'参数'!$B$22*(I302)))/'参数'!$B$44))+(((R302*(1+'参数'!$B$39*P302))^2/((R302*(1+'参数'!$B$39*P302))+'参数'!$B$22*(I302)))*(1+'参数'!$B$42*P302)/'参数'!$J$6+((R302*'参数'!$B$45*(1+'参数'!$B$39*P302))^2/((R302*'参数'!$B$45*(1+'参数'!$B$39*P302))+'参数'!$B$22*(I302)))/'参数'!$B$46)+((S302*(1+'参数'!$B$39*P302))^2/((S302*(1+'参数'!$B$39*P302))+'参数'!$B$22*(I302)))*(1+'参数'!$B$42*P302)/'参数'!$J$7)*(1+'参数'!$B$37*('参数'!$B$38-1))*'参数'!$B$25</x:f>
        <x:v>52706.7138918444</x:v>
      </x:c>
      <x:c r="W302" s="18" t="n">
        <x:f>(('参数'!$K$5*(((Q302*(1+'参数'!$B$39*P302))^2/((Q302*(1+'参数'!$B$39*P302))+'参数'!$B$22*(M302)))*(1+'参数'!$B$42*P302)/'参数'!$J$5+((Q302*'参数'!$B$43*(1+'参数'!$B$39*P302))^2/((Q302*'参数'!$B$43*(1+'参数'!$B$39*P302))+'参数'!$B$22*(M302)))/'参数'!$B$44))+(((R302*(1+'参数'!$B$39*P302))^2/((R302*(1+'参数'!$B$39*P302))+'参数'!$B$22*(M302)))*(1+'参数'!$B$42*P302)/'参数'!$J$6+((R302*'参数'!$B$45*(1+'参数'!$B$39*P302))^2/((R302*'参数'!$B$45*(1+'参数'!$B$39*P302))+'参数'!$B$22*(M302)))/'参数'!$B$46)+((S302*(1+'参数'!$B$39*P302))^2/((S302*(1+'参数'!$B$39*P302))+'参数'!$B$22*(M302)))*(1+'参数'!$B$42*P302)/'参数'!$J$7)*(1+'参数'!$B$37*('参数'!$B$38-1))</x:f>
        <x:v>40600.131665990346</x:v>
      </x:c>
      <x:c r="X302" s="25" t="n">
        <x:f>('参数'!$B$26+'参数'!$B$27*(D302-1)/99)*'参数'!$K$28*AD302</x:f>
        <x:v>21.236363636363635</x:v>
      </x:c>
      <x:c r="Y302" s="25" t="n">
        <x:f>('参数'!$B$28+'参数'!$B$29*(D302-1)/99)*'参数'!$K$28*AD302*IF(AE302=1,'参数'!$B$51,1)</x:f>
        <x:v>58.78787878787878</x:v>
      </x:c>
      <x:c r="Z302" s="21" t="n">
        <x:f>MIN('参数'!$B$36,U302/(U302+'参数'!$B$35))</x:f>
        <x:v>0.5492044533599745</x:v>
      </x:c>
      <x:c r="AA302" s="18" t="n">
        <x:f>T302*'参数'!$B$30/('参数'!$B$32*'参数'!$B$33)/(1-Z302)*AC302</x:f>
        <x:v>5484.022921985576</x:v>
      </x:c>
      <x:c r="AB302" s="18" t="n">
        <x:f>T302*'参数'!$B$31/'参数'!$B$34/(1-Z302)*AC302</x:f>
        <x:v>10968.045843971151</x:v>
      </x:c>
      <x:c r="AC302" s="15" t="n">
        <x:f>'参数'!$L$28*1</x:f>
        <x:v>1.1</x:v>
      </x:c>
      <x:c r="AD302" s="15" t="n">
        <x:f>1</x:f>
        <x:v>1</x:v>
      </x:c>
      <x:c r="AE302" s="18" t="n">
        <x:f>IF(MOD(B302,12)=0,1,0)</x:f>
        <x:v>0</x:v>
      </x:c>
    </x:row>
    <x:row r="303" ht="22" customHeight="1">
      <x:c r="A303" s="19" t="str">
        <x:v>噩梦</x:v>
      </x:c>
      <x:c r="B303" s="19" t="n">
        <x:v>58</x:v>
      </x:c>
      <x:c r="C303" s="19" t="n">
        <x:f>ROUNDUP(B303/12,0)</x:f>
        <x:v>5</x:v>
      </x:c>
      <x:c r="D303" s="19" t="n">
        <x:f>ROUND(MAX('参数'!$G$28,E303)+(IF(C303&lt;10,INDEX('参数'!$G$36:$P$36,1,MIN(10,C303+1)),'参数'!$H$28)-MAX('参数'!$G$28,E303))*MOD(B303-1,12)/11,0)</x:f>
        <x:v>95</x:v>
      </x:c>
      <x:c r="E303" s="19" t="n">
        <x:f>INDEX('参数'!$G$36:$P$36,1,C303)</x:f>
        <x:v>95</x:v>
      </x:c>
      <x:c r="F303" s="20" t="n">
        <x:f>'参数'!$I$28</x:f>
        <x:v>1.16</x:v>
      </x:c>
      <x:c r="G303" s="19" t="n">
        <x:f>ROUND(V303*X303/'参数'!$B$56,0)</x:f>
        <x:v>243326</x:v>
      </x:c>
      <x:c r="H303" s="19" t="n">
        <x:f>ROUND((AA303+SQRT(AA303^2+4*AA303*'参数'!$B$22*U303))/2,0)</x:f>
        <x:v>9139</x:v>
      </x:c>
      <x:c r="I303" s="19" t="n">
        <x:f>ROUND(Q303*'参数'!$B$23/'参数'!$B$22,0)</x:f>
        <x:v>1562</x:v>
      </x:c>
      <x:c r="J303" s="19" t="n">
        <x:f>ROUND(G303*'参数'!$B$50,0)</x:f>
        <x:v>729978</x:v>
      </x:c>
      <x:c r="K303" s="19" t="n">
        <x:f>ROUND(W303*Y303,0)</x:f>
        <x:v>2386796</x:v>
      </x:c>
      <x:c r="L303" s="19" t="n">
        <x:f>ROUND((AB303+SQRT(AB303^2+4*AB303*'参数'!$B$22*U303))/2,0)</x:f>
        <x:v>15327</x:v>
      </x:c>
      <x:c r="M303" s="19" t="n">
        <x:f>ROUND(I303*'参数'!$B$24,0)</x:f>
        <x:v>1953</x:v>
      </x:c>
      <x:c r="N303" s="19" t="n">
        <x:f>'参数'!$B$9*'参数'!$B$10^(D303-1)</x:f>
        <x:v>9657.181031378484</x:v>
      </x:c>
      <x:c r="O303" s="19" t="n">
        <x:f>'参数'!$B$18*'参数'!$B$19^(MIN(E303,MAX(1,5*INT(D303/5)))-1)*F303*'参数'!$J$28*P303</x:f>
        <x:v>1372.1049972495236</x:v>
      </x:c>
      <x:c r="P303" s="22" t="n">
        <x:f>MIN(1,(D303-1)/19)</x:f>
        <x:v>1</x:v>
      </x:c>
      <x:c r="Q303" s="19" t="n">
        <x:f>INDEX('角色成长'!$F$6:$F$105,D303)+O303*'参数'!$K$21</x:f>
        <x:v>7811.499242161142</x:v>
      </x:c>
      <x:c r="R303" s="19" t="n">
        <x:f>INDEX('角色成长'!$I$6:$I$105,D303)+O303*'参数'!$K$21</x:f>
        <x:v>6719.499242161142</x:v>
      </x:c>
      <x:c r="S303" s="19" t="n">
        <x:f>INDEX('角色成长'!$L$6:$L$105,D303)+O303*'参数'!$K$21</x:f>
        <x:v>6095.499242161142</x:v>
      </x:c>
      <x:c r="T303" s="19" t="n">
        <x:f>(INDEX('角色成长'!$J$6:$J$105,D303)+O303*'参数'!$L$21)*(1+'参数'!$B$40*P303)</x:f>
        <x:v>89897.20403283337</x:v>
      </x:c>
      <x:c r="U303" s="19" t="n">
        <x:f>(INDEX('角色成长'!$K$6:$K$105,D303)+O303*'参数'!$M$21)*(1+'参数'!$B$41*P303)</x:f>
        <x:v>4873.202119705334</x:v>
      </x:c>
      <x:c r="V303" s="19" t="n">
        <x:f>(('参数'!$K$5*(((Q303*(1+'参数'!$B$39*P303))^2/((Q303*(1+'参数'!$B$39*P303))+'参数'!$B$22*(I303)))*(1+'参数'!$B$42*P303)/'参数'!$J$5+((Q303*'参数'!$B$43*(1+'参数'!$B$39*P303))^2/((Q303*'参数'!$B$43*(1+'参数'!$B$39*P303))+'参数'!$B$22*(I303)))/'参数'!$B$44))+(((R303*(1+'参数'!$B$39*P303))^2/((R303*(1+'参数'!$B$39*P303))+'参数'!$B$22*(I303)))*(1+'参数'!$B$42*P303)/'参数'!$J$6+((R303*'参数'!$B$45*(1+'参数'!$B$39*P303))^2/((R303*'参数'!$B$45*(1+'参数'!$B$39*P303))+'参数'!$B$22*(I303)))/'参数'!$B$46)+((S303*(1+'参数'!$B$39*P303))^2/((S303*(1+'参数'!$B$39*P303))+'参数'!$B$22*(I303)))*(1+'参数'!$B$42*P303)/'参数'!$J$7)*(1+'参数'!$B$37*('参数'!$B$38-1))*'参数'!$B$25</x:f>
        <x:v>52706.7138918444</x:v>
      </x:c>
      <x:c r="W303" s="19" t="n">
        <x:f>(('参数'!$K$5*(((Q303*(1+'参数'!$B$39*P303))^2/((Q303*(1+'参数'!$B$39*P303))+'参数'!$B$22*(M303)))*(1+'参数'!$B$42*P303)/'参数'!$J$5+((Q303*'参数'!$B$43*(1+'参数'!$B$39*P303))^2/((Q303*'参数'!$B$43*(1+'参数'!$B$39*P303))+'参数'!$B$22*(M303)))/'参数'!$B$44))+(((R303*(1+'参数'!$B$39*P303))^2/((R303*(1+'参数'!$B$39*P303))+'参数'!$B$22*(M303)))*(1+'参数'!$B$42*P303)/'参数'!$J$6+((R303*'参数'!$B$45*(1+'参数'!$B$39*P303))^2/((R303*'参数'!$B$45*(1+'参数'!$B$39*P303))+'参数'!$B$22*(M303)))/'参数'!$B$46)+((S303*(1+'参数'!$B$39*P303))^2/((S303*(1+'参数'!$B$39*P303))+'参数'!$B$22*(M303)))*(1+'参数'!$B$42*P303)/'参数'!$J$7)*(1+'参数'!$B$37*('参数'!$B$38-1))</x:f>
        <x:v>40600.131665990346</x:v>
      </x:c>
      <x:c r="X303" s="26" t="n">
        <x:f>('参数'!$B$26+'参数'!$B$27*(D303-1)/99)*'参数'!$K$28*AD303</x:f>
        <x:v>21.236363636363635</x:v>
      </x:c>
      <x:c r="Y303" s="26" t="n">
        <x:f>('参数'!$B$28+'参数'!$B$29*(D303-1)/99)*'参数'!$K$28*AD303*IF(AE303=1,'参数'!$B$51,1)</x:f>
        <x:v>58.78787878787878</x:v>
      </x:c>
      <x:c r="Z303" s="22" t="n">
        <x:f>MIN('参数'!$B$36,U303/(U303+'参数'!$B$35))</x:f>
        <x:v>0.5492044533599745</x:v>
      </x:c>
      <x:c r="AA303" s="19" t="n">
        <x:f>T303*'参数'!$B$30/('参数'!$B$32*'参数'!$B$33)/(1-Z303)*AC303</x:f>
        <x:v>5484.022921985576</x:v>
      </x:c>
      <x:c r="AB303" s="19" t="n">
        <x:f>T303*'参数'!$B$31/'参数'!$B$34/(1-Z303)*AC303</x:f>
        <x:v>10968.045843971151</x:v>
      </x:c>
      <x:c r="AC303" s="20" t="n">
        <x:f>'参数'!$L$28*1</x:f>
        <x:v>1.1</x:v>
      </x:c>
      <x:c r="AD303" s="20" t="n">
        <x:f>1</x:f>
        <x:v>1</x:v>
      </x:c>
      <x:c r="AE303" s="19" t="n">
        <x:f>IF(MOD(B303,12)=0,1,0)</x:f>
        <x:v>0</x:v>
      </x:c>
    </x:row>
    <x:row r="304" ht="22" customHeight="1">
      <x:c r="A304" s="18" t="str">
        <x:v>噩梦</x:v>
      </x:c>
      <x:c r="B304" s="18" t="n">
        <x:v>59</x:v>
      </x:c>
      <x:c r="C304" s="18" t="n">
        <x:f>ROUNDUP(B304/12,0)</x:f>
        <x:v>5</x:v>
      </x:c>
      <x:c r="D304" s="18" t="n">
        <x:f>ROUND(MAX('参数'!$G$28,E304)+(IF(C304&lt;10,INDEX('参数'!$G$36:$P$36,1,MIN(10,C304+1)),'参数'!$H$28)-MAX('参数'!$G$28,E304))*MOD(B304-1,12)/11,0)</x:f>
        <x:v>95</x:v>
      </x:c>
      <x:c r="E304" s="18" t="n">
        <x:f>INDEX('参数'!$G$36:$P$36,1,C304)</x:f>
        <x:v>95</x:v>
      </x:c>
      <x:c r="F304" s="15" t="n">
        <x:f>'参数'!$I$28</x:f>
        <x:v>1.16</x:v>
      </x:c>
      <x:c r="G304" s="18" t="n">
        <x:f>ROUND(V304*X304/'参数'!$B$56,0)</x:f>
        <x:v>243326</x:v>
      </x:c>
      <x:c r="H304" s="18" t="n">
        <x:f>ROUND((AA304+SQRT(AA304^2+4*AA304*'参数'!$B$22*U304))/2,0)</x:f>
        <x:v>9139</x:v>
      </x:c>
      <x:c r="I304" s="18" t="n">
        <x:f>ROUND(Q304*'参数'!$B$23/'参数'!$B$22,0)</x:f>
        <x:v>1562</x:v>
      </x:c>
      <x:c r="J304" s="18" t="n">
        <x:f>ROUND(G304*'参数'!$B$50,0)</x:f>
        <x:v>729978</x:v>
      </x:c>
      <x:c r="K304" s="18" t="n">
        <x:f>ROUND(W304*Y304,0)</x:f>
        <x:v>2386796</x:v>
      </x:c>
      <x:c r="L304" s="18" t="n">
        <x:f>ROUND((AB304+SQRT(AB304^2+4*AB304*'参数'!$B$22*U304))/2,0)</x:f>
        <x:v>15327</x:v>
      </x:c>
      <x:c r="M304" s="18" t="n">
        <x:f>ROUND(I304*'参数'!$B$24,0)</x:f>
        <x:v>1953</x:v>
      </x:c>
      <x:c r="N304" s="18" t="n">
        <x:f>'参数'!$B$9*'参数'!$B$10^(D304-1)</x:f>
        <x:v>9657.181031378484</x:v>
      </x:c>
      <x:c r="O304" s="18" t="n">
        <x:f>'参数'!$B$18*'参数'!$B$19^(MIN(E304,MAX(1,5*INT(D304/5)))-1)*F304*'参数'!$J$28*P304</x:f>
        <x:v>1372.1049972495236</x:v>
      </x:c>
      <x:c r="P304" s="21" t="n">
        <x:f>MIN(1,(D304-1)/19)</x:f>
        <x:v>1</x:v>
      </x:c>
      <x:c r="Q304" s="18" t="n">
        <x:f>INDEX('角色成长'!$F$6:$F$105,D304)+O304*'参数'!$K$21</x:f>
        <x:v>7811.499242161142</x:v>
      </x:c>
      <x:c r="R304" s="18" t="n">
        <x:f>INDEX('角色成长'!$I$6:$I$105,D304)+O304*'参数'!$K$21</x:f>
        <x:v>6719.499242161142</x:v>
      </x:c>
      <x:c r="S304" s="18" t="n">
        <x:f>INDEX('角色成长'!$L$6:$L$105,D304)+O304*'参数'!$K$21</x:f>
        <x:v>6095.499242161142</x:v>
      </x:c>
      <x:c r="T304" s="18" t="n">
        <x:f>(INDEX('角色成长'!$J$6:$J$105,D304)+O304*'参数'!$L$21)*(1+'参数'!$B$40*P304)</x:f>
        <x:v>89897.20403283337</x:v>
      </x:c>
      <x:c r="U304" s="18" t="n">
        <x:f>(INDEX('角色成长'!$K$6:$K$105,D304)+O304*'参数'!$M$21)*(1+'参数'!$B$41*P304)</x:f>
        <x:v>4873.202119705334</x:v>
      </x:c>
      <x:c r="V304" s="18" t="n">
        <x:f>(('参数'!$K$5*(((Q304*(1+'参数'!$B$39*P304))^2/((Q304*(1+'参数'!$B$39*P304))+'参数'!$B$22*(I304)))*(1+'参数'!$B$42*P304)/'参数'!$J$5+((Q304*'参数'!$B$43*(1+'参数'!$B$39*P304))^2/((Q304*'参数'!$B$43*(1+'参数'!$B$39*P304))+'参数'!$B$22*(I304)))/'参数'!$B$44))+(((R304*(1+'参数'!$B$39*P304))^2/((R304*(1+'参数'!$B$39*P304))+'参数'!$B$22*(I304)))*(1+'参数'!$B$42*P304)/'参数'!$J$6+((R304*'参数'!$B$45*(1+'参数'!$B$39*P304))^2/((R304*'参数'!$B$45*(1+'参数'!$B$39*P304))+'参数'!$B$22*(I304)))/'参数'!$B$46)+((S304*(1+'参数'!$B$39*P304))^2/((S304*(1+'参数'!$B$39*P304))+'参数'!$B$22*(I304)))*(1+'参数'!$B$42*P304)/'参数'!$J$7)*(1+'参数'!$B$37*('参数'!$B$38-1))*'参数'!$B$25</x:f>
        <x:v>52706.7138918444</x:v>
      </x:c>
      <x:c r="W304" s="18" t="n">
        <x:f>(('参数'!$K$5*(((Q304*(1+'参数'!$B$39*P304))^2/((Q304*(1+'参数'!$B$39*P304))+'参数'!$B$22*(M304)))*(1+'参数'!$B$42*P304)/'参数'!$J$5+((Q304*'参数'!$B$43*(1+'参数'!$B$39*P304))^2/((Q304*'参数'!$B$43*(1+'参数'!$B$39*P304))+'参数'!$B$22*(M304)))/'参数'!$B$44))+(((R304*(1+'参数'!$B$39*P304))^2/((R304*(1+'参数'!$B$39*P304))+'参数'!$B$22*(M304)))*(1+'参数'!$B$42*P304)/'参数'!$J$6+((R304*'参数'!$B$45*(1+'参数'!$B$39*P304))^2/((R304*'参数'!$B$45*(1+'参数'!$B$39*P304))+'参数'!$B$22*(M304)))/'参数'!$B$46)+((S304*(1+'参数'!$B$39*P304))^2/((S304*(1+'参数'!$B$39*P304))+'参数'!$B$22*(M304)))*(1+'参数'!$B$42*P304)/'参数'!$J$7)*(1+'参数'!$B$37*('参数'!$B$38-1))</x:f>
        <x:v>40600.131665990346</x:v>
      </x:c>
      <x:c r="X304" s="25" t="n">
        <x:f>('参数'!$B$26+'参数'!$B$27*(D304-1)/99)*'参数'!$K$28*AD304</x:f>
        <x:v>21.236363636363635</x:v>
      </x:c>
      <x:c r="Y304" s="25" t="n">
        <x:f>('参数'!$B$28+'参数'!$B$29*(D304-1)/99)*'参数'!$K$28*AD304*IF(AE304=1,'参数'!$B$51,1)</x:f>
        <x:v>58.78787878787878</x:v>
      </x:c>
      <x:c r="Z304" s="21" t="n">
        <x:f>MIN('参数'!$B$36,U304/(U304+'参数'!$B$35))</x:f>
        <x:v>0.5492044533599745</x:v>
      </x:c>
      <x:c r="AA304" s="18" t="n">
        <x:f>T304*'参数'!$B$30/('参数'!$B$32*'参数'!$B$33)/(1-Z304)*AC304</x:f>
        <x:v>5484.022921985576</x:v>
      </x:c>
      <x:c r="AB304" s="18" t="n">
        <x:f>T304*'参数'!$B$31/'参数'!$B$34/(1-Z304)*AC304</x:f>
        <x:v>10968.045843971151</x:v>
      </x:c>
      <x:c r="AC304" s="15" t="n">
        <x:f>'参数'!$L$28*1</x:f>
        <x:v>1.1</x:v>
      </x:c>
      <x:c r="AD304" s="15" t="n">
        <x:f>1</x:f>
        <x:v>1</x:v>
      </x:c>
      <x:c r="AE304" s="18" t="n">
        <x:f>IF(MOD(B304,12)=0,1,0)</x:f>
        <x:v>0</x:v>
      </x:c>
    </x:row>
    <x:row r="305" ht="22" customHeight="1">
      <x:c r="A305" s="19" t="str">
        <x:v>噩梦</x:v>
      </x:c>
      <x:c r="B305" s="19" t="n">
        <x:v>60</x:v>
      </x:c>
      <x:c r="C305" s="19" t="n">
        <x:f>ROUNDUP(B305/12,0)</x:f>
        <x:v>5</x:v>
      </x:c>
      <x:c r="D305" s="19" t="n">
        <x:f>ROUND(MAX('参数'!$G$28,E305)+(IF(C305&lt;10,INDEX('参数'!$G$36:$P$36,1,MIN(10,C305+1)),'参数'!$H$28)-MAX('参数'!$G$28,E305))*MOD(B305-1,12)/11,0)</x:f>
        <x:v>95</x:v>
      </x:c>
      <x:c r="E305" s="19" t="n">
        <x:f>INDEX('参数'!$G$36:$P$36,1,C305)</x:f>
        <x:v>95</x:v>
      </x:c>
      <x:c r="F305" s="20" t="n">
        <x:f>'参数'!$I$28</x:f>
        <x:v>1.16</x:v>
      </x:c>
      <x:c r="G305" s="19" t="n">
        <x:f>ROUND(V305*X305/'参数'!$B$56,0)</x:f>
        <x:v>243326</x:v>
      </x:c>
      <x:c r="H305" s="19" t="n">
        <x:f>ROUND((AA305+SQRT(AA305^2+4*AA305*'参数'!$B$22*U305))/2,0)</x:f>
        <x:v>9139</x:v>
      </x:c>
      <x:c r="I305" s="19" t="n">
        <x:f>ROUND(Q305*'参数'!$B$23/'参数'!$B$22,0)</x:f>
        <x:v>1562</x:v>
      </x:c>
      <x:c r="J305" s="19" t="n">
        <x:f>ROUND(G305*'参数'!$B$50,0)</x:f>
        <x:v>729978</x:v>
      </x:c>
      <x:c r="K305" s="19" t="n">
        <x:f>ROUND(W305*Y305,0)</x:f>
        <x:v>2744815</x:v>
      </x:c>
      <x:c r="L305" s="19" t="n">
        <x:f>ROUND((AB305+SQRT(AB305^2+4*AB305*'参数'!$B$22*U305))/2,0)</x:f>
        <x:v>15327</x:v>
      </x:c>
      <x:c r="M305" s="19" t="n">
        <x:f>ROUND(I305*'参数'!$B$24,0)</x:f>
        <x:v>1953</x:v>
      </x:c>
      <x:c r="N305" s="19" t="n">
        <x:f>'参数'!$B$9*'参数'!$B$10^(D305-1)</x:f>
        <x:v>9657.181031378484</x:v>
      </x:c>
      <x:c r="O305" s="19" t="n">
        <x:f>'参数'!$B$18*'参数'!$B$19^(MIN(E305,MAX(1,5*INT(D305/5)))-1)*F305*'参数'!$J$28*P305</x:f>
        <x:v>1372.1049972495236</x:v>
      </x:c>
      <x:c r="P305" s="22" t="n">
        <x:f>MIN(1,(D305-1)/19)</x:f>
        <x:v>1</x:v>
      </x:c>
      <x:c r="Q305" s="19" t="n">
        <x:f>INDEX('角色成长'!$F$6:$F$105,D305)+O305*'参数'!$K$21</x:f>
        <x:v>7811.499242161142</x:v>
      </x:c>
      <x:c r="R305" s="19" t="n">
        <x:f>INDEX('角色成长'!$I$6:$I$105,D305)+O305*'参数'!$K$21</x:f>
        <x:v>6719.499242161142</x:v>
      </x:c>
      <x:c r="S305" s="19" t="n">
        <x:f>INDEX('角色成长'!$L$6:$L$105,D305)+O305*'参数'!$K$21</x:f>
        <x:v>6095.499242161142</x:v>
      </x:c>
      <x:c r="T305" s="19" t="n">
        <x:f>(INDEX('角色成长'!$J$6:$J$105,D305)+O305*'参数'!$L$21)*(1+'参数'!$B$40*P305)</x:f>
        <x:v>89897.20403283337</x:v>
      </x:c>
      <x:c r="U305" s="19" t="n">
        <x:f>(INDEX('角色成长'!$K$6:$K$105,D305)+O305*'参数'!$M$21)*(1+'参数'!$B$41*P305)</x:f>
        <x:v>4873.202119705334</x:v>
      </x:c>
      <x:c r="V305" s="19" t="n">
        <x:f>(('参数'!$K$5*(((Q305*(1+'参数'!$B$39*P305))^2/((Q305*(1+'参数'!$B$39*P305))+'参数'!$B$22*(I305)))*(1+'参数'!$B$42*P305)/'参数'!$J$5+((Q305*'参数'!$B$43*(1+'参数'!$B$39*P305))^2/((Q305*'参数'!$B$43*(1+'参数'!$B$39*P305))+'参数'!$B$22*(I305)))/'参数'!$B$44))+(((R305*(1+'参数'!$B$39*P305))^2/((R305*(1+'参数'!$B$39*P305))+'参数'!$B$22*(I305)))*(1+'参数'!$B$42*P305)/'参数'!$J$6+((R305*'参数'!$B$45*(1+'参数'!$B$39*P305))^2/((R305*'参数'!$B$45*(1+'参数'!$B$39*P305))+'参数'!$B$22*(I305)))/'参数'!$B$46)+((S305*(1+'参数'!$B$39*P305))^2/((S305*(1+'参数'!$B$39*P305))+'参数'!$B$22*(I305)))*(1+'参数'!$B$42*P305)/'参数'!$J$7)*(1+'参数'!$B$37*('参数'!$B$38-1))*'参数'!$B$25</x:f>
        <x:v>52706.7138918444</x:v>
      </x:c>
      <x:c r="W305" s="19" t="n">
        <x:f>(('参数'!$K$5*(((Q305*(1+'参数'!$B$39*P305))^2/((Q305*(1+'参数'!$B$39*P305))+'参数'!$B$22*(M305)))*(1+'参数'!$B$42*P305)/'参数'!$J$5+((Q305*'参数'!$B$43*(1+'参数'!$B$39*P305))^2/((Q305*'参数'!$B$43*(1+'参数'!$B$39*P305))+'参数'!$B$22*(M305)))/'参数'!$B$44))+(((R305*(1+'参数'!$B$39*P305))^2/((R305*(1+'参数'!$B$39*P305))+'参数'!$B$22*(M305)))*(1+'参数'!$B$42*P305)/'参数'!$J$6+((R305*'参数'!$B$45*(1+'参数'!$B$39*P305))^2/((R305*'参数'!$B$45*(1+'参数'!$B$39*P305))+'参数'!$B$22*(M305)))/'参数'!$B$46)+((S305*(1+'参数'!$B$39*P305))^2/((S305*(1+'参数'!$B$39*P305))+'参数'!$B$22*(M305)))*(1+'参数'!$B$42*P305)/'参数'!$J$7)*(1+'参数'!$B$37*('参数'!$B$38-1))</x:f>
        <x:v>40600.131665990346</x:v>
      </x:c>
      <x:c r="X305" s="26" t="n">
        <x:f>('参数'!$B$26+'参数'!$B$27*(D305-1)/99)*'参数'!$K$28*AD305</x:f>
        <x:v>21.236363636363635</x:v>
      </x:c>
      <x:c r="Y305" s="26" t="n">
        <x:f>('参数'!$B$28+'参数'!$B$29*(D305-1)/99)*'参数'!$K$28*AD305*IF(AE305=1,'参数'!$B$51,1)</x:f>
        <x:v>67.6060606060606</x:v>
      </x:c>
      <x:c r="Z305" s="22" t="n">
        <x:f>MIN('参数'!$B$36,U305/(U305+'参数'!$B$35))</x:f>
        <x:v>0.5492044533599745</x:v>
      </x:c>
      <x:c r="AA305" s="19" t="n">
        <x:f>T305*'参数'!$B$30/('参数'!$B$32*'参数'!$B$33)/(1-Z305)*AC305</x:f>
        <x:v>5484.022921985576</x:v>
      </x:c>
      <x:c r="AB305" s="19" t="n">
        <x:f>T305*'参数'!$B$31/'参数'!$B$34/(1-Z305)*AC305</x:f>
        <x:v>10968.045843971151</x:v>
      </x:c>
      <x:c r="AC305" s="20" t="n">
        <x:f>'参数'!$L$28*1</x:f>
        <x:v>1.1</x:v>
      </x:c>
      <x:c r="AD305" s="20" t="n">
        <x:f>1</x:f>
        <x:v>1</x:v>
      </x:c>
      <x:c r="AE305" s="19" t="n">
        <x:f>IF(MOD(B305,12)=0,1,0)</x:f>
        <x:v>1</x:v>
      </x:c>
    </x:row>
    <x:row r="306" ht="22" customHeight="1">
      <x:c r="A306" s="18" t="str">
        <x:v>噩梦</x:v>
      </x:c>
      <x:c r="B306" s="18" t="n">
        <x:v>61</x:v>
      </x:c>
      <x:c r="C306" s="18" t="n">
        <x:f>ROUNDUP(B306/12,0)</x:f>
        <x:v>6</x:v>
      </x:c>
      <x:c r="D306" s="18" t="n">
        <x:f>ROUND(MAX('参数'!$G$28,E306)+(IF(C306&lt;10,INDEX('参数'!$G$36:$P$36,1,MIN(10,C306+1)),'参数'!$H$28)-MAX('参数'!$G$28,E306))*MOD(B306-1,12)/11,0)</x:f>
        <x:v>95</x:v>
      </x:c>
      <x:c r="E306" s="18" t="n">
        <x:f>INDEX('参数'!$G$36:$P$36,1,C306)</x:f>
        <x:v>95</x:v>
      </x:c>
      <x:c r="F306" s="15" t="n">
        <x:f>'参数'!$I$28</x:f>
        <x:v>1.16</x:v>
      </x:c>
      <x:c r="G306" s="18" t="n">
        <x:f>ROUND(V306*X306/'参数'!$B$56,0)</x:f>
        <x:v>243326</x:v>
      </x:c>
      <x:c r="H306" s="18" t="n">
        <x:f>ROUND((AA306+SQRT(AA306^2+4*AA306*'参数'!$B$22*U306))/2,0)</x:f>
        <x:v>9139</x:v>
      </x:c>
      <x:c r="I306" s="18" t="n">
        <x:f>ROUND(Q306*'参数'!$B$23/'参数'!$B$22,0)</x:f>
        <x:v>1562</x:v>
      </x:c>
      <x:c r="J306" s="18" t="n">
        <x:f>ROUND(G306*'参数'!$B$50,0)</x:f>
        <x:v>729978</x:v>
      </x:c>
      <x:c r="K306" s="18" t="n">
        <x:f>ROUND(W306*Y306,0)</x:f>
        <x:v>2386796</x:v>
      </x:c>
      <x:c r="L306" s="18" t="n">
        <x:f>ROUND((AB306+SQRT(AB306^2+4*AB306*'参数'!$B$22*U306))/2,0)</x:f>
        <x:v>15327</x:v>
      </x:c>
      <x:c r="M306" s="18" t="n">
        <x:f>ROUND(I306*'参数'!$B$24,0)</x:f>
        <x:v>1953</x:v>
      </x:c>
      <x:c r="N306" s="18" t="n">
        <x:f>'参数'!$B$9*'参数'!$B$10^(D306-1)</x:f>
        <x:v>9657.181031378484</x:v>
      </x:c>
      <x:c r="O306" s="18" t="n">
        <x:f>'参数'!$B$18*'参数'!$B$19^(MIN(E306,MAX(1,5*INT(D306/5)))-1)*F306*'参数'!$J$28*P306</x:f>
        <x:v>1372.1049972495236</x:v>
      </x:c>
      <x:c r="P306" s="21" t="n">
        <x:f>MIN(1,(D306-1)/19)</x:f>
        <x:v>1</x:v>
      </x:c>
      <x:c r="Q306" s="18" t="n">
        <x:f>INDEX('角色成长'!$F$6:$F$105,D306)+O306*'参数'!$K$21</x:f>
        <x:v>7811.499242161142</x:v>
      </x:c>
      <x:c r="R306" s="18" t="n">
        <x:f>INDEX('角色成长'!$I$6:$I$105,D306)+O306*'参数'!$K$21</x:f>
        <x:v>6719.499242161142</x:v>
      </x:c>
      <x:c r="S306" s="18" t="n">
        <x:f>INDEX('角色成长'!$L$6:$L$105,D306)+O306*'参数'!$K$21</x:f>
        <x:v>6095.499242161142</x:v>
      </x:c>
      <x:c r="T306" s="18" t="n">
        <x:f>(INDEX('角色成长'!$J$6:$J$105,D306)+O306*'参数'!$L$21)*(1+'参数'!$B$40*P306)</x:f>
        <x:v>89897.20403283337</x:v>
      </x:c>
      <x:c r="U306" s="18" t="n">
        <x:f>(INDEX('角色成长'!$K$6:$K$105,D306)+O306*'参数'!$M$21)*(1+'参数'!$B$41*P306)</x:f>
        <x:v>4873.202119705334</x:v>
      </x:c>
      <x:c r="V306" s="18" t="n">
        <x:f>(('参数'!$K$5*(((Q306*(1+'参数'!$B$39*P306))^2/((Q306*(1+'参数'!$B$39*P306))+'参数'!$B$22*(I306)))*(1+'参数'!$B$42*P306)/'参数'!$J$5+((Q306*'参数'!$B$43*(1+'参数'!$B$39*P306))^2/((Q306*'参数'!$B$43*(1+'参数'!$B$39*P306))+'参数'!$B$22*(I306)))/'参数'!$B$44))+(((R306*(1+'参数'!$B$39*P306))^2/((R306*(1+'参数'!$B$39*P306))+'参数'!$B$22*(I306)))*(1+'参数'!$B$42*P306)/'参数'!$J$6+((R306*'参数'!$B$45*(1+'参数'!$B$39*P306))^2/((R306*'参数'!$B$45*(1+'参数'!$B$39*P306))+'参数'!$B$22*(I306)))/'参数'!$B$46)+((S306*(1+'参数'!$B$39*P306))^2/((S306*(1+'参数'!$B$39*P306))+'参数'!$B$22*(I306)))*(1+'参数'!$B$42*P306)/'参数'!$J$7)*(1+'参数'!$B$37*('参数'!$B$38-1))*'参数'!$B$25</x:f>
        <x:v>52706.7138918444</x:v>
      </x:c>
      <x:c r="W306" s="18" t="n">
        <x:f>(('参数'!$K$5*(((Q306*(1+'参数'!$B$39*P306))^2/((Q306*(1+'参数'!$B$39*P306))+'参数'!$B$22*(M306)))*(1+'参数'!$B$42*P306)/'参数'!$J$5+((Q306*'参数'!$B$43*(1+'参数'!$B$39*P306))^2/((Q306*'参数'!$B$43*(1+'参数'!$B$39*P306))+'参数'!$B$22*(M306)))/'参数'!$B$44))+(((R306*(1+'参数'!$B$39*P306))^2/((R306*(1+'参数'!$B$39*P306))+'参数'!$B$22*(M306)))*(1+'参数'!$B$42*P306)/'参数'!$J$6+((R306*'参数'!$B$45*(1+'参数'!$B$39*P306))^2/((R306*'参数'!$B$45*(1+'参数'!$B$39*P306))+'参数'!$B$22*(M306)))/'参数'!$B$46)+((S306*(1+'参数'!$B$39*P306))^2/((S306*(1+'参数'!$B$39*P306))+'参数'!$B$22*(M306)))*(1+'参数'!$B$42*P306)/'参数'!$J$7)*(1+'参数'!$B$37*('参数'!$B$38-1))</x:f>
        <x:v>40600.131665990346</x:v>
      </x:c>
      <x:c r="X306" s="25" t="n">
        <x:f>('参数'!$B$26+'参数'!$B$27*(D306-1)/99)*'参数'!$K$28*AD306</x:f>
        <x:v>21.236363636363635</x:v>
      </x:c>
      <x:c r="Y306" s="25" t="n">
        <x:f>('参数'!$B$28+'参数'!$B$29*(D306-1)/99)*'参数'!$K$28*AD306*IF(AE306=1,'参数'!$B$51,1)</x:f>
        <x:v>58.78787878787878</x:v>
      </x:c>
      <x:c r="Z306" s="21" t="n">
        <x:f>MIN('参数'!$B$36,U306/(U306+'参数'!$B$35))</x:f>
        <x:v>0.5492044533599745</x:v>
      </x:c>
      <x:c r="AA306" s="18" t="n">
        <x:f>T306*'参数'!$B$30/('参数'!$B$32*'参数'!$B$33)/(1-Z306)*AC306</x:f>
        <x:v>5484.022921985576</x:v>
      </x:c>
      <x:c r="AB306" s="18" t="n">
        <x:f>T306*'参数'!$B$31/'参数'!$B$34/(1-Z306)*AC306</x:f>
        <x:v>10968.045843971151</x:v>
      </x:c>
      <x:c r="AC306" s="15" t="n">
        <x:f>'参数'!$L$28*1</x:f>
        <x:v>1.1</x:v>
      </x:c>
      <x:c r="AD306" s="15" t="n">
        <x:f>1</x:f>
        <x:v>1</x:v>
      </x:c>
      <x:c r="AE306" s="18" t="n">
        <x:f>IF(MOD(B306,12)=0,1,0)</x:f>
        <x:v>0</x:v>
      </x:c>
    </x:row>
    <x:row r="307" ht="22" customHeight="1">
      <x:c r="A307" s="19" t="str">
        <x:v>噩梦</x:v>
      </x:c>
      <x:c r="B307" s="19" t="n">
        <x:v>62</x:v>
      </x:c>
      <x:c r="C307" s="19" t="n">
        <x:f>ROUNDUP(B307/12,0)</x:f>
        <x:v>6</x:v>
      </x:c>
      <x:c r="D307" s="19" t="n">
        <x:f>ROUND(MAX('参数'!$G$28,E307)+(IF(C307&lt;10,INDEX('参数'!$G$36:$P$36,1,MIN(10,C307+1)),'参数'!$H$28)-MAX('参数'!$G$28,E307))*MOD(B307-1,12)/11,0)</x:f>
        <x:v>95</x:v>
      </x:c>
      <x:c r="E307" s="19" t="n">
        <x:f>INDEX('参数'!$G$36:$P$36,1,C307)</x:f>
        <x:v>95</x:v>
      </x:c>
      <x:c r="F307" s="20" t="n">
        <x:f>'参数'!$I$28</x:f>
        <x:v>1.16</x:v>
      </x:c>
      <x:c r="G307" s="19" t="n">
        <x:f>ROUND(V307*X307/'参数'!$B$56,0)</x:f>
        <x:v>243326</x:v>
      </x:c>
      <x:c r="H307" s="19" t="n">
        <x:f>ROUND((AA307+SQRT(AA307^2+4*AA307*'参数'!$B$22*U307))/2,0)</x:f>
        <x:v>9139</x:v>
      </x:c>
      <x:c r="I307" s="19" t="n">
        <x:f>ROUND(Q307*'参数'!$B$23/'参数'!$B$22,0)</x:f>
        <x:v>1562</x:v>
      </x:c>
      <x:c r="J307" s="19" t="n">
        <x:f>ROUND(G307*'参数'!$B$50,0)</x:f>
        <x:v>729978</x:v>
      </x:c>
      <x:c r="K307" s="19" t="n">
        <x:f>ROUND(W307*Y307,0)</x:f>
        <x:v>2386796</x:v>
      </x:c>
      <x:c r="L307" s="19" t="n">
        <x:f>ROUND((AB307+SQRT(AB307^2+4*AB307*'参数'!$B$22*U307))/2,0)</x:f>
        <x:v>15327</x:v>
      </x:c>
      <x:c r="M307" s="19" t="n">
        <x:f>ROUND(I307*'参数'!$B$24,0)</x:f>
        <x:v>1953</x:v>
      </x:c>
      <x:c r="N307" s="19" t="n">
        <x:f>'参数'!$B$9*'参数'!$B$10^(D307-1)</x:f>
        <x:v>9657.181031378484</x:v>
      </x:c>
      <x:c r="O307" s="19" t="n">
        <x:f>'参数'!$B$18*'参数'!$B$19^(MIN(E307,MAX(1,5*INT(D307/5)))-1)*F307*'参数'!$J$28*P307</x:f>
        <x:v>1372.1049972495236</x:v>
      </x:c>
      <x:c r="P307" s="22" t="n">
        <x:f>MIN(1,(D307-1)/19)</x:f>
        <x:v>1</x:v>
      </x:c>
      <x:c r="Q307" s="19" t="n">
        <x:f>INDEX('角色成长'!$F$6:$F$105,D307)+O307*'参数'!$K$21</x:f>
        <x:v>7811.499242161142</x:v>
      </x:c>
      <x:c r="R307" s="19" t="n">
        <x:f>INDEX('角色成长'!$I$6:$I$105,D307)+O307*'参数'!$K$21</x:f>
        <x:v>6719.499242161142</x:v>
      </x:c>
      <x:c r="S307" s="19" t="n">
        <x:f>INDEX('角色成长'!$L$6:$L$105,D307)+O307*'参数'!$K$21</x:f>
        <x:v>6095.499242161142</x:v>
      </x:c>
      <x:c r="T307" s="19" t="n">
        <x:f>(INDEX('角色成长'!$J$6:$J$105,D307)+O307*'参数'!$L$21)*(1+'参数'!$B$40*P307)</x:f>
        <x:v>89897.20403283337</x:v>
      </x:c>
      <x:c r="U307" s="19" t="n">
        <x:f>(INDEX('角色成长'!$K$6:$K$105,D307)+O307*'参数'!$M$21)*(1+'参数'!$B$41*P307)</x:f>
        <x:v>4873.202119705334</x:v>
      </x:c>
      <x:c r="V307" s="19" t="n">
        <x:f>(('参数'!$K$5*(((Q307*(1+'参数'!$B$39*P307))^2/((Q307*(1+'参数'!$B$39*P307))+'参数'!$B$22*(I307)))*(1+'参数'!$B$42*P307)/'参数'!$J$5+((Q307*'参数'!$B$43*(1+'参数'!$B$39*P307))^2/((Q307*'参数'!$B$43*(1+'参数'!$B$39*P307))+'参数'!$B$22*(I307)))/'参数'!$B$44))+(((R307*(1+'参数'!$B$39*P307))^2/((R307*(1+'参数'!$B$39*P307))+'参数'!$B$22*(I307)))*(1+'参数'!$B$42*P307)/'参数'!$J$6+((R307*'参数'!$B$45*(1+'参数'!$B$39*P307))^2/((R307*'参数'!$B$45*(1+'参数'!$B$39*P307))+'参数'!$B$22*(I307)))/'参数'!$B$46)+((S307*(1+'参数'!$B$39*P307))^2/((S307*(1+'参数'!$B$39*P307))+'参数'!$B$22*(I307)))*(1+'参数'!$B$42*P307)/'参数'!$J$7)*(1+'参数'!$B$37*('参数'!$B$38-1))*'参数'!$B$25</x:f>
        <x:v>52706.7138918444</x:v>
      </x:c>
      <x:c r="W307" s="19" t="n">
        <x:f>(('参数'!$K$5*(((Q307*(1+'参数'!$B$39*P307))^2/((Q307*(1+'参数'!$B$39*P307))+'参数'!$B$22*(M307)))*(1+'参数'!$B$42*P307)/'参数'!$J$5+((Q307*'参数'!$B$43*(1+'参数'!$B$39*P307))^2/((Q307*'参数'!$B$43*(1+'参数'!$B$39*P307))+'参数'!$B$22*(M307)))/'参数'!$B$44))+(((R307*(1+'参数'!$B$39*P307))^2/((R307*(1+'参数'!$B$39*P307))+'参数'!$B$22*(M307)))*(1+'参数'!$B$42*P307)/'参数'!$J$6+((R307*'参数'!$B$45*(1+'参数'!$B$39*P307))^2/((R307*'参数'!$B$45*(1+'参数'!$B$39*P307))+'参数'!$B$22*(M307)))/'参数'!$B$46)+((S307*(1+'参数'!$B$39*P307))^2/((S307*(1+'参数'!$B$39*P307))+'参数'!$B$22*(M307)))*(1+'参数'!$B$42*P307)/'参数'!$J$7)*(1+'参数'!$B$37*('参数'!$B$38-1))</x:f>
        <x:v>40600.131665990346</x:v>
      </x:c>
      <x:c r="X307" s="26" t="n">
        <x:f>('参数'!$B$26+'参数'!$B$27*(D307-1)/99)*'参数'!$K$28*AD307</x:f>
        <x:v>21.236363636363635</x:v>
      </x:c>
      <x:c r="Y307" s="26" t="n">
        <x:f>('参数'!$B$28+'参数'!$B$29*(D307-1)/99)*'参数'!$K$28*AD307*IF(AE307=1,'参数'!$B$51,1)</x:f>
        <x:v>58.78787878787878</x:v>
      </x:c>
      <x:c r="Z307" s="22" t="n">
        <x:f>MIN('参数'!$B$36,U307/(U307+'参数'!$B$35))</x:f>
        <x:v>0.5492044533599745</x:v>
      </x:c>
      <x:c r="AA307" s="19" t="n">
        <x:f>T307*'参数'!$B$30/('参数'!$B$32*'参数'!$B$33)/(1-Z307)*AC307</x:f>
        <x:v>5484.022921985576</x:v>
      </x:c>
      <x:c r="AB307" s="19" t="n">
        <x:f>T307*'参数'!$B$31/'参数'!$B$34/(1-Z307)*AC307</x:f>
        <x:v>10968.045843971151</x:v>
      </x:c>
      <x:c r="AC307" s="20" t="n">
        <x:f>'参数'!$L$28*1</x:f>
        <x:v>1.1</x:v>
      </x:c>
      <x:c r="AD307" s="20" t="n">
        <x:f>1</x:f>
        <x:v>1</x:v>
      </x:c>
      <x:c r="AE307" s="19" t="n">
        <x:f>IF(MOD(B307,12)=0,1,0)</x:f>
        <x:v>0</x:v>
      </x:c>
    </x:row>
    <x:row r="308" ht="22" customHeight="1">
      <x:c r="A308" s="18" t="str">
        <x:v>噩梦</x:v>
      </x:c>
      <x:c r="B308" s="18" t="n">
        <x:v>63</x:v>
      </x:c>
      <x:c r="C308" s="18" t="n">
        <x:f>ROUNDUP(B308/12,0)</x:f>
        <x:v>6</x:v>
      </x:c>
      <x:c r="D308" s="18" t="n">
        <x:f>ROUND(MAX('参数'!$G$28,E308)+(IF(C308&lt;10,INDEX('参数'!$G$36:$P$36,1,MIN(10,C308+1)),'参数'!$H$28)-MAX('参数'!$G$28,E308))*MOD(B308-1,12)/11,0)</x:f>
        <x:v>95</x:v>
      </x:c>
      <x:c r="E308" s="18" t="n">
        <x:f>INDEX('参数'!$G$36:$P$36,1,C308)</x:f>
        <x:v>95</x:v>
      </x:c>
      <x:c r="F308" s="15" t="n">
        <x:f>'参数'!$I$28</x:f>
        <x:v>1.16</x:v>
      </x:c>
      <x:c r="G308" s="18" t="n">
        <x:f>ROUND(V308*X308/'参数'!$B$56,0)</x:f>
        <x:v>243326</x:v>
      </x:c>
      <x:c r="H308" s="18" t="n">
        <x:f>ROUND((AA308+SQRT(AA308^2+4*AA308*'参数'!$B$22*U308))/2,0)</x:f>
        <x:v>9139</x:v>
      </x:c>
      <x:c r="I308" s="18" t="n">
        <x:f>ROUND(Q308*'参数'!$B$23/'参数'!$B$22,0)</x:f>
        <x:v>1562</x:v>
      </x:c>
      <x:c r="J308" s="18" t="n">
        <x:f>ROUND(G308*'参数'!$B$50,0)</x:f>
        <x:v>729978</x:v>
      </x:c>
      <x:c r="K308" s="18" t="n">
        <x:f>ROUND(W308*Y308,0)</x:f>
        <x:v>2386796</x:v>
      </x:c>
      <x:c r="L308" s="18" t="n">
        <x:f>ROUND((AB308+SQRT(AB308^2+4*AB308*'参数'!$B$22*U308))/2,0)</x:f>
        <x:v>15327</x:v>
      </x:c>
      <x:c r="M308" s="18" t="n">
        <x:f>ROUND(I308*'参数'!$B$24,0)</x:f>
        <x:v>1953</x:v>
      </x:c>
      <x:c r="N308" s="18" t="n">
        <x:f>'参数'!$B$9*'参数'!$B$10^(D308-1)</x:f>
        <x:v>9657.181031378484</x:v>
      </x:c>
      <x:c r="O308" s="18" t="n">
        <x:f>'参数'!$B$18*'参数'!$B$19^(MIN(E308,MAX(1,5*INT(D308/5)))-1)*F308*'参数'!$J$28*P308</x:f>
        <x:v>1372.1049972495236</x:v>
      </x:c>
      <x:c r="P308" s="21" t="n">
        <x:f>MIN(1,(D308-1)/19)</x:f>
        <x:v>1</x:v>
      </x:c>
      <x:c r="Q308" s="18" t="n">
        <x:f>INDEX('角色成长'!$F$6:$F$105,D308)+O308*'参数'!$K$21</x:f>
        <x:v>7811.499242161142</x:v>
      </x:c>
      <x:c r="R308" s="18" t="n">
        <x:f>INDEX('角色成长'!$I$6:$I$105,D308)+O308*'参数'!$K$21</x:f>
        <x:v>6719.499242161142</x:v>
      </x:c>
      <x:c r="S308" s="18" t="n">
        <x:f>INDEX('角色成长'!$L$6:$L$105,D308)+O308*'参数'!$K$21</x:f>
        <x:v>6095.499242161142</x:v>
      </x:c>
      <x:c r="T308" s="18" t="n">
        <x:f>(INDEX('角色成长'!$J$6:$J$105,D308)+O308*'参数'!$L$21)*(1+'参数'!$B$40*P308)</x:f>
        <x:v>89897.20403283337</x:v>
      </x:c>
      <x:c r="U308" s="18" t="n">
        <x:f>(INDEX('角色成长'!$K$6:$K$105,D308)+O308*'参数'!$M$21)*(1+'参数'!$B$41*P308)</x:f>
        <x:v>4873.202119705334</x:v>
      </x:c>
      <x:c r="V308" s="18" t="n">
        <x:f>(('参数'!$K$5*(((Q308*(1+'参数'!$B$39*P308))^2/((Q308*(1+'参数'!$B$39*P308))+'参数'!$B$22*(I308)))*(1+'参数'!$B$42*P308)/'参数'!$J$5+((Q308*'参数'!$B$43*(1+'参数'!$B$39*P308))^2/((Q308*'参数'!$B$43*(1+'参数'!$B$39*P308))+'参数'!$B$22*(I308)))/'参数'!$B$44))+(((R308*(1+'参数'!$B$39*P308))^2/((R308*(1+'参数'!$B$39*P308))+'参数'!$B$22*(I308)))*(1+'参数'!$B$42*P308)/'参数'!$J$6+((R308*'参数'!$B$45*(1+'参数'!$B$39*P308))^2/((R308*'参数'!$B$45*(1+'参数'!$B$39*P308))+'参数'!$B$22*(I308)))/'参数'!$B$46)+((S308*(1+'参数'!$B$39*P308))^2/((S308*(1+'参数'!$B$39*P308))+'参数'!$B$22*(I308)))*(1+'参数'!$B$42*P308)/'参数'!$J$7)*(1+'参数'!$B$37*('参数'!$B$38-1))*'参数'!$B$25</x:f>
        <x:v>52706.7138918444</x:v>
      </x:c>
      <x:c r="W308" s="18" t="n">
        <x:f>(('参数'!$K$5*(((Q308*(1+'参数'!$B$39*P308))^2/((Q308*(1+'参数'!$B$39*P308))+'参数'!$B$22*(M308)))*(1+'参数'!$B$42*P308)/'参数'!$J$5+((Q308*'参数'!$B$43*(1+'参数'!$B$39*P308))^2/((Q308*'参数'!$B$43*(1+'参数'!$B$39*P308))+'参数'!$B$22*(M308)))/'参数'!$B$44))+(((R308*(1+'参数'!$B$39*P308))^2/((R308*(1+'参数'!$B$39*P308))+'参数'!$B$22*(M308)))*(1+'参数'!$B$42*P308)/'参数'!$J$6+((R308*'参数'!$B$45*(1+'参数'!$B$39*P308))^2/((R308*'参数'!$B$45*(1+'参数'!$B$39*P308))+'参数'!$B$22*(M308)))/'参数'!$B$46)+((S308*(1+'参数'!$B$39*P308))^2/((S308*(1+'参数'!$B$39*P308))+'参数'!$B$22*(M308)))*(1+'参数'!$B$42*P308)/'参数'!$J$7)*(1+'参数'!$B$37*('参数'!$B$38-1))</x:f>
        <x:v>40600.131665990346</x:v>
      </x:c>
      <x:c r="X308" s="25" t="n">
        <x:f>('参数'!$B$26+'参数'!$B$27*(D308-1)/99)*'参数'!$K$28*AD308</x:f>
        <x:v>21.236363636363635</x:v>
      </x:c>
      <x:c r="Y308" s="25" t="n">
        <x:f>('参数'!$B$28+'参数'!$B$29*(D308-1)/99)*'参数'!$K$28*AD308*IF(AE308=1,'参数'!$B$51,1)</x:f>
        <x:v>58.78787878787878</x:v>
      </x:c>
      <x:c r="Z308" s="21" t="n">
        <x:f>MIN('参数'!$B$36,U308/(U308+'参数'!$B$35))</x:f>
        <x:v>0.5492044533599745</x:v>
      </x:c>
      <x:c r="AA308" s="18" t="n">
        <x:f>T308*'参数'!$B$30/('参数'!$B$32*'参数'!$B$33)/(1-Z308)*AC308</x:f>
        <x:v>5484.022921985576</x:v>
      </x:c>
      <x:c r="AB308" s="18" t="n">
        <x:f>T308*'参数'!$B$31/'参数'!$B$34/(1-Z308)*AC308</x:f>
        <x:v>10968.045843971151</x:v>
      </x:c>
      <x:c r="AC308" s="15" t="n">
        <x:f>'参数'!$L$28*1</x:f>
        <x:v>1.1</x:v>
      </x:c>
      <x:c r="AD308" s="15" t="n">
        <x:f>1</x:f>
        <x:v>1</x:v>
      </x:c>
      <x:c r="AE308" s="18" t="n">
        <x:f>IF(MOD(B308,12)=0,1,0)</x:f>
        <x:v>0</x:v>
      </x:c>
    </x:row>
    <x:row r="309" ht="22" customHeight="1">
      <x:c r="A309" s="19" t="str">
        <x:v>噩梦</x:v>
      </x:c>
      <x:c r="B309" s="19" t="n">
        <x:v>64</x:v>
      </x:c>
      <x:c r="C309" s="19" t="n">
        <x:f>ROUNDUP(B309/12,0)</x:f>
        <x:v>6</x:v>
      </x:c>
      <x:c r="D309" s="19" t="n">
        <x:f>ROUND(MAX('参数'!$G$28,E309)+(IF(C309&lt;10,INDEX('参数'!$G$36:$P$36,1,MIN(10,C309+1)),'参数'!$H$28)-MAX('参数'!$G$28,E309))*MOD(B309-1,12)/11,0)</x:f>
        <x:v>95</x:v>
      </x:c>
      <x:c r="E309" s="19" t="n">
        <x:f>INDEX('参数'!$G$36:$P$36,1,C309)</x:f>
        <x:v>95</x:v>
      </x:c>
      <x:c r="F309" s="20" t="n">
        <x:f>'参数'!$I$28</x:f>
        <x:v>1.16</x:v>
      </x:c>
      <x:c r="G309" s="19" t="n">
        <x:f>ROUND(V309*X309/'参数'!$B$56,0)</x:f>
        <x:v>243326</x:v>
      </x:c>
      <x:c r="H309" s="19" t="n">
        <x:f>ROUND((AA309+SQRT(AA309^2+4*AA309*'参数'!$B$22*U309))/2,0)</x:f>
        <x:v>9139</x:v>
      </x:c>
      <x:c r="I309" s="19" t="n">
        <x:f>ROUND(Q309*'参数'!$B$23/'参数'!$B$22,0)</x:f>
        <x:v>1562</x:v>
      </x:c>
      <x:c r="J309" s="19" t="n">
        <x:f>ROUND(G309*'参数'!$B$50,0)</x:f>
        <x:v>729978</x:v>
      </x:c>
      <x:c r="K309" s="19" t="n">
        <x:f>ROUND(W309*Y309,0)</x:f>
        <x:v>2386796</x:v>
      </x:c>
      <x:c r="L309" s="19" t="n">
        <x:f>ROUND((AB309+SQRT(AB309^2+4*AB309*'参数'!$B$22*U309))/2,0)</x:f>
        <x:v>15327</x:v>
      </x:c>
      <x:c r="M309" s="19" t="n">
        <x:f>ROUND(I309*'参数'!$B$24,0)</x:f>
        <x:v>1953</x:v>
      </x:c>
      <x:c r="N309" s="19" t="n">
        <x:f>'参数'!$B$9*'参数'!$B$10^(D309-1)</x:f>
        <x:v>9657.181031378484</x:v>
      </x:c>
      <x:c r="O309" s="19" t="n">
        <x:f>'参数'!$B$18*'参数'!$B$19^(MIN(E309,MAX(1,5*INT(D309/5)))-1)*F309*'参数'!$J$28*P309</x:f>
        <x:v>1372.1049972495236</x:v>
      </x:c>
      <x:c r="P309" s="22" t="n">
        <x:f>MIN(1,(D309-1)/19)</x:f>
        <x:v>1</x:v>
      </x:c>
      <x:c r="Q309" s="19" t="n">
        <x:f>INDEX('角色成长'!$F$6:$F$105,D309)+O309*'参数'!$K$21</x:f>
        <x:v>7811.499242161142</x:v>
      </x:c>
      <x:c r="R309" s="19" t="n">
        <x:f>INDEX('角色成长'!$I$6:$I$105,D309)+O309*'参数'!$K$21</x:f>
        <x:v>6719.499242161142</x:v>
      </x:c>
      <x:c r="S309" s="19" t="n">
        <x:f>INDEX('角色成长'!$L$6:$L$105,D309)+O309*'参数'!$K$21</x:f>
        <x:v>6095.499242161142</x:v>
      </x:c>
      <x:c r="T309" s="19" t="n">
        <x:f>(INDEX('角色成长'!$J$6:$J$105,D309)+O309*'参数'!$L$21)*(1+'参数'!$B$40*P309)</x:f>
        <x:v>89897.20403283337</x:v>
      </x:c>
      <x:c r="U309" s="19" t="n">
        <x:f>(INDEX('角色成长'!$K$6:$K$105,D309)+O309*'参数'!$M$21)*(1+'参数'!$B$41*P309)</x:f>
        <x:v>4873.202119705334</x:v>
      </x:c>
      <x:c r="V309" s="19" t="n">
        <x:f>(('参数'!$K$5*(((Q309*(1+'参数'!$B$39*P309))^2/((Q309*(1+'参数'!$B$39*P309))+'参数'!$B$22*(I309)))*(1+'参数'!$B$42*P309)/'参数'!$J$5+((Q309*'参数'!$B$43*(1+'参数'!$B$39*P309))^2/((Q309*'参数'!$B$43*(1+'参数'!$B$39*P309))+'参数'!$B$22*(I309)))/'参数'!$B$44))+(((R309*(1+'参数'!$B$39*P309))^2/((R309*(1+'参数'!$B$39*P309))+'参数'!$B$22*(I309)))*(1+'参数'!$B$42*P309)/'参数'!$J$6+((R309*'参数'!$B$45*(1+'参数'!$B$39*P309))^2/((R309*'参数'!$B$45*(1+'参数'!$B$39*P309))+'参数'!$B$22*(I309)))/'参数'!$B$46)+((S309*(1+'参数'!$B$39*P309))^2/((S309*(1+'参数'!$B$39*P309))+'参数'!$B$22*(I309)))*(1+'参数'!$B$42*P309)/'参数'!$J$7)*(1+'参数'!$B$37*('参数'!$B$38-1))*'参数'!$B$25</x:f>
        <x:v>52706.7138918444</x:v>
      </x:c>
      <x:c r="W309" s="19" t="n">
        <x:f>(('参数'!$K$5*(((Q309*(1+'参数'!$B$39*P309))^2/((Q309*(1+'参数'!$B$39*P309))+'参数'!$B$22*(M309)))*(1+'参数'!$B$42*P309)/'参数'!$J$5+((Q309*'参数'!$B$43*(1+'参数'!$B$39*P309))^2/((Q309*'参数'!$B$43*(1+'参数'!$B$39*P309))+'参数'!$B$22*(M309)))/'参数'!$B$44))+(((R309*(1+'参数'!$B$39*P309))^2/((R309*(1+'参数'!$B$39*P309))+'参数'!$B$22*(M309)))*(1+'参数'!$B$42*P309)/'参数'!$J$6+((R309*'参数'!$B$45*(1+'参数'!$B$39*P309))^2/((R309*'参数'!$B$45*(1+'参数'!$B$39*P309))+'参数'!$B$22*(M309)))/'参数'!$B$46)+((S309*(1+'参数'!$B$39*P309))^2/((S309*(1+'参数'!$B$39*P309))+'参数'!$B$22*(M309)))*(1+'参数'!$B$42*P309)/'参数'!$J$7)*(1+'参数'!$B$37*('参数'!$B$38-1))</x:f>
        <x:v>40600.131665990346</x:v>
      </x:c>
      <x:c r="X309" s="26" t="n">
        <x:f>('参数'!$B$26+'参数'!$B$27*(D309-1)/99)*'参数'!$K$28*AD309</x:f>
        <x:v>21.236363636363635</x:v>
      </x:c>
      <x:c r="Y309" s="26" t="n">
        <x:f>('参数'!$B$28+'参数'!$B$29*(D309-1)/99)*'参数'!$K$28*AD309*IF(AE309=1,'参数'!$B$51,1)</x:f>
        <x:v>58.78787878787878</x:v>
      </x:c>
      <x:c r="Z309" s="22" t="n">
        <x:f>MIN('参数'!$B$36,U309/(U309+'参数'!$B$35))</x:f>
        <x:v>0.5492044533599745</x:v>
      </x:c>
      <x:c r="AA309" s="19" t="n">
        <x:f>T309*'参数'!$B$30/('参数'!$B$32*'参数'!$B$33)/(1-Z309)*AC309</x:f>
        <x:v>5484.022921985576</x:v>
      </x:c>
      <x:c r="AB309" s="19" t="n">
        <x:f>T309*'参数'!$B$31/'参数'!$B$34/(1-Z309)*AC309</x:f>
        <x:v>10968.045843971151</x:v>
      </x:c>
      <x:c r="AC309" s="20" t="n">
        <x:f>'参数'!$L$28*1</x:f>
        <x:v>1.1</x:v>
      </x:c>
      <x:c r="AD309" s="20" t="n">
        <x:f>1</x:f>
        <x:v>1</x:v>
      </x:c>
      <x:c r="AE309" s="19" t="n">
        <x:f>IF(MOD(B309,12)=0,1,0)</x:f>
        <x:v>0</x:v>
      </x:c>
    </x:row>
    <x:row r="310" ht="22" customHeight="1">
      <x:c r="A310" s="18" t="str">
        <x:v>噩梦</x:v>
      </x:c>
      <x:c r="B310" s="18" t="n">
        <x:v>65</x:v>
      </x:c>
      <x:c r="C310" s="18" t="n">
        <x:f>ROUNDUP(B310/12,0)</x:f>
        <x:v>6</x:v>
      </x:c>
      <x:c r="D310" s="18" t="n">
        <x:f>ROUND(MAX('参数'!$G$28,E310)+(IF(C310&lt;10,INDEX('参数'!$G$36:$P$36,1,MIN(10,C310+1)),'参数'!$H$28)-MAX('参数'!$G$28,E310))*MOD(B310-1,12)/11,0)</x:f>
        <x:v>95</x:v>
      </x:c>
      <x:c r="E310" s="18" t="n">
        <x:f>INDEX('参数'!$G$36:$P$36,1,C310)</x:f>
        <x:v>95</x:v>
      </x:c>
      <x:c r="F310" s="15" t="n">
        <x:f>'参数'!$I$28</x:f>
        <x:v>1.16</x:v>
      </x:c>
      <x:c r="G310" s="18" t="n">
        <x:f>ROUND(V310*X310/'参数'!$B$56,0)</x:f>
        <x:v>243326</x:v>
      </x:c>
      <x:c r="H310" s="18" t="n">
        <x:f>ROUND((AA310+SQRT(AA310^2+4*AA310*'参数'!$B$22*U310))/2,0)</x:f>
        <x:v>9139</x:v>
      </x:c>
      <x:c r="I310" s="18" t="n">
        <x:f>ROUND(Q310*'参数'!$B$23/'参数'!$B$22,0)</x:f>
        <x:v>1562</x:v>
      </x:c>
      <x:c r="J310" s="18" t="n">
        <x:f>ROUND(G310*'参数'!$B$50,0)</x:f>
        <x:v>729978</x:v>
      </x:c>
      <x:c r="K310" s="18" t="n">
        <x:f>ROUND(W310*Y310,0)</x:f>
        <x:v>2386796</x:v>
      </x:c>
      <x:c r="L310" s="18" t="n">
        <x:f>ROUND((AB310+SQRT(AB310^2+4*AB310*'参数'!$B$22*U310))/2,0)</x:f>
        <x:v>15327</x:v>
      </x:c>
      <x:c r="M310" s="18" t="n">
        <x:f>ROUND(I310*'参数'!$B$24,0)</x:f>
        <x:v>1953</x:v>
      </x:c>
      <x:c r="N310" s="18" t="n">
        <x:f>'参数'!$B$9*'参数'!$B$10^(D310-1)</x:f>
        <x:v>9657.181031378484</x:v>
      </x:c>
      <x:c r="O310" s="18" t="n">
        <x:f>'参数'!$B$18*'参数'!$B$19^(MIN(E310,MAX(1,5*INT(D310/5)))-1)*F310*'参数'!$J$28*P310</x:f>
        <x:v>1372.1049972495236</x:v>
      </x:c>
      <x:c r="P310" s="21" t="n">
        <x:f>MIN(1,(D310-1)/19)</x:f>
        <x:v>1</x:v>
      </x:c>
      <x:c r="Q310" s="18" t="n">
        <x:f>INDEX('角色成长'!$F$6:$F$105,D310)+O310*'参数'!$K$21</x:f>
        <x:v>7811.499242161142</x:v>
      </x:c>
      <x:c r="R310" s="18" t="n">
        <x:f>INDEX('角色成长'!$I$6:$I$105,D310)+O310*'参数'!$K$21</x:f>
        <x:v>6719.499242161142</x:v>
      </x:c>
      <x:c r="S310" s="18" t="n">
        <x:f>INDEX('角色成长'!$L$6:$L$105,D310)+O310*'参数'!$K$21</x:f>
        <x:v>6095.499242161142</x:v>
      </x:c>
      <x:c r="T310" s="18" t="n">
        <x:f>(INDEX('角色成长'!$J$6:$J$105,D310)+O310*'参数'!$L$21)*(1+'参数'!$B$40*P310)</x:f>
        <x:v>89897.20403283337</x:v>
      </x:c>
      <x:c r="U310" s="18" t="n">
        <x:f>(INDEX('角色成长'!$K$6:$K$105,D310)+O310*'参数'!$M$21)*(1+'参数'!$B$41*P310)</x:f>
        <x:v>4873.202119705334</x:v>
      </x:c>
      <x:c r="V310" s="18" t="n">
        <x:f>(('参数'!$K$5*(((Q310*(1+'参数'!$B$39*P310))^2/((Q310*(1+'参数'!$B$39*P310))+'参数'!$B$22*(I310)))*(1+'参数'!$B$42*P310)/'参数'!$J$5+((Q310*'参数'!$B$43*(1+'参数'!$B$39*P310))^2/((Q310*'参数'!$B$43*(1+'参数'!$B$39*P310))+'参数'!$B$22*(I310)))/'参数'!$B$44))+(((R310*(1+'参数'!$B$39*P310))^2/((R310*(1+'参数'!$B$39*P310))+'参数'!$B$22*(I310)))*(1+'参数'!$B$42*P310)/'参数'!$J$6+((R310*'参数'!$B$45*(1+'参数'!$B$39*P310))^2/((R310*'参数'!$B$45*(1+'参数'!$B$39*P310))+'参数'!$B$22*(I310)))/'参数'!$B$46)+((S310*(1+'参数'!$B$39*P310))^2/((S310*(1+'参数'!$B$39*P310))+'参数'!$B$22*(I310)))*(1+'参数'!$B$42*P310)/'参数'!$J$7)*(1+'参数'!$B$37*('参数'!$B$38-1))*'参数'!$B$25</x:f>
        <x:v>52706.7138918444</x:v>
      </x:c>
      <x:c r="W310" s="18" t="n">
        <x:f>(('参数'!$K$5*(((Q310*(1+'参数'!$B$39*P310))^2/((Q310*(1+'参数'!$B$39*P310))+'参数'!$B$22*(M310)))*(1+'参数'!$B$42*P310)/'参数'!$J$5+((Q310*'参数'!$B$43*(1+'参数'!$B$39*P310))^2/((Q310*'参数'!$B$43*(1+'参数'!$B$39*P310))+'参数'!$B$22*(M310)))/'参数'!$B$44))+(((R310*(1+'参数'!$B$39*P310))^2/((R310*(1+'参数'!$B$39*P310))+'参数'!$B$22*(M310)))*(1+'参数'!$B$42*P310)/'参数'!$J$6+((R310*'参数'!$B$45*(1+'参数'!$B$39*P310))^2/((R310*'参数'!$B$45*(1+'参数'!$B$39*P310))+'参数'!$B$22*(M310)))/'参数'!$B$46)+((S310*(1+'参数'!$B$39*P310))^2/((S310*(1+'参数'!$B$39*P310))+'参数'!$B$22*(M310)))*(1+'参数'!$B$42*P310)/'参数'!$J$7)*(1+'参数'!$B$37*('参数'!$B$38-1))</x:f>
        <x:v>40600.131665990346</x:v>
      </x:c>
      <x:c r="X310" s="25" t="n">
        <x:f>('参数'!$B$26+'参数'!$B$27*(D310-1)/99)*'参数'!$K$28*AD310</x:f>
        <x:v>21.236363636363635</x:v>
      </x:c>
      <x:c r="Y310" s="25" t="n">
        <x:f>('参数'!$B$28+'参数'!$B$29*(D310-1)/99)*'参数'!$K$28*AD310*IF(AE310=1,'参数'!$B$51,1)</x:f>
        <x:v>58.78787878787878</x:v>
      </x:c>
      <x:c r="Z310" s="21" t="n">
        <x:f>MIN('参数'!$B$36,U310/(U310+'参数'!$B$35))</x:f>
        <x:v>0.5492044533599745</x:v>
      </x:c>
      <x:c r="AA310" s="18" t="n">
        <x:f>T310*'参数'!$B$30/('参数'!$B$32*'参数'!$B$33)/(1-Z310)*AC310</x:f>
        <x:v>5484.022921985576</x:v>
      </x:c>
      <x:c r="AB310" s="18" t="n">
        <x:f>T310*'参数'!$B$31/'参数'!$B$34/(1-Z310)*AC310</x:f>
        <x:v>10968.045843971151</x:v>
      </x:c>
      <x:c r="AC310" s="15" t="n">
        <x:f>'参数'!$L$28*1</x:f>
        <x:v>1.1</x:v>
      </x:c>
      <x:c r="AD310" s="15" t="n">
        <x:f>1</x:f>
        <x:v>1</x:v>
      </x:c>
      <x:c r="AE310" s="18" t="n">
        <x:f>IF(MOD(B310,12)=0,1,0)</x:f>
        <x:v>0</x:v>
      </x:c>
    </x:row>
    <x:row r="311" ht="22" customHeight="1">
      <x:c r="A311" s="19" t="str">
        <x:v>噩梦</x:v>
      </x:c>
      <x:c r="B311" s="19" t="n">
        <x:v>66</x:v>
      </x:c>
      <x:c r="C311" s="19" t="n">
        <x:f>ROUNDUP(B311/12,0)</x:f>
        <x:v>6</x:v>
      </x:c>
      <x:c r="D311" s="19" t="n">
        <x:f>ROUND(MAX('参数'!$G$28,E311)+(IF(C311&lt;10,INDEX('参数'!$G$36:$P$36,1,MIN(10,C311+1)),'参数'!$H$28)-MAX('参数'!$G$28,E311))*MOD(B311-1,12)/11,0)</x:f>
        <x:v>95</x:v>
      </x:c>
      <x:c r="E311" s="19" t="n">
        <x:f>INDEX('参数'!$G$36:$P$36,1,C311)</x:f>
        <x:v>95</x:v>
      </x:c>
      <x:c r="F311" s="20" t="n">
        <x:f>'参数'!$I$28</x:f>
        <x:v>1.16</x:v>
      </x:c>
      <x:c r="G311" s="19" t="n">
        <x:f>ROUND(V311*X311/'参数'!$B$56,0)</x:f>
        <x:v>243326</x:v>
      </x:c>
      <x:c r="H311" s="19" t="n">
        <x:f>ROUND((AA311+SQRT(AA311^2+4*AA311*'参数'!$B$22*U311))/2,0)</x:f>
        <x:v>9139</x:v>
      </x:c>
      <x:c r="I311" s="19" t="n">
        <x:f>ROUND(Q311*'参数'!$B$23/'参数'!$B$22,0)</x:f>
        <x:v>1562</x:v>
      </x:c>
      <x:c r="J311" s="19" t="n">
        <x:f>ROUND(G311*'参数'!$B$50,0)</x:f>
        <x:v>729978</x:v>
      </x:c>
      <x:c r="K311" s="19" t="n">
        <x:f>ROUND(W311*Y311,0)</x:f>
        <x:v>2386796</x:v>
      </x:c>
      <x:c r="L311" s="19" t="n">
        <x:f>ROUND((AB311+SQRT(AB311^2+4*AB311*'参数'!$B$22*U311))/2,0)</x:f>
        <x:v>15327</x:v>
      </x:c>
      <x:c r="M311" s="19" t="n">
        <x:f>ROUND(I311*'参数'!$B$24,0)</x:f>
        <x:v>1953</x:v>
      </x:c>
      <x:c r="N311" s="19" t="n">
        <x:f>'参数'!$B$9*'参数'!$B$10^(D311-1)</x:f>
        <x:v>9657.181031378484</x:v>
      </x:c>
      <x:c r="O311" s="19" t="n">
        <x:f>'参数'!$B$18*'参数'!$B$19^(MIN(E311,MAX(1,5*INT(D311/5)))-1)*F311*'参数'!$J$28*P311</x:f>
        <x:v>1372.1049972495236</x:v>
      </x:c>
      <x:c r="P311" s="22" t="n">
        <x:f>MIN(1,(D311-1)/19)</x:f>
        <x:v>1</x:v>
      </x:c>
      <x:c r="Q311" s="19" t="n">
        <x:f>INDEX('角色成长'!$F$6:$F$105,D311)+O311*'参数'!$K$21</x:f>
        <x:v>7811.499242161142</x:v>
      </x:c>
      <x:c r="R311" s="19" t="n">
        <x:f>INDEX('角色成长'!$I$6:$I$105,D311)+O311*'参数'!$K$21</x:f>
        <x:v>6719.499242161142</x:v>
      </x:c>
      <x:c r="S311" s="19" t="n">
        <x:f>INDEX('角色成长'!$L$6:$L$105,D311)+O311*'参数'!$K$21</x:f>
        <x:v>6095.499242161142</x:v>
      </x:c>
      <x:c r="T311" s="19" t="n">
        <x:f>(INDEX('角色成长'!$J$6:$J$105,D311)+O311*'参数'!$L$21)*(1+'参数'!$B$40*P311)</x:f>
        <x:v>89897.20403283337</x:v>
      </x:c>
      <x:c r="U311" s="19" t="n">
        <x:f>(INDEX('角色成长'!$K$6:$K$105,D311)+O311*'参数'!$M$21)*(1+'参数'!$B$41*P311)</x:f>
        <x:v>4873.202119705334</x:v>
      </x:c>
      <x:c r="V311" s="19" t="n">
        <x:f>(('参数'!$K$5*(((Q311*(1+'参数'!$B$39*P311))^2/((Q311*(1+'参数'!$B$39*P311))+'参数'!$B$22*(I311)))*(1+'参数'!$B$42*P311)/'参数'!$J$5+((Q311*'参数'!$B$43*(1+'参数'!$B$39*P311))^2/((Q311*'参数'!$B$43*(1+'参数'!$B$39*P311))+'参数'!$B$22*(I311)))/'参数'!$B$44))+(((R311*(1+'参数'!$B$39*P311))^2/((R311*(1+'参数'!$B$39*P311))+'参数'!$B$22*(I311)))*(1+'参数'!$B$42*P311)/'参数'!$J$6+((R311*'参数'!$B$45*(1+'参数'!$B$39*P311))^2/((R311*'参数'!$B$45*(1+'参数'!$B$39*P311))+'参数'!$B$22*(I311)))/'参数'!$B$46)+((S311*(1+'参数'!$B$39*P311))^2/((S311*(1+'参数'!$B$39*P311))+'参数'!$B$22*(I311)))*(1+'参数'!$B$42*P311)/'参数'!$J$7)*(1+'参数'!$B$37*('参数'!$B$38-1))*'参数'!$B$25</x:f>
        <x:v>52706.7138918444</x:v>
      </x:c>
      <x:c r="W311" s="19" t="n">
        <x:f>(('参数'!$K$5*(((Q311*(1+'参数'!$B$39*P311))^2/((Q311*(1+'参数'!$B$39*P311))+'参数'!$B$22*(M311)))*(1+'参数'!$B$42*P311)/'参数'!$J$5+((Q311*'参数'!$B$43*(1+'参数'!$B$39*P311))^2/((Q311*'参数'!$B$43*(1+'参数'!$B$39*P311))+'参数'!$B$22*(M311)))/'参数'!$B$44))+(((R311*(1+'参数'!$B$39*P311))^2/((R311*(1+'参数'!$B$39*P311))+'参数'!$B$22*(M311)))*(1+'参数'!$B$42*P311)/'参数'!$J$6+((R311*'参数'!$B$45*(1+'参数'!$B$39*P311))^2/((R311*'参数'!$B$45*(1+'参数'!$B$39*P311))+'参数'!$B$22*(M311)))/'参数'!$B$46)+((S311*(1+'参数'!$B$39*P311))^2/((S311*(1+'参数'!$B$39*P311))+'参数'!$B$22*(M311)))*(1+'参数'!$B$42*P311)/'参数'!$J$7)*(1+'参数'!$B$37*('参数'!$B$38-1))</x:f>
        <x:v>40600.131665990346</x:v>
      </x:c>
      <x:c r="X311" s="26" t="n">
        <x:f>('参数'!$B$26+'参数'!$B$27*(D311-1)/99)*'参数'!$K$28*AD311</x:f>
        <x:v>21.236363636363635</x:v>
      </x:c>
      <x:c r="Y311" s="26" t="n">
        <x:f>('参数'!$B$28+'参数'!$B$29*(D311-1)/99)*'参数'!$K$28*AD311*IF(AE311=1,'参数'!$B$51,1)</x:f>
        <x:v>58.78787878787878</x:v>
      </x:c>
      <x:c r="Z311" s="22" t="n">
        <x:f>MIN('参数'!$B$36,U311/(U311+'参数'!$B$35))</x:f>
        <x:v>0.5492044533599745</x:v>
      </x:c>
      <x:c r="AA311" s="19" t="n">
        <x:f>T311*'参数'!$B$30/('参数'!$B$32*'参数'!$B$33)/(1-Z311)*AC311</x:f>
        <x:v>5484.022921985576</x:v>
      </x:c>
      <x:c r="AB311" s="19" t="n">
        <x:f>T311*'参数'!$B$31/'参数'!$B$34/(1-Z311)*AC311</x:f>
        <x:v>10968.045843971151</x:v>
      </x:c>
      <x:c r="AC311" s="20" t="n">
        <x:f>'参数'!$L$28*1</x:f>
        <x:v>1.1</x:v>
      </x:c>
      <x:c r="AD311" s="20" t="n">
        <x:f>1</x:f>
        <x:v>1</x:v>
      </x:c>
      <x:c r="AE311" s="19" t="n">
        <x:f>IF(MOD(B311,12)=0,1,0)</x:f>
        <x:v>0</x:v>
      </x:c>
    </x:row>
    <x:row r="312" ht="22" customHeight="1">
      <x:c r="A312" s="18" t="str">
        <x:v>噩梦</x:v>
      </x:c>
      <x:c r="B312" s="18" t="n">
        <x:v>67</x:v>
      </x:c>
      <x:c r="C312" s="18" t="n">
        <x:f>ROUNDUP(B312/12,0)</x:f>
        <x:v>6</x:v>
      </x:c>
      <x:c r="D312" s="18" t="n">
        <x:f>ROUND(MAX('参数'!$G$28,E312)+(IF(C312&lt;10,INDEX('参数'!$G$36:$P$36,1,MIN(10,C312+1)),'参数'!$H$28)-MAX('参数'!$G$28,E312))*MOD(B312-1,12)/11,0)</x:f>
        <x:v>95</x:v>
      </x:c>
      <x:c r="E312" s="18" t="n">
        <x:f>INDEX('参数'!$G$36:$P$36,1,C312)</x:f>
        <x:v>95</x:v>
      </x:c>
      <x:c r="F312" s="15" t="n">
        <x:f>'参数'!$I$28</x:f>
        <x:v>1.16</x:v>
      </x:c>
      <x:c r="G312" s="18" t="n">
        <x:f>ROUND(V312*X312/'参数'!$B$56,0)</x:f>
        <x:v>243326</x:v>
      </x:c>
      <x:c r="H312" s="18" t="n">
        <x:f>ROUND((AA312+SQRT(AA312^2+4*AA312*'参数'!$B$22*U312))/2,0)</x:f>
        <x:v>9139</x:v>
      </x:c>
      <x:c r="I312" s="18" t="n">
        <x:f>ROUND(Q312*'参数'!$B$23/'参数'!$B$22,0)</x:f>
        <x:v>1562</x:v>
      </x:c>
      <x:c r="J312" s="18" t="n">
        <x:f>ROUND(G312*'参数'!$B$50,0)</x:f>
        <x:v>729978</x:v>
      </x:c>
      <x:c r="K312" s="18" t="n">
        <x:f>ROUND(W312*Y312,0)</x:f>
        <x:v>2386796</x:v>
      </x:c>
      <x:c r="L312" s="18" t="n">
        <x:f>ROUND((AB312+SQRT(AB312^2+4*AB312*'参数'!$B$22*U312))/2,0)</x:f>
        <x:v>15327</x:v>
      </x:c>
      <x:c r="M312" s="18" t="n">
        <x:f>ROUND(I312*'参数'!$B$24,0)</x:f>
        <x:v>1953</x:v>
      </x:c>
      <x:c r="N312" s="18" t="n">
        <x:f>'参数'!$B$9*'参数'!$B$10^(D312-1)</x:f>
        <x:v>9657.181031378484</x:v>
      </x:c>
      <x:c r="O312" s="18" t="n">
        <x:f>'参数'!$B$18*'参数'!$B$19^(MIN(E312,MAX(1,5*INT(D312/5)))-1)*F312*'参数'!$J$28*P312</x:f>
        <x:v>1372.1049972495236</x:v>
      </x:c>
      <x:c r="P312" s="21" t="n">
        <x:f>MIN(1,(D312-1)/19)</x:f>
        <x:v>1</x:v>
      </x:c>
      <x:c r="Q312" s="18" t="n">
        <x:f>INDEX('角色成长'!$F$6:$F$105,D312)+O312*'参数'!$K$21</x:f>
        <x:v>7811.499242161142</x:v>
      </x:c>
      <x:c r="R312" s="18" t="n">
        <x:f>INDEX('角色成长'!$I$6:$I$105,D312)+O312*'参数'!$K$21</x:f>
        <x:v>6719.499242161142</x:v>
      </x:c>
      <x:c r="S312" s="18" t="n">
        <x:f>INDEX('角色成长'!$L$6:$L$105,D312)+O312*'参数'!$K$21</x:f>
        <x:v>6095.499242161142</x:v>
      </x:c>
      <x:c r="T312" s="18" t="n">
        <x:f>(INDEX('角色成长'!$J$6:$J$105,D312)+O312*'参数'!$L$21)*(1+'参数'!$B$40*P312)</x:f>
        <x:v>89897.20403283337</x:v>
      </x:c>
      <x:c r="U312" s="18" t="n">
        <x:f>(INDEX('角色成长'!$K$6:$K$105,D312)+O312*'参数'!$M$21)*(1+'参数'!$B$41*P312)</x:f>
        <x:v>4873.202119705334</x:v>
      </x:c>
      <x:c r="V312" s="18" t="n">
        <x:f>(('参数'!$K$5*(((Q312*(1+'参数'!$B$39*P312))^2/((Q312*(1+'参数'!$B$39*P312))+'参数'!$B$22*(I312)))*(1+'参数'!$B$42*P312)/'参数'!$J$5+((Q312*'参数'!$B$43*(1+'参数'!$B$39*P312))^2/((Q312*'参数'!$B$43*(1+'参数'!$B$39*P312))+'参数'!$B$22*(I312)))/'参数'!$B$44))+(((R312*(1+'参数'!$B$39*P312))^2/((R312*(1+'参数'!$B$39*P312))+'参数'!$B$22*(I312)))*(1+'参数'!$B$42*P312)/'参数'!$J$6+((R312*'参数'!$B$45*(1+'参数'!$B$39*P312))^2/((R312*'参数'!$B$45*(1+'参数'!$B$39*P312))+'参数'!$B$22*(I312)))/'参数'!$B$46)+((S312*(1+'参数'!$B$39*P312))^2/((S312*(1+'参数'!$B$39*P312))+'参数'!$B$22*(I312)))*(1+'参数'!$B$42*P312)/'参数'!$J$7)*(1+'参数'!$B$37*('参数'!$B$38-1))*'参数'!$B$25</x:f>
        <x:v>52706.7138918444</x:v>
      </x:c>
      <x:c r="W312" s="18" t="n">
        <x:f>(('参数'!$K$5*(((Q312*(1+'参数'!$B$39*P312))^2/((Q312*(1+'参数'!$B$39*P312))+'参数'!$B$22*(M312)))*(1+'参数'!$B$42*P312)/'参数'!$J$5+((Q312*'参数'!$B$43*(1+'参数'!$B$39*P312))^2/((Q312*'参数'!$B$43*(1+'参数'!$B$39*P312))+'参数'!$B$22*(M312)))/'参数'!$B$44))+(((R312*(1+'参数'!$B$39*P312))^2/((R312*(1+'参数'!$B$39*P312))+'参数'!$B$22*(M312)))*(1+'参数'!$B$42*P312)/'参数'!$J$6+((R312*'参数'!$B$45*(1+'参数'!$B$39*P312))^2/((R312*'参数'!$B$45*(1+'参数'!$B$39*P312))+'参数'!$B$22*(M312)))/'参数'!$B$46)+((S312*(1+'参数'!$B$39*P312))^2/((S312*(1+'参数'!$B$39*P312))+'参数'!$B$22*(M312)))*(1+'参数'!$B$42*P312)/'参数'!$J$7)*(1+'参数'!$B$37*('参数'!$B$38-1))</x:f>
        <x:v>40600.131665990346</x:v>
      </x:c>
      <x:c r="X312" s="25" t="n">
        <x:f>('参数'!$B$26+'参数'!$B$27*(D312-1)/99)*'参数'!$K$28*AD312</x:f>
        <x:v>21.236363636363635</x:v>
      </x:c>
      <x:c r="Y312" s="25" t="n">
        <x:f>('参数'!$B$28+'参数'!$B$29*(D312-1)/99)*'参数'!$K$28*AD312*IF(AE312=1,'参数'!$B$51,1)</x:f>
        <x:v>58.78787878787878</x:v>
      </x:c>
      <x:c r="Z312" s="21" t="n">
        <x:f>MIN('参数'!$B$36,U312/(U312+'参数'!$B$35))</x:f>
        <x:v>0.5492044533599745</x:v>
      </x:c>
      <x:c r="AA312" s="18" t="n">
        <x:f>T312*'参数'!$B$30/('参数'!$B$32*'参数'!$B$33)/(1-Z312)*AC312</x:f>
        <x:v>5484.022921985576</x:v>
      </x:c>
      <x:c r="AB312" s="18" t="n">
        <x:f>T312*'参数'!$B$31/'参数'!$B$34/(1-Z312)*AC312</x:f>
        <x:v>10968.045843971151</x:v>
      </x:c>
      <x:c r="AC312" s="15" t="n">
        <x:f>'参数'!$L$28*1</x:f>
        <x:v>1.1</x:v>
      </x:c>
      <x:c r="AD312" s="15" t="n">
        <x:f>1</x:f>
        <x:v>1</x:v>
      </x:c>
      <x:c r="AE312" s="18" t="n">
        <x:f>IF(MOD(B312,12)=0,1,0)</x:f>
        <x:v>0</x:v>
      </x:c>
    </x:row>
    <x:row r="313" ht="22" customHeight="1">
      <x:c r="A313" s="19" t="str">
        <x:v>噩梦</x:v>
      </x:c>
      <x:c r="B313" s="19" t="n">
        <x:v>68</x:v>
      </x:c>
      <x:c r="C313" s="19" t="n">
        <x:f>ROUNDUP(B313/12,0)</x:f>
        <x:v>6</x:v>
      </x:c>
      <x:c r="D313" s="19" t="n">
        <x:f>ROUND(MAX('参数'!$G$28,E313)+(IF(C313&lt;10,INDEX('参数'!$G$36:$P$36,1,MIN(10,C313+1)),'参数'!$H$28)-MAX('参数'!$G$28,E313))*MOD(B313-1,12)/11,0)</x:f>
        <x:v>95</x:v>
      </x:c>
      <x:c r="E313" s="19" t="n">
        <x:f>INDEX('参数'!$G$36:$P$36,1,C313)</x:f>
        <x:v>95</x:v>
      </x:c>
      <x:c r="F313" s="20" t="n">
        <x:f>'参数'!$I$28</x:f>
        <x:v>1.16</x:v>
      </x:c>
      <x:c r="G313" s="19" t="n">
        <x:f>ROUND(V313*X313/'参数'!$B$56,0)</x:f>
        <x:v>243326</x:v>
      </x:c>
      <x:c r="H313" s="19" t="n">
        <x:f>ROUND((AA313+SQRT(AA313^2+4*AA313*'参数'!$B$22*U313))/2,0)</x:f>
        <x:v>9139</x:v>
      </x:c>
      <x:c r="I313" s="19" t="n">
        <x:f>ROUND(Q313*'参数'!$B$23/'参数'!$B$22,0)</x:f>
        <x:v>1562</x:v>
      </x:c>
      <x:c r="J313" s="19" t="n">
        <x:f>ROUND(G313*'参数'!$B$50,0)</x:f>
        <x:v>729978</x:v>
      </x:c>
      <x:c r="K313" s="19" t="n">
        <x:f>ROUND(W313*Y313,0)</x:f>
        <x:v>2386796</x:v>
      </x:c>
      <x:c r="L313" s="19" t="n">
        <x:f>ROUND((AB313+SQRT(AB313^2+4*AB313*'参数'!$B$22*U313))/2,0)</x:f>
        <x:v>15327</x:v>
      </x:c>
      <x:c r="M313" s="19" t="n">
        <x:f>ROUND(I313*'参数'!$B$24,0)</x:f>
        <x:v>1953</x:v>
      </x:c>
      <x:c r="N313" s="19" t="n">
        <x:f>'参数'!$B$9*'参数'!$B$10^(D313-1)</x:f>
        <x:v>9657.181031378484</x:v>
      </x:c>
      <x:c r="O313" s="19" t="n">
        <x:f>'参数'!$B$18*'参数'!$B$19^(MIN(E313,MAX(1,5*INT(D313/5)))-1)*F313*'参数'!$J$28*P313</x:f>
        <x:v>1372.1049972495236</x:v>
      </x:c>
      <x:c r="P313" s="22" t="n">
        <x:f>MIN(1,(D313-1)/19)</x:f>
        <x:v>1</x:v>
      </x:c>
      <x:c r="Q313" s="19" t="n">
        <x:f>INDEX('角色成长'!$F$6:$F$105,D313)+O313*'参数'!$K$21</x:f>
        <x:v>7811.499242161142</x:v>
      </x:c>
      <x:c r="R313" s="19" t="n">
        <x:f>INDEX('角色成长'!$I$6:$I$105,D313)+O313*'参数'!$K$21</x:f>
        <x:v>6719.499242161142</x:v>
      </x:c>
      <x:c r="S313" s="19" t="n">
        <x:f>INDEX('角色成长'!$L$6:$L$105,D313)+O313*'参数'!$K$21</x:f>
        <x:v>6095.499242161142</x:v>
      </x:c>
      <x:c r="T313" s="19" t="n">
        <x:f>(INDEX('角色成长'!$J$6:$J$105,D313)+O313*'参数'!$L$21)*(1+'参数'!$B$40*P313)</x:f>
        <x:v>89897.20403283337</x:v>
      </x:c>
      <x:c r="U313" s="19" t="n">
        <x:f>(INDEX('角色成长'!$K$6:$K$105,D313)+O313*'参数'!$M$21)*(1+'参数'!$B$41*P313)</x:f>
        <x:v>4873.202119705334</x:v>
      </x:c>
      <x:c r="V313" s="19" t="n">
        <x:f>(('参数'!$K$5*(((Q313*(1+'参数'!$B$39*P313))^2/((Q313*(1+'参数'!$B$39*P313))+'参数'!$B$22*(I313)))*(1+'参数'!$B$42*P313)/'参数'!$J$5+((Q313*'参数'!$B$43*(1+'参数'!$B$39*P313))^2/((Q313*'参数'!$B$43*(1+'参数'!$B$39*P313))+'参数'!$B$22*(I313)))/'参数'!$B$44))+(((R313*(1+'参数'!$B$39*P313))^2/((R313*(1+'参数'!$B$39*P313))+'参数'!$B$22*(I313)))*(1+'参数'!$B$42*P313)/'参数'!$J$6+((R313*'参数'!$B$45*(1+'参数'!$B$39*P313))^2/((R313*'参数'!$B$45*(1+'参数'!$B$39*P313))+'参数'!$B$22*(I313)))/'参数'!$B$46)+((S313*(1+'参数'!$B$39*P313))^2/((S313*(1+'参数'!$B$39*P313))+'参数'!$B$22*(I313)))*(1+'参数'!$B$42*P313)/'参数'!$J$7)*(1+'参数'!$B$37*('参数'!$B$38-1))*'参数'!$B$25</x:f>
        <x:v>52706.7138918444</x:v>
      </x:c>
      <x:c r="W313" s="19" t="n">
        <x:f>(('参数'!$K$5*(((Q313*(1+'参数'!$B$39*P313))^2/((Q313*(1+'参数'!$B$39*P313))+'参数'!$B$22*(M313)))*(1+'参数'!$B$42*P313)/'参数'!$J$5+((Q313*'参数'!$B$43*(1+'参数'!$B$39*P313))^2/((Q313*'参数'!$B$43*(1+'参数'!$B$39*P313))+'参数'!$B$22*(M313)))/'参数'!$B$44))+(((R313*(1+'参数'!$B$39*P313))^2/((R313*(1+'参数'!$B$39*P313))+'参数'!$B$22*(M313)))*(1+'参数'!$B$42*P313)/'参数'!$J$6+((R313*'参数'!$B$45*(1+'参数'!$B$39*P313))^2/((R313*'参数'!$B$45*(1+'参数'!$B$39*P313))+'参数'!$B$22*(M313)))/'参数'!$B$46)+((S313*(1+'参数'!$B$39*P313))^2/((S313*(1+'参数'!$B$39*P313))+'参数'!$B$22*(M313)))*(1+'参数'!$B$42*P313)/'参数'!$J$7)*(1+'参数'!$B$37*('参数'!$B$38-1))</x:f>
        <x:v>40600.131665990346</x:v>
      </x:c>
      <x:c r="X313" s="26" t="n">
        <x:f>('参数'!$B$26+'参数'!$B$27*(D313-1)/99)*'参数'!$K$28*AD313</x:f>
        <x:v>21.236363636363635</x:v>
      </x:c>
      <x:c r="Y313" s="26" t="n">
        <x:f>('参数'!$B$28+'参数'!$B$29*(D313-1)/99)*'参数'!$K$28*AD313*IF(AE313=1,'参数'!$B$51,1)</x:f>
        <x:v>58.78787878787878</x:v>
      </x:c>
      <x:c r="Z313" s="22" t="n">
        <x:f>MIN('参数'!$B$36,U313/(U313+'参数'!$B$35))</x:f>
        <x:v>0.5492044533599745</x:v>
      </x:c>
      <x:c r="AA313" s="19" t="n">
        <x:f>T313*'参数'!$B$30/('参数'!$B$32*'参数'!$B$33)/(1-Z313)*AC313</x:f>
        <x:v>5484.022921985576</x:v>
      </x:c>
      <x:c r="AB313" s="19" t="n">
        <x:f>T313*'参数'!$B$31/'参数'!$B$34/(1-Z313)*AC313</x:f>
        <x:v>10968.045843971151</x:v>
      </x:c>
      <x:c r="AC313" s="20" t="n">
        <x:f>'参数'!$L$28*1</x:f>
        <x:v>1.1</x:v>
      </x:c>
      <x:c r="AD313" s="20" t="n">
        <x:f>1</x:f>
        <x:v>1</x:v>
      </x:c>
      <x:c r="AE313" s="19" t="n">
        <x:f>IF(MOD(B313,12)=0,1,0)</x:f>
        <x:v>0</x:v>
      </x:c>
    </x:row>
    <x:row r="314" ht="22" customHeight="1">
      <x:c r="A314" s="18" t="str">
        <x:v>噩梦</x:v>
      </x:c>
      <x:c r="B314" s="18" t="n">
        <x:v>69</x:v>
      </x:c>
      <x:c r="C314" s="18" t="n">
        <x:f>ROUNDUP(B314/12,0)</x:f>
        <x:v>6</x:v>
      </x:c>
      <x:c r="D314" s="18" t="n">
        <x:f>ROUND(MAX('参数'!$G$28,E314)+(IF(C314&lt;10,INDEX('参数'!$G$36:$P$36,1,MIN(10,C314+1)),'参数'!$H$28)-MAX('参数'!$G$28,E314))*MOD(B314-1,12)/11,0)</x:f>
        <x:v>95</x:v>
      </x:c>
      <x:c r="E314" s="18" t="n">
        <x:f>INDEX('参数'!$G$36:$P$36,1,C314)</x:f>
        <x:v>95</x:v>
      </x:c>
      <x:c r="F314" s="15" t="n">
        <x:f>'参数'!$I$28</x:f>
        <x:v>1.16</x:v>
      </x:c>
      <x:c r="G314" s="18" t="n">
        <x:f>ROUND(V314*X314/'参数'!$B$56,0)</x:f>
        <x:v>243326</x:v>
      </x:c>
      <x:c r="H314" s="18" t="n">
        <x:f>ROUND((AA314+SQRT(AA314^2+4*AA314*'参数'!$B$22*U314))/2,0)</x:f>
        <x:v>9139</x:v>
      </x:c>
      <x:c r="I314" s="18" t="n">
        <x:f>ROUND(Q314*'参数'!$B$23/'参数'!$B$22,0)</x:f>
        <x:v>1562</x:v>
      </x:c>
      <x:c r="J314" s="18" t="n">
        <x:f>ROUND(G314*'参数'!$B$50,0)</x:f>
        <x:v>729978</x:v>
      </x:c>
      <x:c r="K314" s="18" t="n">
        <x:f>ROUND(W314*Y314,0)</x:f>
        <x:v>2386796</x:v>
      </x:c>
      <x:c r="L314" s="18" t="n">
        <x:f>ROUND((AB314+SQRT(AB314^2+4*AB314*'参数'!$B$22*U314))/2,0)</x:f>
        <x:v>15327</x:v>
      </x:c>
      <x:c r="M314" s="18" t="n">
        <x:f>ROUND(I314*'参数'!$B$24,0)</x:f>
        <x:v>1953</x:v>
      </x:c>
      <x:c r="N314" s="18" t="n">
        <x:f>'参数'!$B$9*'参数'!$B$10^(D314-1)</x:f>
        <x:v>9657.181031378484</x:v>
      </x:c>
      <x:c r="O314" s="18" t="n">
        <x:f>'参数'!$B$18*'参数'!$B$19^(MIN(E314,MAX(1,5*INT(D314/5)))-1)*F314*'参数'!$J$28*P314</x:f>
        <x:v>1372.1049972495236</x:v>
      </x:c>
      <x:c r="P314" s="21" t="n">
        <x:f>MIN(1,(D314-1)/19)</x:f>
        <x:v>1</x:v>
      </x:c>
      <x:c r="Q314" s="18" t="n">
        <x:f>INDEX('角色成长'!$F$6:$F$105,D314)+O314*'参数'!$K$21</x:f>
        <x:v>7811.499242161142</x:v>
      </x:c>
      <x:c r="R314" s="18" t="n">
        <x:f>INDEX('角色成长'!$I$6:$I$105,D314)+O314*'参数'!$K$21</x:f>
        <x:v>6719.499242161142</x:v>
      </x:c>
      <x:c r="S314" s="18" t="n">
        <x:f>INDEX('角色成长'!$L$6:$L$105,D314)+O314*'参数'!$K$21</x:f>
        <x:v>6095.499242161142</x:v>
      </x:c>
      <x:c r="T314" s="18" t="n">
        <x:f>(INDEX('角色成长'!$J$6:$J$105,D314)+O314*'参数'!$L$21)*(1+'参数'!$B$40*P314)</x:f>
        <x:v>89897.20403283337</x:v>
      </x:c>
      <x:c r="U314" s="18" t="n">
        <x:f>(INDEX('角色成长'!$K$6:$K$105,D314)+O314*'参数'!$M$21)*(1+'参数'!$B$41*P314)</x:f>
        <x:v>4873.202119705334</x:v>
      </x:c>
      <x:c r="V314" s="18" t="n">
        <x:f>(('参数'!$K$5*(((Q314*(1+'参数'!$B$39*P314))^2/((Q314*(1+'参数'!$B$39*P314))+'参数'!$B$22*(I314)))*(1+'参数'!$B$42*P314)/'参数'!$J$5+((Q314*'参数'!$B$43*(1+'参数'!$B$39*P314))^2/((Q314*'参数'!$B$43*(1+'参数'!$B$39*P314))+'参数'!$B$22*(I314)))/'参数'!$B$44))+(((R314*(1+'参数'!$B$39*P314))^2/((R314*(1+'参数'!$B$39*P314))+'参数'!$B$22*(I314)))*(1+'参数'!$B$42*P314)/'参数'!$J$6+((R314*'参数'!$B$45*(1+'参数'!$B$39*P314))^2/((R314*'参数'!$B$45*(1+'参数'!$B$39*P314))+'参数'!$B$22*(I314)))/'参数'!$B$46)+((S314*(1+'参数'!$B$39*P314))^2/((S314*(1+'参数'!$B$39*P314))+'参数'!$B$22*(I314)))*(1+'参数'!$B$42*P314)/'参数'!$J$7)*(1+'参数'!$B$37*('参数'!$B$38-1))*'参数'!$B$25</x:f>
        <x:v>52706.7138918444</x:v>
      </x:c>
      <x:c r="W314" s="18" t="n">
        <x:f>(('参数'!$K$5*(((Q314*(1+'参数'!$B$39*P314))^2/((Q314*(1+'参数'!$B$39*P314))+'参数'!$B$22*(M314)))*(1+'参数'!$B$42*P314)/'参数'!$J$5+((Q314*'参数'!$B$43*(1+'参数'!$B$39*P314))^2/((Q314*'参数'!$B$43*(1+'参数'!$B$39*P314))+'参数'!$B$22*(M314)))/'参数'!$B$44))+(((R314*(1+'参数'!$B$39*P314))^2/((R314*(1+'参数'!$B$39*P314))+'参数'!$B$22*(M314)))*(1+'参数'!$B$42*P314)/'参数'!$J$6+((R314*'参数'!$B$45*(1+'参数'!$B$39*P314))^2/((R314*'参数'!$B$45*(1+'参数'!$B$39*P314))+'参数'!$B$22*(M314)))/'参数'!$B$46)+((S314*(1+'参数'!$B$39*P314))^2/((S314*(1+'参数'!$B$39*P314))+'参数'!$B$22*(M314)))*(1+'参数'!$B$42*P314)/'参数'!$J$7)*(1+'参数'!$B$37*('参数'!$B$38-1))</x:f>
        <x:v>40600.131665990346</x:v>
      </x:c>
      <x:c r="X314" s="25" t="n">
        <x:f>('参数'!$B$26+'参数'!$B$27*(D314-1)/99)*'参数'!$K$28*AD314</x:f>
        <x:v>21.236363636363635</x:v>
      </x:c>
      <x:c r="Y314" s="25" t="n">
        <x:f>('参数'!$B$28+'参数'!$B$29*(D314-1)/99)*'参数'!$K$28*AD314*IF(AE314=1,'参数'!$B$51,1)</x:f>
        <x:v>58.78787878787878</x:v>
      </x:c>
      <x:c r="Z314" s="21" t="n">
        <x:f>MIN('参数'!$B$36,U314/(U314+'参数'!$B$35))</x:f>
        <x:v>0.5492044533599745</x:v>
      </x:c>
      <x:c r="AA314" s="18" t="n">
        <x:f>T314*'参数'!$B$30/('参数'!$B$32*'参数'!$B$33)/(1-Z314)*AC314</x:f>
        <x:v>5484.022921985576</x:v>
      </x:c>
      <x:c r="AB314" s="18" t="n">
        <x:f>T314*'参数'!$B$31/'参数'!$B$34/(1-Z314)*AC314</x:f>
        <x:v>10968.045843971151</x:v>
      </x:c>
      <x:c r="AC314" s="15" t="n">
        <x:f>'参数'!$L$28*1</x:f>
        <x:v>1.1</x:v>
      </x:c>
      <x:c r="AD314" s="15" t="n">
        <x:f>1</x:f>
        <x:v>1</x:v>
      </x:c>
      <x:c r="AE314" s="18" t="n">
        <x:f>IF(MOD(B314,12)=0,1,0)</x:f>
        <x:v>0</x:v>
      </x:c>
    </x:row>
    <x:row r="315" ht="22" customHeight="1">
      <x:c r="A315" s="19" t="str">
        <x:v>噩梦</x:v>
      </x:c>
      <x:c r="B315" s="19" t="n">
        <x:v>70</x:v>
      </x:c>
      <x:c r="C315" s="19" t="n">
        <x:f>ROUNDUP(B315/12,0)</x:f>
        <x:v>6</x:v>
      </x:c>
      <x:c r="D315" s="19" t="n">
        <x:f>ROUND(MAX('参数'!$G$28,E315)+(IF(C315&lt;10,INDEX('参数'!$G$36:$P$36,1,MIN(10,C315+1)),'参数'!$H$28)-MAX('参数'!$G$28,E315))*MOD(B315-1,12)/11,0)</x:f>
        <x:v>95</x:v>
      </x:c>
      <x:c r="E315" s="19" t="n">
        <x:f>INDEX('参数'!$G$36:$P$36,1,C315)</x:f>
        <x:v>95</x:v>
      </x:c>
      <x:c r="F315" s="20" t="n">
        <x:f>'参数'!$I$28</x:f>
        <x:v>1.16</x:v>
      </x:c>
      <x:c r="G315" s="19" t="n">
        <x:f>ROUND(V315*X315/'参数'!$B$56,0)</x:f>
        <x:v>243326</x:v>
      </x:c>
      <x:c r="H315" s="19" t="n">
        <x:f>ROUND((AA315+SQRT(AA315^2+4*AA315*'参数'!$B$22*U315))/2,0)</x:f>
        <x:v>9139</x:v>
      </x:c>
      <x:c r="I315" s="19" t="n">
        <x:f>ROUND(Q315*'参数'!$B$23/'参数'!$B$22,0)</x:f>
        <x:v>1562</x:v>
      </x:c>
      <x:c r="J315" s="19" t="n">
        <x:f>ROUND(G315*'参数'!$B$50,0)</x:f>
        <x:v>729978</x:v>
      </x:c>
      <x:c r="K315" s="19" t="n">
        <x:f>ROUND(W315*Y315,0)</x:f>
        <x:v>2386796</x:v>
      </x:c>
      <x:c r="L315" s="19" t="n">
        <x:f>ROUND((AB315+SQRT(AB315^2+4*AB315*'参数'!$B$22*U315))/2,0)</x:f>
        <x:v>15327</x:v>
      </x:c>
      <x:c r="M315" s="19" t="n">
        <x:f>ROUND(I315*'参数'!$B$24,0)</x:f>
        <x:v>1953</x:v>
      </x:c>
      <x:c r="N315" s="19" t="n">
        <x:f>'参数'!$B$9*'参数'!$B$10^(D315-1)</x:f>
        <x:v>9657.181031378484</x:v>
      </x:c>
      <x:c r="O315" s="19" t="n">
        <x:f>'参数'!$B$18*'参数'!$B$19^(MIN(E315,MAX(1,5*INT(D315/5)))-1)*F315*'参数'!$J$28*P315</x:f>
        <x:v>1372.1049972495236</x:v>
      </x:c>
      <x:c r="P315" s="22" t="n">
        <x:f>MIN(1,(D315-1)/19)</x:f>
        <x:v>1</x:v>
      </x:c>
      <x:c r="Q315" s="19" t="n">
        <x:f>INDEX('角色成长'!$F$6:$F$105,D315)+O315*'参数'!$K$21</x:f>
        <x:v>7811.499242161142</x:v>
      </x:c>
      <x:c r="R315" s="19" t="n">
        <x:f>INDEX('角色成长'!$I$6:$I$105,D315)+O315*'参数'!$K$21</x:f>
        <x:v>6719.499242161142</x:v>
      </x:c>
      <x:c r="S315" s="19" t="n">
        <x:f>INDEX('角色成长'!$L$6:$L$105,D315)+O315*'参数'!$K$21</x:f>
        <x:v>6095.499242161142</x:v>
      </x:c>
      <x:c r="T315" s="19" t="n">
        <x:f>(INDEX('角色成长'!$J$6:$J$105,D315)+O315*'参数'!$L$21)*(1+'参数'!$B$40*P315)</x:f>
        <x:v>89897.20403283337</x:v>
      </x:c>
      <x:c r="U315" s="19" t="n">
        <x:f>(INDEX('角色成长'!$K$6:$K$105,D315)+O315*'参数'!$M$21)*(1+'参数'!$B$41*P315)</x:f>
        <x:v>4873.202119705334</x:v>
      </x:c>
      <x:c r="V315" s="19" t="n">
        <x:f>(('参数'!$K$5*(((Q315*(1+'参数'!$B$39*P315))^2/((Q315*(1+'参数'!$B$39*P315))+'参数'!$B$22*(I315)))*(1+'参数'!$B$42*P315)/'参数'!$J$5+((Q315*'参数'!$B$43*(1+'参数'!$B$39*P315))^2/((Q315*'参数'!$B$43*(1+'参数'!$B$39*P315))+'参数'!$B$22*(I315)))/'参数'!$B$44))+(((R315*(1+'参数'!$B$39*P315))^2/((R315*(1+'参数'!$B$39*P315))+'参数'!$B$22*(I315)))*(1+'参数'!$B$42*P315)/'参数'!$J$6+((R315*'参数'!$B$45*(1+'参数'!$B$39*P315))^2/((R315*'参数'!$B$45*(1+'参数'!$B$39*P315))+'参数'!$B$22*(I315)))/'参数'!$B$46)+((S315*(1+'参数'!$B$39*P315))^2/((S315*(1+'参数'!$B$39*P315))+'参数'!$B$22*(I315)))*(1+'参数'!$B$42*P315)/'参数'!$J$7)*(1+'参数'!$B$37*('参数'!$B$38-1))*'参数'!$B$25</x:f>
        <x:v>52706.7138918444</x:v>
      </x:c>
      <x:c r="W315" s="19" t="n">
        <x:f>(('参数'!$K$5*(((Q315*(1+'参数'!$B$39*P315))^2/((Q315*(1+'参数'!$B$39*P315))+'参数'!$B$22*(M315)))*(1+'参数'!$B$42*P315)/'参数'!$J$5+((Q315*'参数'!$B$43*(1+'参数'!$B$39*P315))^2/((Q315*'参数'!$B$43*(1+'参数'!$B$39*P315))+'参数'!$B$22*(M315)))/'参数'!$B$44))+(((R315*(1+'参数'!$B$39*P315))^2/((R315*(1+'参数'!$B$39*P315))+'参数'!$B$22*(M315)))*(1+'参数'!$B$42*P315)/'参数'!$J$6+((R315*'参数'!$B$45*(1+'参数'!$B$39*P315))^2/((R315*'参数'!$B$45*(1+'参数'!$B$39*P315))+'参数'!$B$22*(M315)))/'参数'!$B$46)+((S315*(1+'参数'!$B$39*P315))^2/((S315*(1+'参数'!$B$39*P315))+'参数'!$B$22*(M315)))*(1+'参数'!$B$42*P315)/'参数'!$J$7)*(1+'参数'!$B$37*('参数'!$B$38-1))</x:f>
        <x:v>40600.131665990346</x:v>
      </x:c>
      <x:c r="X315" s="26" t="n">
        <x:f>('参数'!$B$26+'参数'!$B$27*(D315-1)/99)*'参数'!$K$28*AD315</x:f>
        <x:v>21.236363636363635</x:v>
      </x:c>
      <x:c r="Y315" s="26" t="n">
        <x:f>('参数'!$B$28+'参数'!$B$29*(D315-1)/99)*'参数'!$K$28*AD315*IF(AE315=1,'参数'!$B$51,1)</x:f>
        <x:v>58.78787878787878</x:v>
      </x:c>
      <x:c r="Z315" s="22" t="n">
        <x:f>MIN('参数'!$B$36,U315/(U315+'参数'!$B$35))</x:f>
        <x:v>0.5492044533599745</x:v>
      </x:c>
      <x:c r="AA315" s="19" t="n">
        <x:f>T315*'参数'!$B$30/('参数'!$B$32*'参数'!$B$33)/(1-Z315)*AC315</x:f>
        <x:v>5484.022921985576</x:v>
      </x:c>
      <x:c r="AB315" s="19" t="n">
        <x:f>T315*'参数'!$B$31/'参数'!$B$34/(1-Z315)*AC315</x:f>
        <x:v>10968.045843971151</x:v>
      </x:c>
      <x:c r="AC315" s="20" t="n">
        <x:f>'参数'!$L$28*1</x:f>
        <x:v>1.1</x:v>
      </x:c>
      <x:c r="AD315" s="20" t="n">
        <x:f>1</x:f>
        <x:v>1</x:v>
      </x:c>
      <x:c r="AE315" s="19" t="n">
        <x:f>IF(MOD(B315,12)=0,1,0)</x:f>
        <x:v>0</x:v>
      </x:c>
    </x:row>
    <x:row r="316" ht="22" customHeight="1">
      <x:c r="A316" s="18" t="str">
        <x:v>噩梦</x:v>
      </x:c>
      <x:c r="B316" s="18" t="n">
        <x:v>71</x:v>
      </x:c>
      <x:c r="C316" s="18" t="n">
        <x:f>ROUNDUP(B316/12,0)</x:f>
        <x:v>6</x:v>
      </x:c>
      <x:c r="D316" s="18" t="n">
        <x:f>ROUND(MAX('参数'!$G$28,E316)+(IF(C316&lt;10,INDEX('参数'!$G$36:$P$36,1,MIN(10,C316+1)),'参数'!$H$28)-MAX('参数'!$G$28,E316))*MOD(B316-1,12)/11,0)</x:f>
        <x:v>95</x:v>
      </x:c>
      <x:c r="E316" s="18" t="n">
        <x:f>INDEX('参数'!$G$36:$P$36,1,C316)</x:f>
        <x:v>95</x:v>
      </x:c>
      <x:c r="F316" s="15" t="n">
        <x:f>'参数'!$I$28</x:f>
        <x:v>1.16</x:v>
      </x:c>
      <x:c r="G316" s="18" t="n">
        <x:f>ROUND(V316*X316/'参数'!$B$56,0)</x:f>
        <x:v>243326</x:v>
      </x:c>
      <x:c r="H316" s="18" t="n">
        <x:f>ROUND((AA316+SQRT(AA316^2+4*AA316*'参数'!$B$22*U316))/2,0)</x:f>
        <x:v>9139</x:v>
      </x:c>
      <x:c r="I316" s="18" t="n">
        <x:f>ROUND(Q316*'参数'!$B$23/'参数'!$B$22,0)</x:f>
        <x:v>1562</x:v>
      </x:c>
      <x:c r="J316" s="18" t="n">
        <x:f>ROUND(G316*'参数'!$B$50,0)</x:f>
        <x:v>729978</x:v>
      </x:c>
      <x:c r="K316" s="18" t="n">
        <x:f>ROUND(W316*Y316,0)</x:f>
        <x:v>2386796</x:v>
      </x:c>
      <x:c r="L316" s="18" t="n">
        <x:f>ROUND((AB316+SQRT(AB316^2+4*AB316*'参数'!$B$22*U316))/2,0)</x:f>
        <x:v>15327</x:v>
      </x:c>
      <x:c r="M316" s="18" t="n">
        <x:f>ROUND(I316*'参数'!$B$24,0)</x:f>
        <x:v>1953</x:v>
      </x:c>
      <x:c r="N316" s="18" t="n">
        <x:f>'参数'!$B$9*'参数'!$B$10^(D316-1)</x:f>
        <x:v>9657.181031378484</x:v>
      </x:c>
      <x:c r="O316" s="18" t="n">
        <x:f>'参数'!$B$18*'参数'!$B$19^(MIN(E316,MAX(1,5*INT(D316/5)))-1)*F316*'参数'!$J$28*P316</x:f>
        <x:v>1372.1049972495236</x:v>
      </x:c>
      <x:c r="P316" s="21" t="n">
        <x:f>MIN(1,(D316-1)/19)</x:f>
        <x:v>1</x:v>
      </x:c>
      <x:c r="Q316" s="18" t="n">
        <x:f>INDEX('角色成长'!$F$6:$F$105,D316)+O316*'参数'!$K$21</x:f>
        <x:v>7811.499242161142</x:v>
      </x:c>
      <x:c r="R316" s="18" t="n">
        <x:f>INDEX('角色成长'!$I$6:$I$105,D316)+O316*'参数'!$K$21</x:f>
        <x:v>6719.499242161142</x:v>
      </x:c>
      <x:c r="S316" s="18" t="n">
        <x:f>INDEX('角色成长'!$L$6:$L$105,D316)+O316*'参数'!$K$21</x:f>
        <x:v>6095.499242161142</x:v>
      </x:c>
      <x:c r="T316" s="18" t="n">
        <x:f>(INDEX('角色成长'!$J$6:$J$105,D316)+O316*'参数'!$L$21)*(1+'参数'!$B$40*P316)</x:f>
        <x:v>89897.20403283337</x:v>
      </x:c>
      <x:c r="U316" s="18" t="n">
        <x:f>(INDEX('角色成长'!$K$6:$K$105,D316)+O316*'参数'!$M$21)*(1+'参数'!$B$41*P316)</x:f>
        <x:v>4873.202119705334</x:v>
      </x:c>
      <x:c r="V316" s="18" t="n">
        <x:f>(('参数'!$K$5*(((Q316*(1+'参数'!$B$39*P316))^2/((Q316*(1+'参数'!$B$39*P316))+'参数'!$B$22*(I316)))*(1+'参数'!$B$42*P316)/'参数'!$J$5+((Q316*'参数'!$B$43*(1+'参数'!$B$39*P316))^2/((Q316*'参数'!$B$43*(1+'参数'!$B$39*P316))+'参数'!$B$22*(I316)))/'参数'!$B$44))+(((R316*(1+'参数'!$B$39*P316))^2/((R316*(1+'参数'!$B$39*P316))+'参数'!$B$22*(I316)))*(1+'参数'!$B$42*P316)/'参数'!$J$6+((R316*'参数'!$B$45*(1+'参数'!$B$39*P316))^2/((R316*'参数'!$B$45*(1+'参数'!$B$39*P316))+'参数'!$B$22*(I316)))/'参数'!$B$46)+((S316*(1+'参数'!$B$39*P316))^2/((S316*(1+'参数'!$B$39*P316))+'参数'!$B$22*(I316)))*(1+'参数'!$B$42*P316)/'参数'!$J$7)*(1+'参数'!$B$37*('参数'!$B$38-1))*'参数'!$B$25</x:f>
        <x:v>52706.7138918444</x:v>
      </x:c>
      <x:c r="W316" s="18" t="n">
        <x:f>(('参数'!$K$5*(((Q316*(1+'参数'!$B$39*P316))^2/((Q316*(1+'参数'!$B$39*P316))+'参数'!$B$22*(M316)))*(1+'参数'!$B$42*P316)/'参数'!$J$5+((Q316*'参数'!$B$43*(1+'参数'!$B$39*P316))^2/((Q316*'参数'!$B$43*(1+'参数'!$B$39*P316))+'参数'!$B$22*(M316)))/'参数'!$B$44))+(((R316*(1+'参数'!$B$39*P316))^2/((R316*(1+'参数'!$B$39*P316))+'参数'!$B$22*(M316)))*(1+'参数'!$B$42*P316)/'参数'!$J$6+((R316*'参数'!$B$45*(1+'参数'!$B$39*P316))^2/((R316*'参数'!$B$45*(1+'参数'!$B$39*P316))+'参数'!$B$22*(M316)))/'参数'!$B$46)+((S316*(1+'参数'!$B$39*P316))^2/((S316*(1+'参数'!$B$39*P316))+'参数'!$B$22*(M316)))*(1+'参数'!$B$42*P316)/'参数'!$J$7)*(1+'参数'!$B$37*('参数'!$B$38-1))</x:f>
        <x:v>40600.131665990346</x:v>
      </x:c>
      <x:c r="X316" s="25" t="n">
        <x:f>('参数'!$B$26+'参数'!$B$27*(D316-1)/99)*'参数'!$K$28*AD316</x:f>
        <x:v>21.236363636363635</x:v>
      </x:c>
      <x:c r="Y316" s="25" t="n">
        <x:f>('参数'!$B$28+'参数'!$B$29*(D316-1)/99)*'参数'!$K$28*AD316*IF(AE316=1,'参数'!$B$51,1)</x:f>
        <x:v>58.78787878787878</x:v>
      </x:c>
      <x:c r="Z316" s="21" t="n">
        <x:f>MIN('参数'!$B$36,U316/(U316+'参数'!$B$35))</x:f>
        <x:v>0.5492044533599745</x:v>
      </x:c>
      <x:c r="AA316" s="18" t="n">
        <x:f>T316*'参数'!$B$30/('参数'!$B$32*'参数'!$B$33)/(1-Z316)*AC316</x:f>
        <x:v>5484.022921985576</x:v>
      </x:c>
      <x:c r="AB316" s="18" t="n">
        <x:f>T316*'参数'!$B$31/'参数'!$B$34/(1-Z316)*AC316</x:f>
        <x:v>10968.045843971151</x:v>
      </x:c>
      <x:c r="AC316" s="15" t="n">
        <x:f>'参数'!$L$28*1</x:f>
        <x:v>1.1</x:v>
      </x:c>
      <x:c r="AD316" s="15" t="n">
        <x:f>1</x:f>
        <x:v>1</x:v>
      </x:c>
      <x:c r="AE316" s="18" t="n">
        <x:f>IF(MOD(B316,12)=0,1,0)</x:f>
        <x:v>0</x:v>
      </x:c>
    </x:row>
    <x:row r="317" ht="22" customHeight="1">
      <x:c r="A317" s="19" t="str">
        <x:v>噩梦</x:v>
      </x:c>
      <x:c r="B317" s="19" t="n">
        <x:v>72</x:v>
      </x:c>
      <x:c r="C317" s="19" t="n">
        <x:f>ROUNDUP(B317/12,0)</x:f>
        <x:v>6</x:v>
      </x:c>
      <x:c r="D317" s="19" t="n">
        <x:f>ROUND(MAX('参数'!$G$28,E317)+(IF(C317&lt;10,INDEX('参数'!$G$36:$P$36,1,MIN(10,C317+1)),'参数'!$H$28)-MAX('参数'!$G$28,E317))*MOD(B317-1,12)/11,0)</x:f>
        <x:v>95</x:v>
      </x:c>
      <x:c r="E317" s="19" t="n">
        <x:f>INDEX('参数'!$G$36:$P$36,1,C317)</x:f>
        <x:v>95</x:v>
      </x:c>
      <x:c r="F317" s="20" t="n">
        <x:f>'参数'!$I$28</x:f>
        <x:v>1.16</x:v>
      </x:c>
      <x:c r="G317" s="19" t="n">
        <x:f>ROUND(V317*X317/'参数'!$B$56,0)</x:f>
        <x:v>243326</x:v>
      </x:c>
      <x:c r="H317" s="19" t="n">
        <x:f>ROUND((AA317+SQRT(AA317^2+4*AA317*'参数'!$B$22*U317))/2,0)</x:f>
        <x:v>9139</x:v>
      </x:c>
      <x:c r="I317" s="19" t="n">
        <x:f>ROUND(Q317*'参数'!$B$23/'参数'!$B$22,0)</x:f>
        <x:v>1562</x:v>
      </x:c>
      <x:c r="J317" s="19" t="n">
        <x:f>ROUND(G317*'参数'!$B$50,0)</x:f>
        <x:v>729978</x:v>
      </x:c>
      <x:c r="K317" s="19" t="n">
        <x:f>ROUND(W317*Y317,0)</x:f>
        <x:v>2744815</x:v>
      </x:c>
      <x:c r="L317" s="19" t="n">
        <x:f>ROUND((AB317+SQRT(AB317^2+4*AB317*'参数'!$B$22*U317))/2,0)</x:f>
        <x:v>15327</x:v>
      </x:c>
      <x:c r="M317" s="19" t="n">
        <x:f>ROUND(I317*'参数'!$B$24,0)</x:f>
        <x:v>1953</x:v>
      </x:c>
      <x:c r="N317" s="19" t="n">
        <x:f>'参数'!$B$9*'参数'!$B$10^(D317-1)</x:f>
        <x:v>9657.181031378484</x:v>
      </x:c>
      <x:c r="O317" s="19" t="n">
        <x:f>'参数'!$B$18*'参数'!$B$19^(MIN(E317,MAX(1,5*INT(D317/5)))-1)*F317*'参数'!$J$28*P317</x:f>
        <x:v>1372.1049972495236</x:v>
      </x:c>
      <x:c r="P317" s="22" t="n">
        <x:f>MIN(1,(D317-1)/19)</x:f>
        <x:v>1</x:v>
      </x:c>
      <x:c r="Q317" s="19" t="n">
        <x:f>INDEX('角色成长'!$F$6:$F$105,D317)+O317*'参数'!$K$21</x:f>
        <x:v>7811.499242161142</x:v>
      </x:c>
      <x:c r="R317" s="19" t="n">
        <x:f>INDEX('角色成长'!$I$6:$I$105,D317)+O317*'参数'!$K$21</x:f>
        <x:v>6719.499242161142</x:v>
      </x:c>
      <x:c r="S317" s="19" t="n">
        <x:f>INDEX('角色成长'!$L$6:$L$105,D317)+O317*'参数'!$K$21</x:f>
        <x:v>6095.499242161142</x:v>
      </x:c>
      <x:c r="T317" s="19" t="n">
        <x:f>(INDEX('角色成长'!$J$6:$J$105,D317)+O317*'参数'!$L$21)*(1+'参数'!$B$40*P317)</x:f>
        <x:v>89897.20403283337</x:v>
      </x:c>
      <x:c r="U317" s="19" t="n">
        <x:f>(INDEX('角色成长'!$K$6:$K$105,D317)+O317*'参数'!$M$21)*(1+'参数'!$B$41*P317)</x:f>
        <x:v>4873.202119705334</x:v>
      </x:c>
      <x:c r="V317" s="19" t="n">
        <x:f>(('参数'!$K$5*(((Q317*(1+'参数'!$B$39*P317))^2/((Q317*(1+'参数'!$B$39*P317))+'参数'!$B$22*(I317)))*(1+'参数'!$B$42*P317)/'参数'!$J$5+((Q317*'参数'!$B$43*(1+'参数'!$B$39*P317))^2/((Q317*'参数'!$B$43*(1+'参数'!$B$39*P317))+'参数'!$B$22*(I317)))/'参数'!$B$44))+(((R317*(1+'参数'!$B$39*P317))^2/((R317*(1+'参数'!$B$39*P317))+'参数'!$B$22*(I317)))*(1+'参数'!$B$42*P317)/'参数'!$J$6+((R317*'参数'!$B$45*(1+'参数'!$B$39*P317))^2/((R317*'参数'!$B$45*(1+'参数'!$B$39*P317))+'参数'!$B$22*(I317)))/'参数'!$B$46)+((S317*(1+'参数'!$B$39*P317))^2/((S317*(1+'参数'!$B$39*P317))+'参数'!$B$22*(I317)))*(1+'参数'!$B$42*P317)/'参数'!$J$7)*(1+'参数'!$B$37*('参数'!$B$38-1))*'参数'!$B$25</x:f>
        <x:v>52706.7138918444</x:v>
      </x:c>
      <x:c r="W317" s="19" t="n">
        <x:f>(('参数'!$K$5*(((Q317*(1+'参数'!$B$39*P317))^2/((Q317*(1+'参数'!$B$39*P317))+'参数'!$B$22*(M317)))*(1+'参数'!$B$42*P317)/'参数'!$J$5+((Q317*'参数'!$B$43*(1+'参数'!$B$39*P317))^2/((Q317*'参数'!$B$43*(1+'参数'!$B$39*P317))+'参数'!$B$22*(M317)))/'参数'!$B$44))+(((R317*(1+'参数'!$B$39*P317))^2/((R317*(1+'参数'!$B$39*P317))+'参数'!$B$22*(M317)))*(1+'参数'!$B$42*P317)/'参数'!$J$6+((R317*'参数'!$B$45*(1+'参数'!$B$39*P317))^2/((R317*'参数'!$B$45*(1+'参数'!$B$39*P317))+'参数'!$B$22*(M317)))/'参数'!$B$46)+((S317*(1+'参数'!$B$39*P317))^2/((S317*(1+'参数'!$B$39*P317))+'参数'!$B$22*(M317)))*(1+'参数'!$B$42*P317)/'参数'!$J$7)*(1+'参数'!$B$37*('参数'!$B$38-1))</x:f>
        <x:v>40600.131665990346</x:v>
      </x:c>
      <x:c r="X317" s="26" t="n">
        <x:f>('参数'!$B$26+'参数'!$B$27*(D317-1)/99)*'参数'!$K$28*AD317</x:f>
        <x:v>21.236363636363635</x:v>
      </x:c>
      <x:c r="Y317" s="26" t="n">
        <x:f>('参数'!$B$28+'参数'!$B$29*(D317-1)/99)*'参数'!$K$28*AD317*IF(AE317=1,'参数'!$B$51,1)</x:f>
        <x:v>67.6060606060606</x:v>
      </x:c>
      <x:c r="Z317" s="22" t="n">
        <x:f>MIN('参数'!$B$36,U317/(U317+'参数'!$B$35))</x:f>
        <x:v>0.5492044533599745</x:v>
      </x:c>
      <x:c r="AA317" s="19" t="n">
        <x:f>T317*'参数'!$B$30/('参数'!$B$32*'参数'!$B$33)/(1-Z317)*AC317</x:f>
        <x:v>5484.022921985576</x:v>
      </x:c>
      <x:c r="AB317" s="19" t="n">
        <x:f>T317*'参数'!$B$31/'参数'!$B$34/(1-Z317)*AC317</x:f>
        <x:v>10968.045843971151</x:v>
      </x:c>
      <x:c r="AC317" s="20" t="n">
        <x:f>'参数'!$L$28*1</x:f>
        <x:v>1.1</x:v>
      </x:c>
      <x:c r="AD317" s="20" t="n">
        <x:f>1</x:f>
        <x:v>1</x:v>
      </x:c>
      <x:c r="AE317" s="19" t="n">
        <x:f>IF(MOD(B317,12)=0,1,0)</x:f>
        <x:v>1</x:v>
      </x:c>
    </x:row>
    <x:row r="318" ht="22" customHeight="1">
      <x:c r="A318" s="18" t="str">
        <x:v>噩梦</x:v>
      </x:c>
      <x:c r="B318" s="18" t="n">
        <x:v>73</x:v>
      </x:c>
      <x:c r="C318" s="18" t="n">
        <x:f>ROUNDUP(B318/12,0)</x:f>
        <x:v>7</x:v>
      </x:c>
      <x:c r="D318" s="18" t="n">
        <x:f>ROUND(MAX('参数'!$G$28,E318)+(IF(C318&lt;10,INDEX('参数'!$G$36:$P$36,1,MIN(10,C318+1)),'参数'!$H$28)-MAX('参数'!$G$28,E318))*MOD(B318-1,12)/11,0)</x:f>
        <x:v>95</x:v>
      </x:c>
      <x:c r="E318" s="18" t="n">
        <x:f>INDEX('参数'!$G$36:$P$36,1,C318)</x:f>
        <x:v>95</x:v>
      </x:c>
      <x:c r="F318" s="15" t="n">
        <x:f>'参数'!$I$28</x:f>
        <x:v>1.16</x:v>
      </x:c>
      <x:c r="G318" s="18" t="n">
        <x:f>ROUND(V318*X318/'参数'!$B$56,0)</x:f>
        <x:v>243326</x:v>
      </x:c>
      <x:c r="H318" s="18" t="n">
        <x:f>ROUND((AA318+SQRT(AA318^2+4*AA318*'参数'!$B$22*U318))/2,0)</x:f>
        <x:v>9139</x:v>
      </x:c>
      <x:c r="I318" s="18" t="n">
        <x:f>ROUND(Q318*'参数'!$B$23/'参数'!$B$22,0)</x:f>
        <x:v>1562</x:v>
      </x:c>
      <x:c r="J318" s="18" t="n">
        <x:f>ROUND(G318*'参数'!$B$50,0)</x:f>
        <x:v>729978</x:v>
      </x:c>
      <x:c r="K318" s="18" t="n">
        <x:f>ROUND(W318*Y318,0)</x:f>
        <x:v>2386796</x:v>
      </x:c>
      <x:c r="L318" s="18" t="n">
        <x:f>ROUND((AB318+SQRT(AB318^2+4*AB318*'参数'!$B$22*U318))/2,0)</x:f>
        <x:v>15327</x:v>
      </x:c>
      <x:c r="M318" s="18" t="n">
        <x:f>ROUND(I318*'参数'!$B$24,0)</x:f>
        <x:v>1953</x:v>
      </x:c>
      <x:c r="N318" s="18" t="n">
        <x:f>'参数'!$B$9*'参数'!$B$10^(D318-1)</x:f>
        <x:v>9657.181031378484</x:v>
      </x:c>
      <x:c r="O318" s="18" t="n">
        <x:f>'参数'!$B$18*'参数'!$B$19^(MIN(E318,MAX(1,5*INT(D318/5)))-1)*F318*'参数'!$J$28*P318</x:f>
        <x:v>1372.1049972495236</x:v>
      </x:c>
      <x:c r="P318" s="21" t="n">
        <x:f>MIN(1,(D318-1)/19)</x:f>
        <x:v>1</x:v>
      </x:c>
      <x:c r="Q318" s="18" t="n">
        <x:f>INDEX('角色成长'!$F$6:$F$105,D318)+O318*'参数'!$K$21</x:f>
        <x:v>7811.499242161142</x:v>
      </x:c>
      <x:c r="R318" s="18" t="n">
        <x:f>INDEX('角色成长'!$I$6:$I$105,D318)+O318*'参数'!$K$21</x:f>
        <x:v>6719.499242161142</x:v>
      </x:c>
      <x:c r="S318" s="18" t="n">
        <x:f>INDEX('角色成长'!$L$6:$L$105,D318)+O318*'参数'!$K$21</x:f>
        <x:v>6095.499242161142</x:v>
      </x:c>
      <x:c r="T318" s="18" t="n">
        <x:f>(INDEX('角色成长'!$J$6:$J$105,D318)+O318*'参数'!$L$21)*(1+'参数'!$B$40*P318)</x:f>
        <x:v>89897.20403283337</x:v>
      </x:c>
      <x:c r="U318" s="18" t="n">
        <x:f>(INDEX('角色成长'!$K$6:$K$105,D318)+O318*'参数'!$M$21)*(1+'参数'!$B$41*P318)</x:f>
        <x:v>4873.202119705334</x:v>
      </x:c>
      <x:c r="V318" s="18" t="n">
        <x:f>(('参数'!$K$5*(((Q318*(1+'参数'!$B$39*P318))^2/((Q318*(1+'参数'!$B$39*P318))+'参数'!$B$22*(I318)))*(1+'参数'!$B$42*P318)/'参数'!$J$5+((Q318*'参数'!$B$43*(1+'参数'!$B$39*P318))^2/((Q318*'参数'!$B$43*(1+'参数'!$B$39*P318))+'参数'!$B$22*(I318)))/'参数'!$B$44))+(((R318*(1+'参数'!$B$39*P318))^2/((R318*(1+'参数'!$B$39*P318))+'参数'!$B$22*(I318)))*(1+'参数'!$B$42*P318)/'参数'!$J$6+((R318*'参数'!$B$45*(1+'参数'!$B$39*P318))^2/((R318*'参数'!$B$45*(1+'参数'!$B$39*P318))+'参数'!$B$22*(I318)))/'参数'!$B$46)+((S318*(1+'参数'!$B$39*P318))^2/((S318*(1+'参数'!$B$39*P318))+'参数'!$B$22*(I318)))*(1+'参数'!$B$42*P318)/'参数'!$J$7)*(1+'参数'!$B$37*('参数'!$B$38-1))*'参数'!$B$25</x:f>
        <x:v>52706.7138918444</x:v>
      </x:c>
      <x:c r="W318" s="18" t="n">
        <x:f>(('参数'!$K$5*(((Q318*(1+'参数'!$B$39*P318))^2/((Q318*(1+'参数'!$B$39*P318))+'参数'!$B$22*(M318)))*(1+'参数'!$B$42*P318)/'参数'!$J$5+((Q318*'参数'!$B$43*(1+'参数'!$B$39*P318))^2/((Q318*'参数'!$B$43*(1+'参数'!$B$39*P318))+'参数'!$B$22*(M318)))/'参数'!$B$44))+(((R318*(1+'参数'!$B$39*P318))^2/((R318*(1+'参数'!$B$39*P318))+'参数'!$B$22*(M318)))*(1+'参数'!$B$42*P318)/'参数'!$J$6+((R318*'参数'!$B$45*(1+'参数'!$B$39*P318))^2/((R318*'参数'!$B$45*(1+'参数'!$B$39*P318))+'参数'!$B$22*(M318)))/'参数'!$B$46)+((S318*(1+'参数'!$B$39*P318))^2/((S318*(1+'参数'!$B$39*P318))+'参数'!$B$22*(M318)))*(1+'参数'!$B$42*P318)/'参数'!$J$7)*(1+'参数'!$B$37*('参数'!$B$38-1))</x:f>
        <x:v>40600.131665990346</x:v>
      </x:c>
      <x:c r="X318" s="25" t="n">
        <x:f>('参数'!$B$26+'参数'!$B$27*(D318-1)/99)*'参数'!$K$28*AD318</x:f>
        <x:v>21.236363636363635</x:v>
      </x:c>
      <x:c r="Y318" s="25" t="n">
        <x:f>('参数'!$B$28+'参数'!$B$29*(D318-1)/99)*'参数'!$K$28*AD318*IF(AE318=1,'参数'!$B$51,1)</x:f>
        <x:v>58.78787878787878</x:v>
      </x:c>
      <x:c r="Z318" s="21" t="n">
        <x:f>MIN('参数'!$B$36,U318/(U318+'参数'!$B$35))</x:f>
        <x:v>0.5492044533599745</x:v>
      </x:c>
      <x:c r="AA318" s="18" t="n">
        <x:f>T318*'参数'!$B$30/('参数'!$B$32*'参数'!$B$33)/(1-Z318)*AC318</x:f>
        <x:v>5484.022921985576</x:v>
      </x:c>
      <x:c r="AB318" s="18" t="n">
        <x:f>T318*'参数'!$B$31/'参数'!$B$34/(1-Z318)*AC318</x:f>
        <x:v>10968.045843971151</x:v>
      </x:c>
      <x:c r="AC318" s="15" t="n">
        <x:f>'参数'!$L$28*1</x:f>
        <x:v>1.1</x:v>
      </x:c>
      <x:c r="AD318" s="15" t="n">
        <x:f>1</x:f>
        <x:v>1</x:v>
      </x:c>
      <x:c r="AE318" s="18" t="n">
        <x:f>IF(MOD(B318,12)=0,1,0)</x:f>
        <x:v>0</x:v>
      </x:c>
    </x:row>
    <x:row r="319" ht="22" customHeight="1">
      <x:c r="A319" s="19" t="str">
        <x:v>噩梦</x:v>
      </x:c>
      <x:c r="B319" s="19" t="n">
        <x:v>74</x:v>
      </x:c>
      <x:c r="C319" s="19" t="n">
        <x:f>ROUNDUP(B319/12,0)</x:f>
        <x:v>7</x:v>
      </x:c>
      <x:c r="D319" s="19" t="n">
        <x:f>ROUND(MAX('参数'!$G$28,E319)+(IF(C319&lt;10,INDEX('参数'!$G$36:$P$36,1,MIN(10,C319+1)),'参数'!$H$28)-MAX('参数'!$G$28,E319))*MOD(B319-1,12)/11,0)</x:f>
        <x:v>95</x:v>
      </x:c>
      <x:c r="E319" s="19" t="n">
        <x:f>INDEX('参数'!$G$36:$P$36,1,C319)</x:f>
        <x:v>95</x:v>
      </x:c>
      <x:c r="F319" s="20" t="n">
        <x:f>'参数'!$I$28</x:f>
        <x:v>1.16</x:v>
      </x:c>
      <x:c r="G319" s="19" t="n">
        <x:f>ROUND(V319*X319/'参数'!$B$56,0)</x:f>
        <x:v>243326</x:v>
      </x:c>
      <x:c r="H319" s="19" t="n">
        <x:f>ROUND((AA319+SQRT(AA319^2+4*AA319*'参数'!$B$22*U319))/2,0)</x:f>
        <x:v>9139</x:v>
      </x:c>
      <x:c r="I319" s="19" t="n">
        <x:f>ROUND(Q319*'参数'!$B$23/'参数'!$B$22,0)</x:f>
        <x:v>1562</x:v>
      </x:c>
      <x:c r="J319" s="19" t="n">
        <x:f>ROUND(G319*'参数'!$B$50,0)</x:f>
        <x:v>729978</x:v>
      </x:c>
      <x:c r="K319" s="19" t="n">
        <x:f>ROUND(W319*Y319,0)</x:f>
        <x:v>2386796</x:v>
      </x:c>
      <x:c r="L319" s="19" t="n">
        <x:f>ROUND((AB319+SQRT(AB319^2+4*AB319*'参数'!$B$22*U319))/2,0)</x:f>
        <x:v>15327</x:v>
      </x:c>
      <x:c r="M319" s="19" t="n">
        <x:f>ROUND(I319*'参数'!$B$24,0)</x:f>
        <x:v>1953</x:v>
      </x:c>
      <x:c r="N319" s="19" t="n">
        <x:f>'参数'!$B$9*'参数'!$B$10^(D319-1)</x:f>
        <x:v>9657.181031378484</x:v>
      </x:c>
      <x:c r="O319" s="19" t="n">
        <x:f>'参数'!$B$18*'参数'!$B$19^(MIN(E319,MAX(1,5*INT(D319/5)))-1)*F319*'参数'!$J$28*P319</x:f>
        <x:v>1372.1049972495236</x:v>
      </x:c>
      <x:c r="P319" s="22" t="n">
        <x:f>MIN(1,(D319-1)/19)</x:f>
        <x:v>1</x:v>
      </x:c>
      <x:c r="Q319" s="19" t="n">
        <x:f>INDEX('角色成长'!$F$6:$F$105,D319)+O319*'参数'!$K$21</x:f>
        <x:v>7811.499242161142</x:v>
      </x:c>
      <x:c r="R319" s="19" t="n">
        <x:f>INDEX('角色成长'!$I$6:$I$105,D319)+O319*'参数'!$K$21</x:f>
        <x:v>6719.499242161142</x:v>
      </x:c>
      <x:c r="S319" s="19" t="n">
        <x:f>INDEX('角色成长'!$L$6:$L$105,D319)+O319*'参数'!$K$21</x:f>
        <x:v>6095.499242161142</x:v>
      </x:c>
      <x:c r="T319" s="19" t="n">
        <x:f>(INDEX('角色成长'!$J$6:$J$105,D319)+O319*'参数'!$L$21)*(1+'参数'!$B$40*P319)</x:f>
        <x:v>89897.20403283337</x:v>
      </x:c>
      <x:c r="U319" s="19" t="n">
        <x:f>(INDEX('角色成长'!$K$6:$K$105,D319)+O319*'参数'!$M$21)*(1+'参数'!$B$41*P319)</x:f>
        <x:v>4873.202119705334</x:v>
      </x:c>
      <x:c r="V319" s="19" t="n">
        <x:f>(('参数'!$K$5*(((Q319*(1+'参数'!$B$39*P319))^2/((Q319*(1+'参数'!$B$39*P319))+'参数'!$B$22*(I319)))*(1+'参数'!$B$42*P319)/'参数'!$J$5+((Q319*'参数'!$B$43*(1+'参数'!$B$39*P319))^2/((Q319*'参数'!$B$43*(1+'参数'!$B$39*P319))+'参数'!$B$22*(I319)))/'参数'!$B$44))+(((R319*(1+'参数'!$B$39*P319))^2/((R319*(1+'参数'!$B$39*P319))+'参数'!$B$22*(I319)))*(1+'参数'!$B$42*P319)/'参数'!$J$6+((R319*'参数'!$B$45*(1+'参数'!$B$39*P319))^2/((R319*'参数'!$B$45*(1+'参数'!$B$39*P319))+'参数'!$B$22*(I319)))/'参数'!$B$46)+((S319*(1+'参数'!$B$39*P319))^2/((S319*(1+'参数'!$B$39*P319))+'参数'!$B$22*(I319)))*(1+'参数'!$B$42*P319)/'参数'!$J$7)*(1+'参数'!$B$37*('参数'!$B$38-1))*'参数'!$B$25</x:f>
        <x:v>52706.7138918444</x:v>
      </x:c>
      <x:c r="W319" s="19" t="n">
        <x:f>(('参数'!$K$5*(((Q319*(1+'参数'!$B$39*P319))^2/((Q319*(1+'参数'!$B$39*P319))+'参数'!$B$22*(M319)))*(1+'参数'!$B$42*P319)/'参数'!$J$5+((Q319*'参数'!$B$43*(1+'参数'!$B$39*P319))^2/((Q319*'参数'!$B$43*(1+'参数'!$B$39*P319))+'参数'!$B$22*(M319)))/'参数'!$B$44))+(((R319*(1+'参数'!$B$39*P319))^2/((R319*(1+'参数'!$B$39*P319))+'参数'!$B$22*(M319)))*(1+'参数'!$B$42*P319)/'参数'!$J$6+((R319*'参数'!$B$45*(1+'参数'!$B$39*P319))^2/((R319*'参数'!$B$45*(1+'参数'!$B$39*P319))+'参数'!$B$22*(M319)))/'参数'!$B$46)+((S319*(1+'参数'!$B$39*P319))^2/((S319*(1+'参数'!$B$39*P319))+'参数'!$B$22*(M319)))*(1+'参数'!$B$42*P319)/'参数'!$J$7)*(1+'参数'!$B$37*('参数'!$B$38-1))</x:f>
        <x:v>40600.131665990346</x:v>
      </x:c>
      <x:c r="X319" s="26" t="n">
        <x:f>('参数'!$B$26+'参数'!$B$27*(D319-1)/99)*'参数'!$K$28*AD319</x:f>
        <x:v>21.236363636363635</x:v>
      </x:c>
      <x:c r="Y319" s="26" t="n">
        <x:f>('参数'!$B$28+'参数'!$B$29*(D319-1)/99)*'参数'!$K$28*AD319*IF(AE319=1,'参数'!$B$51,1)</x:f>
        <x:v>58.78787878787878</x:v>
      </x:c>
      <x:c r="Z319" s="22" t="n">
        <x:f>MIN('参数'!$B$36,U319/(U319+'参数'!$B$35))</x:f>
        <x:v>0.5492044533599745</x:v>
      </x:c>
      <x:c r="AA319" s="19" t="n">
        <x:f>T319*'参数'!$B$30/('参数'!$B$32*'参数'!$B$33)/(1-Z319)*AC319</x:f>
        <x:v>5484.022921985576</x:v>
      </x:c>
      <x:c r="AB319" s="19" t="n">
        <x:f>T319*'参数'!$B$31/'参数'!$B$34/(1-Z319)*AC319</x:f>
        <x:v>10968.045843971151</x:v>
      </x:c>
      <x:c r="AC319" s="20" t="n">
        <x:f>'参数'!$L$28*1</x:f>
        <x:v>1.1</x:v>
      </x:c>
      <x:c r="AD319" s="20" t="n">
        <x:f>1</x:f>
        <x:v>1</x:v>
      </x:c>
      <x:c r="AE319" s="19" t="n">
        <x:f>IF(MOD(B319,12)=0,1,0)</x:f>
        <x:v>0</x:v>
      </x:c>
    </x:row>
    <x:row r="320" ht="22" customHeight="1">
      <x:c r="A320" s="18" t="str">
        <x:v>噩梦</x:v>
      </x:c>
      <x:c r="B320" s="18" t="n">
        <x:v>75</x:v>
      </x:c>
      <x:c r="C320" s="18" t="n">
        <x:f>ROUNDUP(B320/12,0)</x:f>
        <x:v>7</x:v>
      </x:c>
      <x:c r="D320" s="18" t="n">
        <x:f>ROUND(MAX('参数'!$G$28,E320)+(IF(C320&lt;10,INDEX('参数'!$G$36:$P$36,1,MIN(10,C320+1)),'参数'!$H$28)-MAX('参数'!$G$28,E320))*MOD(B320-1,12)/11,0)</x:f>
        <x:v>96</x:v>
      </x:c>
      <x:c r="E320" s="18" t="n">
        <x:f>INDEX('参数'!$G$36:$P$36,1,C320)</x:f>
        <x:v>95</x:v>
      </x:c>
      <x:c r="F320" s="15" t="n">
        <x:f>'参数'!$I$28</x:f>
        <x:v>1.16</x:v>
      </x:c>
      <x:c r="G320" s="18" t="n">
        <x:f>ROUND(V320*X320/'参数'!$B$56,0)</x:f>
        <x:v>248154</x:v>
      </x:c>
      <x:c r="H320" s="18" t="n">
        <x:f>ROUND((AA320+SQRT(AA320^2+4*AA320*'参数'!$B$22*U320))/2,0)</x:f>
        <x:v>9387</x:v>
      </x:c>
      <x:c r="I320" s="18" t="n">
        <x:f>ROUND(Q320*'参数'!$B$23/'参数'!$B$22,0)</x:f>
        <x:v>1590</x:v>
      </x:c>
      <x:c r="J320" s="18" t="n">
        <x:f>ROUND(G320*'参数'!$B$50,0)</x:f>
        <x:v>744462</x:v>
      </x:c>
      <x:c r="K320" s="18" t="n">
        <x:f>ROUND(W320*Y320,0)</x:f>
        <x:v>2435768</x:v>
      </x:c>
      <x:c r="L320" s="18" t="n">
        <x:f>ROUND((AB320+SQRT(AB320^2+4*AB320*'参数'!$B$22*U320))/2,0)</x:f>
        <x:v>15758</x:v>
      </x:c>
      <x:c r="M320" s="18" t="n">
        <x:f>ROUND(I320*'参数'!$B$24,0)</x:f>
        <x:v>1988</x:v>
      </x:c>
      <x:c r="N320" s="18" t="n">
        <x:f>'参数'!$B$9*'参数'!$B$10^(D320-1)</x:f>
        <x:v>9946.89646231984</x:v>
      </x:c>
      <x:c r="O320" s="18" t="n">
        <x:f>'参数'!$B$18*'参数'!$B$19^(MIN(E320,MAX(1,5*INT(D320/5)))-1)*F320*'参数'!$J$28*P320</x:f>
        <x:v>1372.1049972495236</x:v>
      </x:c>
      <x:c r="P320" s="21" t="n">
        <x:f>MIN(1,(D320-1)/19)</x:f>
        <x:v>1</x:v>
      </x:c>
      <x:c r="Q320" s="18" t="n">
        <x:f>INDEX('角色成长'!$F$6:$F$105,D320)+O320*'参数'!$K$21</x:f>
        <x:v>7948.499242161142</x:v>
      </x:c>
      <x:c r="R320" s="18" t="n">
        <x:f>INDEX('角色成长'!$I$6:$I$105,D320)+O320*'参数'!$K$21</x:f>
        <x:v>6817.499242161142</x:v>
      </x:c>
      <x:c r="S320" s="18" t="n">
        <x:f>INDEX('角色成长'!$L$6:$L$105,D320)+O320*'参数'!$K$21</x:f>
        <x:v>6171.499242161142</x:v>
      </x:c>
      <x:c r="T320" s="18" t="n">
        <x:f>(INDEX('角色成长'!$J$6:$J$105,D320)+O320*'参数'!$L$21)*(1+'参数'!$B$40*P320)</x:f>
        <x:v>91927.80403283337</x:v>
      </x:c>
      <x:c r="U320" s="18" t="n">
        <x:f>(INDEX('角色成长'!$K$6:$K$105,D320)+O320*'参数'!$M$21)*(1+'参数'!$B$41*P320)</x:f>
        <x:v>4951.302119705334</x:v>
      </x:c>
      <x:c r="V320" s="18" t="n">
        <x:f>(('参数'!$K$5*(((Q320*(1+'参数'!$B$39*P320))^2/((Q320*(1+'参数'!$B$39*P320))+'参数'!$B$22*(I320)))*(1+'参数'!$B$42*P320)/'参数'!$J$5+((Q320*'参数'!$B$43*(1+'参数'!$B$39*P320))^2/((Q320*'参数'!$B$43*(1+'参数'!$B$39*P320))+'参数'!$B$22*(I320)))/'参数'!$B$44))+(((R320*(1+'参数'!$B$39*P320))^2/((R320*(1+'参数'!$B$39*P320))+'参数'!$B$22*(I320)))*(1+'参数'!$B$42*P320)/'参数'!$J$6+((R320*'参数'!$B$45*(1+'参数'!$B$39*P320))^2/((R320*'参数'!$B$45*(1+'参数'!$B$39*P320))+'参数'!$B$22*(I320)))/'参数'!$B$46)+((S320*(1+'参数'!$B$39*P320))^2/((S320*(1+'参数'!$B$39*P320))+'参数'!$B$22*(I320)))*(1+'参数'!$B$42*P320)/'参数'!$J$7)*(1+'参数'!$B$37*('参数'!$B$38-1))*'参数'!$B$25</x:f>
        <x:v>53569.04353380018</x:v>
      </x:c>
      <x:c r="W320" s="18" t="n">
        <x:f>(('参数'!$K$5*(((Q320*(1+'参数'!$B$39*P320))^2/((Q320*(1+'参数'!$B$39*P320))+'参数'!$B$22*(M320)))*(1+'参数'!$B$42*P320)/'参数'!$J$5+((Q320*'参数'!$B$43*(1+'参数'!$B$39*P320))^2/((Q320*'参数'!$B$43*(1+'参数'!$B$39*P320))+'参数'!$B$22*(M320)))/'参数'!$B$44))+(((R320*(1+'参数'!$B$39*P320))^2/((R320*(1+'参数'!$B$39*P320))+'参数'!$B$22*(M320)))*(1+'参数'!$B$42*P320)/'参数'!$J$6+((R320*'参数'!$B$45*(1+'参数'!$B$39*P320))^2/((R320*'参数'!$B$45*(1+'参数'!$B$39*P320))+'参数'!$B$22*(M320)))/'参数'!$B$46)+((S320*(1+'参数'!$B$39*P320))^2/((S320*(1+'参数'!$B$39*P320))+'参数'!$B$22*(M320)))*(1+'参数'!$B$42*P320)/'参数'!$J$7)*(1+'参数'!$B$37*('参数'!$B$38-1))</x:f>
        <x:v>41263.00808220005</x:v>
      </x:c>
      <x:c r="X320" s="25" t="n">
        <x:f>('参数'!$B$26+'参数'!$B$27*(D320-1)/99)*'参数'!$K$28*AD320</x:f>
        <x:v>21.30909090909091</x:v>
      </x:c>
      <x:c r="Y320" s="25" t="n">
        <x:f>('参数'!$B$28+'参数'!$B$29*(D320-1)/99)*'参数'!$K$28*AD320*IF(AE320=1,'参数'!$B$51,1)</x:f>
        <x:v>59.030303030303024</x:v>
      </x:c>
      <x:c r="Z320" s="21" t="n">
        <x:f>MIN('参数'!$B$36,U320/(U320+'参数'!$B$35))</x:f>
        <x:v>0.5531376389146303</x:v>
      </x:c>
      <x:c r="AA320" s="18" t="n">
        <x:f>T320*'参数'!$B$30/('参数'!$B$32*'参数'!$B$33)/(1-Z320)*AC320</x:f>
        <x:v>5657.255636305336</x:v>
      </x:c>
      <x:c r="AB320" s="18" t="n">
        <x:f>T320*'参数'!$B$31/'参数'!$B$34/(1-Z320)*AC320</x:f>
        <x:v>11314.511272610673</x:v>
      </x:c>
      <x:c r="AC320" s="15" t="n">
        <x:f>'参数'!$L$28*1</x:f>
        <x:v>1.1</x:v>
      </x:c>
      <x:c r="AD320" s="15" t="n">
        <x:f>1</x:f>
        <x:v>1</x:v>
      </x:c>
      <x:c r="AE320" s="18" t="n">
        <x:f>IF(MOD(B320,12)=0,1,0)</x:f>
        <x:v>0</x:v>
      </x:c>
    </x:row>
    <x:row r="321" ht="22" customHeight="1">
      <x:c r="A321" s="19" t="str">
        <x:v>噩梦</x:v>
      </x:c>
      <x:c r="B321" s="19" t="n">
        <x:v>76</x:v>
      </x:c>
      <x:c r="C321" s="19" t="n">
        <x:f>ROUNDUP(B321/12,0)</x:f>
        <x:v>7</x:v>
      </x:c>
      <x:c r="D321" s="19" t="n">
        <x:f>ROUND(MAX('参数'!$G$28,E321)+(IF(C321&lt;10,INDEX('参数'!$G$36:$P$36,1,MIN(10,C321+1)),'参数'!$H$28)-MAX('参数'!$G$28,E321))*MOD(B321-1,12)/11,0)</x:f>
        <x:v>96</x:v>
      </x:c>
      <x:c r="E321" s="19" t="n">
        <x:f>INDEX('参数'!$G$36:$P$36,1,C321)</x:f>
        <x:v>95</x:v>
      </x:c>
      <x:c r="F321" s="20" t="n">
        <x:f>'参数'!$I$28</x:f>
        <x:v>1.16</x:v>
      </x:c>
      <x:c r="G321" s="19" t="n">
        <x:f>ROUND(V321*X321/'参数'!$B$56,0)</x:f>
        <x:v>248154</x:v>
      </x:c>
      <x:c r="H321" s="19" t="n">
        <x:f>ROUND((AA321+SQRT(AA321^2+4*AA321*'参数'!$B$22*U321))/2,0)</x:f>
        <x:v>9387</x:v>
      </x:c>
      <x:c r="I321" s="19" t="n">
        <x:f>ROUND(Q321*'参数'!$B$23/'参数'!$B$22,0)</x:f>
        <x:v>1590</x:v>
      </x:c>
      <x:c r="J321" s="19" t="n">
        <x:f>ROUND(G321*'参数'!$B$50,0)</x:f>
        <x:v>744462</x:v>
      </x:c>
      <x:c r="K321" s="19" t="n">
        <x:f>ROUND(W321*Y321,0)</x:f>
        <x:v>2435768</x:v>
      </x:c>
      <x:c r="L321" s="19" t="n">
        <x:f>ROUND((AB321+SQRT(AB321^2+4*AB321*'参数'!$B$22*U321))/2,0)</x:f>
        <x:v>15758</x:v>
      </x:c>
      <x:c r="M321" s="19" t="n">
        <x:f>ROUND(I321*'参数'!$B$24,0)</x:f>
        <x:v>1988</x:v>
      </x:c>
      <x:c r="N321" s="19" t="n">
        <x:f>'参数'!$B$9*'参数'!$B$10^(D321-1)</x:f>
        <x:v>9946.89646231984</x:v>
      </x:c>
      <x:c r="O321" s="19" t="n">
        <x:f>'参数'!$B$18*'参数'!$B$19^(MIN(E321,MAX(1,5*INT(D321/5)))-1)*F321*'参数'!$J$28*P321</x:f>
        <x:v>1372.1049972495236</x:v>
      </x:c>
      <x:c r="P321" s="22" t="n">
        <x:f>MIN(1,(D321-1)/19)</x:f>
        <x:v>1</x:v>
      </x:c>
      <x:c r="Q321" s="19" t="n">
        <x:f>INDEX('角色成长'!$F$6:$F$105,D321)+O321*'参数'!$K$21</x:f>
        <x:v>7948.499242161142</x:v>
      </x:c>
      <x:c r="R321" s="19" t="n">
        <x:f>INDEX('角色成长'!$I$6:$I$105,D321)+O321*'参数'!$K$21</x:f>
        <x:v>6817.499242161142</x:v>
      </x:c>
      <x:c r="S321" s="19" t="n">
        <x:f>INDEX('角色成长'!$L$6:$L$105,D321)+O321*'参数'!$K$21</x:f>
        <x:v>6171.499242161142</x:v>
      </x:c>
      <x:c r="T321" s="19" t="n">
        <x:f>(INDEX('角色成长'!$J$6:$J$105,D321)+O321*'参数'!$L$21)*(1+'参数'!$B$40*P321)</x:f>
        <x:v>91927.80403283337</x:v>
      </x:c>
      <x:c r="U321" s="19" t="n">
        <x:f>(INDEX('角色成长'!$K$6:$K$105,D321)+O321*'参数'!$M$21)*(1+'参数'!$B$41*P321)</x:f>
        <x:v>4951.302119705334</x:v>
      </x:c>
      <x:c r="V321" s="19" t="n">
        <x:f>(('参数'!$K$5*(((Q321*(1+'参数'!$B$39*P321))^2/((Q321*(1+'参数'!$B$39*P321))+'参数'!$B$22*(I321)))*(1+'参数'!$B$42*P321)/'参数'!$J$5+((Q321*'参数'!$B$43*(1+'参数'!$B$39*P321))^2/((Q321*'参数'!$B$43*(1+'参数'!$B$39*P321))+'参数'!$B$22*(I321)))/'参数'!$B$44))+(((R321*(1+'参数'!$B$39*P321))^2/((R321*(1+'参数'!$B$39*P321))+'参数'!$B$22*(I321)))*(1+'参数'!$B$42*P321)/'参数'!$J$6+((R321*'参数'!$B$45*(1+'参数'!$B$39*P321))^2/((R321*'参数'!$B$45*(1+'参数'!$B$39*P321))+'参数'!$B$22*(I321)))/'参数'!$B$46)+((S321*(1+'参数'!$B$39*P321))^2/((S321*(1+'参数'!$B$39*P321))+'参数'!$B$22*(I321)))*(1+'参数'!$B$42*P321)/'参数'!$J$7)*(1+'参数'!$B$37*('参数'!$B$38-1))*'参数'!$B$25</x:f>
        <x:v>53569.04353380018</x:v>
      </x:c>
      <x:c r="W321" s="19" t="n">
        <x:f>(('参数'!$K$5*(((Q321*(1+'参数'!$B$39*P321))^2/((Q321*(1+'参数'!$B$39*P321))+'参数'!$B$22*(M321)))*(1+'参数'!$B$42*P321)/'参数'!$J$5+((Q321*'参数'!$B$43*(1+'参数'!$B$39*P321))^2/((Q321*'参数'!$B$43*(1+'参数'!$B$39*P321))+'参数'!$B$22*(M321)))/'参数'!$B$44))+(((R321*(1+'参数'!$B$39*P321))^2/((R321*(1+'参数'!$B$39*P321))+'参数'!$B$22*(M321)))*(1+'参数'!$B$42*P321)/'参数'!$J$6+((R321*'参数'!$B$45*(1+'参数'!$B$39*P321))^2/((R321*'参数'!$B$45*(1+'参数'!$B$39*P321))+'参数'!$B$22*(M321)))/'参数'!$B$46)+((S321*(1+'参数'!$B$39*P321))^2/((S321*(1+'参数'!$B$39*P321))+'参数'!$B$22*(M321)))*(1+'参数'!$B$42*P321)/'参数'!$J$7)*(1+'参数'!$B$37*('参数'!$B$38-1))</x:f>
        <x:v>41263.00808220005</x:v>
      </x:c>
      <x:c r="X321" s="26" t="n">
        <x:f>('参数'!$B$26+'参数'!$B$27*(D321-1)/99)*'参数'!$K$28*AD321</x:f>
        <x:v>21.30909090909091</x:v>
      </x:c>
      <x:c r="Y321" s="26" t="n">
        <x:f>('参数'!$B$28+'参数'!$B$29*(D321-1)/99)*'参数'!$K$28*AD321*IF(AE321=1,'参数'!$B$51,1)</x:f>
        <x:v>59.030303030303024</x:v>
      </x:c>
      <x:c r="Z321" s="22" t="n">
        <x:f>MIN('参数'!$B$36,U321/(U321+'参数'!$B$35))</x:f>
        <x:v>0.5531376389146303</x:v>
      </x:c>
      <x:c r="AA321" s="19" t="n">
        <x:f>T321*'参数'!$B$30/('参数'!$B$32*'参数'!$B$33)/(1-Z321)*AC321</x:f>
        <x:v>5657.255636305336</x:v>
      </x:c>
      <x:c r="AB321" s="19" t="n">
        <x:f>T321*'参数'!$B$31/'参数'!$B$34/(1-Z321)*AC321</x:f>
        <x:v>11314.511272610673</x:v>
      </x:c>
      <x:c r="AC321" s="20" t="n">
        <x:f>'参数'!$L$28*1</x:f>
        <x:v>1.1</x:v>
      </x:c>
      <x:c r="AD321" s="20" t="n">
        <x:f>1</x:f>
        <x:v>1</x:v>
      </x:c>
      <x:c r="AE321" s="19" t="n">
        <x:f>IF(MOD(B321,12)=0,1,0)</x:f>
        <x:v>0</x:v>
      </x:c>
    </x:row>
    <x:row r="322" ht="22" customHeight="1">
      <x:c r="A322" s="18" t="str">
        <x:v>噩梦</x:v>
      </x:c>
      <x:c r="B322" s="18" t="n">
        <x:v>77</x:v>
      </x:c>
      <x:c r="C322" s="18" t="n">
        <x:f>ROUNDUP(B322/12,0)</x:f>
        <x:v>7</x:v>
      </x:c>
      <x:c r="D322" s="18" t="n">
        <x:f>ROUND(MAX('参数'!$G$28,E322)+(IF(C322&lt;10,INDEX('参数'!$G$36:$P$36,1,MIN(10,C322+1)),'参数'!$H$28)-MAX('参数'!$G$28,E322))*MOD(B322-1,12)/11,0)</x:f>
        <x:v>97</x:v>
      </x:c>
      <x:c r="E322" s="18" t="n">
        <x:f>INDEX('参数'!$G$36:$P$36,1,C322)</x:f>
        <x:v>95</x:v>
      </x:c>
      <x:c r="F322" s="15" t="n">
        <x:f>'参数'!$I$28</x:f>
        <x:v>1.16</x:v>
      </x:c>
      <x:c r="G322" s="18" t="n">
        <x:f>ROUND(V322*X322/'参数'!$B$56,0)</x:f>
        <x:v>253157</x:v>
      </x:c>
      <x:c r="H322" s="18" t="n">
        <x:f>ROUND((AA322+SQRT(AA322^2+4*AA322*'参数'!$B$22*U322))/2,0)</x:f>
        <x:v>9646</x:v>
      </x:c>
      <x:c r="I322" s="18" t="n">
        <x:f>ROUND(Q322*'参数'!$B$23/'参数'!$B$22,0)</x:f>
        <x:v>1618</x:v>
      </x:c>
      <x:c r="J322" s="18" t="n">
        <x:f>ROUND(G322*'参数'!$B$50,0)</x:f>
        <x:v>759471</x:v>
      </x:c>
      <x:c r="K322" s="18" t="n">
        <x:f>ROUND(W322*Y322,0)</x:f>
        <x:v>2486554</x:v>
      </x:c>
      <x:c r="L322" s="18" t="n">
        <x:f>ROUND((AB322+SQRT(AB322^2+4*AB322*'参数'!$B$22*U322))/2,0)</x:f>
        <x:v>16208</x:v>
      </x:c>
      <x:c r="M322" s="18" t="n">
        <x:f>ROUND(I322*'参数'!$B$24,0)</x:f>
        <x:v>2023</x:v>
      </x:c>
      <x:c r="N322" s="18" t="n">
        <x:f>'参数'!$B$9*'参数'!$B$10^(D322-1)</x:f>
        <x:v>10245.303356189435</x:v>
      </x:c>
      <x:c r="O322" s="18" t="n">
        <x:f>'参数'!$B$18*'参数'!$B$19^(MIN(E322,MAX(1,5*INT(D322/5)))-1)*F322*'参数'!$J$28*P322</x:f>
        <x:v>1372.1049972495236</x:v>
      </x:c>
      <x:c r="P322" s="21" t="n">
        <x:f>MIN(1,(D322-1)/19)</x:f>
        <x:v>1</x:v>
      </x:c>
      <x:c r="Q322" s="18" t="n">
        <x:f>INDEX('角色成长'!$F$6:$F$105,D322)+O322*'参数'!$K$21</x:f>
        <x:v>8089.499242161142</x:v>
      </x:c>
      <x:c r="R322" s="18" t="n">
        <x:f>INDEX('角色成长'!$I$6:$I$105,D322)+O322*'参数'!$K$21</x:f>
        <x:v>6919.499242161142</x:v>
      </x:c>
      <x:c r="S322" s="18" t="n">
        <x:f>INDEX('角色成长'!$L$6:$L$105,D322)+O322*'参数'!$K$21</x:f>
        <x:v>6250.499242161142</x:v>
      </x:c>
      <x:c r="T322" s="18" t="n">
        <x:f>(INDEX('角色成长'!$J$6:$J$105,D322)+O322*'参数'!$L$21)*(1+'参数'!$B$40*P322)</x:f>
        <x:v>94031.00403283337</x:v>
      </x:c>
      <x:c r="U322" s="18" t="n">
        <x:f>(INDEX('角色成长'!$K$6:$K$105,D322)+O322*'参数'!$M$21)*(1+'参数'!$B$41*P322)</x:f>
        <x:v>5031.602119705334</x:v>
      </x:c>
      <x:c r="V322" s="18" t="n">
        <x:f>(('参数'!$K$5*(((Q322*(1+'参数'!$B$39*P322))^2/((Q322*(1+'参数'!$B$39*P322))+'参数'!$B$22*(I322)))*(1+'参数'!$B$42*P322)/'参数'!$J$5+((Q322*'参数'!$B$43*(1+'参数'!$B$39*P322))^2/((Q322*'参数'!$B$43*(1+'参数'!$B$39*P322))+'参数'!$B$22*(I322)))/'参数'!$B$44))+(((R322*(1+'参数'!$B$39*P322))^2/((R322*(1+'参数'!$B$39*P322))+'参数'!$B$22*(I322)))*(1+'参数'!$B$42*P322)/'参数'!$J$6+((R322*'参数'!$B$45*(1+'参数'!$B$39*P322))^2/((R322*'参数'!$B$45*(1+'参数'!$B$39*P322))+'参数'!$B$22*(I322)))/'参数'!$B$46)+((S322*(1+'参数'!$B$39*P322))^2/((S322*(1+'参数'!$B$39*P322))+'参数'!$B$22*(I322)))*(1+'参数'!$B$42*P322)/'参数'!$J$7)*(1+'参数'!$B$37*('参数'!$B$38-1))*'参数'!$B$25</x:f>
        <x:v>54463.22303318641</x:v>
      </x:c>
      <x:c r="W322" s="18" t="n">
        <x:f>(('参数'!$K$5*(((Q322*(1+'参数'!$B$39*P322))^2/((Q322*(1+'参数'!$B$39*P322))+'参数'!$B$22*(M322)))*(1+'参数'!$B$42*P322)/'参数'!$J$5+((Q322*'参数'!$B$43*(1+'参数'!$B$39*P322))^2/((Q322*'参数'!$B$43*(1+'参数'!$B$39*P322))+'参数'!$B$22*(M322)))/'参数'!$B$44))+(((R322*(1+'参数'!$B$39*P322))^2/((R322*(1+'参数'!$B$39*P322))+'参数'!$B$22*(M322)))*(1+'参数'!$B$42*P322)/'参数'!$J$6+((R322*'参数'!$B$45*(1+'参数'!$B$39*P322))^2/((R322*'参数'!$B$45*(1+'参数'!$B$39*P322))+'参数'!$B$22*(M322)))/'参数'!$B$46)+((S322*(1+'参数'!$B$39*P322))^2/((S322*(1+'参数'!$B$39*P322))+'参数'!$B$22*(M322)))*(1+'参数'!$B$42*P322)/'参数'!$J$7)*(1+'参数'!$B$37*('参数'!$B$38-1))</x:f>
        <x:v>41951.064559447055</x:v>
      </x:c>
      <x:c r="X322" s="25" t="n">
        <x:f>('参数'!$B$26+'参数'!$B$27*(D322-1)/99)*'参数'!$K$28*AD322</x:f>
        <x:v>21.381818181818183</x:v>
      </x:c>
      <x:c r="Y322" s="25" t="n">
        <x:f>('参数'!$B$28+'参数'!$B$29*(D322-1)/99)*'参数'!$K$28*AD322*IF(AE322=1,'参数'!$B$51,1)</x:f>
        <x:v>59.272727272727266</x:v>
      </x:c>
      <x:c r="Z322" s="21" t="n">
        <x:f>MIN('参数'!$B$36,U322/(U322+'参数'!$B$35))</x:f>
        <x:v>0.5571106934313771</x:v>
      </x:c>
      <x:c r="AA322" s="18" t="n">
        <x:f>T322*'参数'!$B$30/('参数'!$B$32*'参数'!$B$33)/(1-Z322)*AC322</x:f>
        <x:v>5838.5979804690905</x:v>
      </x:c>
      <x:c r="AB322" s="18" t="n">
        <x:f>T322*'参数'!$B$31/'参数'!$B$34/(1-Z322)*AC322</x:f>
        <x:v>11677.195960938181</x:v>
      </x:c>
      <x:c r="AC322" s="15" t="n">
        <x:f>'参数'!$L$28*1</x:f>
        <x:v>1.1</x:v>
      </x:c>
      <x:c r="AD322" s="15" t="n">
        <x:f>1</x:f>
        <x:v>1</x:v>
      </x:c>
      <x:c r="AE322" s="18" t="n">
        <x:f>IF(MOD(B322,12)=0,1,0)</x:f>
        <x:v>0</x:v>
      </x:c>
    </x:row>
    <x:row r="323" ht="22" customHeight="1">
      <x:c r="A323" s="19" t="str">
        <x:v>噩梦</x:v>
      </x:c>
      <x:c r="B323" s="19" t="n">
        <x:v>78</x:v>
      </x:c>
      <x:c r="C323" s="19" t="n">
        <x:f>ROUNDUP(B323/12,0)</x:f>
        <x:v>7</x:v>
      </x:c>
      <x:c r="D323" s="19" t="n">
        <x:f>ROUND(MAX('参数'!$G$28,E323)+(IF(C323&lt;10,INDEX('参数'!$G$36:$P$36,1,MIN(10,C323+1)),'参数'!$H$28)-MAX('参数'!$G$28,E323))*MOD(B323-1,12)/11,0)</x:f>
        <x:v>97</x:v>
      </x:c>
      <x:c r="E323" s="19" t="n">
        <x:f>INDEX('参数'!$G$36:$P$36,1,C323)</x:f>
        <x:v>95</x:v>
      </x:c>
      <x:c r="F323" s="20" t="n">
        <x:f>'参数'!$I$28</x:f>
        <x:v>1.16</x:v>
      </x:c>
      <x:c r="G323" s="19" t="n">
        <x:f>ROUND(V323*X323/'参数'!$B$56,0)</x:f>
        <x:v>253157</x:v>
      </x:c>
      <x:c r="H323" s="19" t="n">
        <x:f>ROUND((AA323+SQRT(AA323^2+4*AA323*'参数'!$B$22*U323))/2,0)</x:f>
        <x:v>9646</x:v>
      </x:c>
      <x:c r="I323" s="19" t="n">
        <x:f>ROUND(Q323*'参数'!$B$23/'参数'!$B$22,0)</x:f>
        <x:v>1618</x:v>
      </x:c>
      <x:c r="J323" s="19" t="n">
        <x:f>ROUND(G323*'参数'!$B$50,0)</x:f>
        <x:v>759471</x:v>
      </x:c>
      <x:c r="K323" s="19" t="n">
        <x:f>ROUND(W323*Y323,0)</x:f>
        <x:v>2486554</x:v>
      </x:c>
      <x:c r="L323" s="19" t="n">
        <x:f>ROUND((AB323+SQRT(AB323^2+4*AB323*'参数'!$B$22*U323))/2,0)</x:f>
        <x:v>16208</x:v>
      </x:c>
      <x:c r="M323" s="19" t="n">
        <x:f>ROUND(I323*'参数'!$B$24,0)</x:f>
        <x:v>2023</x:v>
      </x:c>
      <x:c r="N323" s="19" t="n">
        <x:f>'参数'!$B$9*'参数'!$B$10^(D323-1)</x:f>
        <x:v>10245.303356189435</x:v>
      </x:c>
      <x:c r="O323" s="19" t="n">
        <x:f>'参数'!$B$18*'参数'!$B$19^(MIN(E323,MAX(1,5*INT(D323/5)))-1)*F323*'参数'!$J$28*P323</x:f>
        <x:v>1372.1049972495236</x:v>
      </x:c>
      <x:c r="P323" s="22" t="n">
        <x:f>MIN(1,(D323-1)/19)</x:f>
        <x:v>1</x:v>
      </x:c>
      <x:c r="Q323" s="19" t="n">
        <x:f>INDEX('角色成长'!$F$6:$F$105,D323)+O323*'参数'!$K$21</x:f>
        <x:v>8089.499242161142</x:v>
      </x:c>
      <x:c r="R323" s="19" t="n">
        <x:f>INDEX('角色成长'!$I$6:$I$105,D323)+O323*'参数'!$K$21</x:f>
        <x:v>6919.499242161142</x:v>
      </x:c>
      <x:c r="S323" s="19" t="n">
        <x:f>INDEX('角色成长'!$L$6:$L$105,D323)+O323*'参数'!$K$21</x:f>
        <x:v>6250.499242161142</x:v>
      </x:c>
      <x:c r="T323" s="19" t="n">
        <x:f>(INDEX('角色成长'!$J$6:$J$105,D323)+O323*'参数'!$L$21)*(1+'参数'!$B$40*P323)</x:f>
        <x:v>94031.00403283337</x:v>
      </x:c>
      <x:c r="U323" s="19" t="n">
        <x:f>(INDEX('角色成长'!$K$6:$K$105,D323)+O323*'参数'!$M$21)*(1+'参数'!$B$41*P323)</x:f>
        <x:v>5031.602119705334</x:v>
      </x:c>
      <x:c r="V323" s="19" t="n">
        <x:f>(('参数'!$K$5*(((Q323*(1+'参数'!$B$39*P323))^2/((Q323*(1+'参数'!$B$39*P323))+'参数'!$B$22*(I323)))*(1+'参数'!$B$42*P323)/'参数'!$J$5+((Q323*'参数'!$B$43*(1+'参数'!$B$39*P323))^2/((Q323*'参数'!$B$43*(1+'参数'!$B$39*P323))+'参数'!$B$22*(I323)))/'参数'!$B$44))+(((R323*(1+'参数'!$B$39*P323))^2/((R323*(1+'参数'!$B$39*P323))+'参数'!$B$22*(I323)))*(1+'参数'!$B$42*P323)/'参数'!$J$6+((R323*'参数'!$B$45*(1+'参数'!$B$39*P323))^2/((R323*'参数'!$B$45*(1+'参数'!$B$39*P323))+'参数'!$B$22*(I323)))/'参数'!$B$46)+((S323*(1+'参数'!$B$39*P323))^2/((S323*(1+'参数'!$B$39*P323))+'参数'!$B$22*(I323)))*(1+'参数'!$B$42*P323)/'参数'!$J$7)*(1+'参数'!$B$37*('参数'!$B$38-1))*'参数'!$B$25</x:f>
        <x:v>54463.22303318641</x:v>
      </x:c>
      <x:c r="W323" s="19" t="n">
        <x:f>(('参数'!$K$5*(((Q323*(1+'参数'!$B$39*P323))^2/((Q323*(1+'参数'!$B$39*P323))+'参数'!$B$22*(M323)))*(1+'参数'!$B$42*P323)/'参数'!$J$5+((Q323*'参数'!$B$43*(1+'参数'!$B$39*P323))^2/((Q323*'参数'!$B$43*(1+'参数'!$B$39*P323))+'参数'!$B$22*(M323)))/'参数'!$B$44))+(((R323*(1+'参数'!$B$39*P323))^2/((R323*(1+'参数'!$B$39*P323))+'参数'!$B$22*(M323)))*(1+'参数'!$B$42*P323)/'参数'!$J$6+((R323*'参数'!$B$45*(1+'参数'!$B$39*P323))^2/((R323*'参数'!$B$45*(1+'参数'!$B$39*P323))+'参数'!$B$22*(M323)))/'参数'!$B$46)+((S323*(1+'参数'!$B$39*P323))^2/((S323*(1+'参数'!$B$39*P323))+'参数'!$B$22*(M323)))*(1+'参数'!$B$42*P323)/'参数'!$J$7)*(1+'参数'!$B$37*('参数'!$B$38-1))</x:f>
        <x:v>41951.064559447055</x:v>
      </x:c>
      <x:c r="X323" s="26" t="n">
        <x:f>('参数'!$B$26+'参数'!$B$27*(D323-1)/99)*'参数'!$K$28*AD323</x:f>
        <x:v>21.381818181818183</x:v>
      </x:c>
      <x:c r="Y323" s="26" t="n">
        <x:f>('参数'!$B$28+'参数'!$B$29*(D323-1)/99)*'参数'!$K$28*AD323*IF(AE323=1,'参数'!$B$51,1)</x:f>
        <x:v>59.272727272727266</x:v>
      </x:c>
      <x:c r="Z323" s="22" t="n">
        <x:f>MIN('参数'!$B$36,U323/(U323+'参数'!$B$35))</x:f>
        <x:v>0.5571106934313771</x:v>
      </x:c>
      <x:c r="AA323" s="19" t="n">
        <x:f>T323*'参数'!$B$30/('参数'!$B$32*'参数'!$B$33)/(1-Z323)*AC323</x:f>
        <x:v>5838.5979804690905</x:v>
      </x:c>
      <x:c r="AB323" s="19" t="n">
        <x:f>T323*'参数'!$B$31/'参数'!$B$34/(1-Z323)*AC323</x:f>
        <x:v>11677.195960938181</x:v>
      </x:c>
      <x:c r="AC323" s="20" t="n">
        <x:f>'参数'!$L$28*1</x:f>
        <x:v>1.1</x:v>
      </x:c>
      <x:c r="AD323" s="20" t="n">
        <x:f>1</x:f>
        <x:v>1</x:v>
      </x:c>
      <x:c r="AE323" s="19" t="n">
        <x:f>IF(MOD(B323,12)=0,1,0)</x:f>
        <x:v>0</x:v>
      </x:c>
    </x:row>
    <x:row r="324" ht="22" customHeight="1">
      <x:c r="A324" s="18" t="str">
        <x:v>噩梦</x:v>
      </x:c>
      <x:c r="B324" s="18" t="n">
        <x:v>79</x:v>
      </x:c>
      <x:c r="C324" s="18" t="n">
        <x:f>ROUNDUP(B324/12,0)</x:f>
        <x:v>7</x:v>
      </x:c>
      <x:c r="D324" s="18" t="n">
        <x:f>ROUND(MAX('参数'!$G$28,E324)+(IF(C324&lt;10,INDEX('参数'!$G$36:$P$36,1,MIN(10,C324+1)),'参数'!$H$28)-MAX('参数'!$G$28,E324))*MOD(B324-1,12)/11,0)</x:f>
        <x:v>98</x:v>
      </x:c>
      <x:c r="E324" s="18" t="n">
        <x:f>INDEX('参数'!$G$36:$P$36,1,C324)</x:f>
        <x:v>95</x:v>
      </x:c>
      <x:c r="F324" s="15" t="n">
        <x:f>'参数'!$I$28</x:f>
        <x:v>1.16</x:v>
      </x:c>
      <x:c r="G324" s="18" t="n">
        <x:f>ROUND(V324*X324/'参数'!$B$56,0)</x:f>
        <x:v>258333</x:v>
      </x:c>
      <x:c r="H324" s="18" t="n">
        <x:f>ROUND((AA324+SQRT(AA324^2+4*AA324*'参数'!$B$22*U324))/2,0)</x:f>
        <x:v>9917</x:v>
      </x:c>
      <x:c r="I324" s="18" t="n">
        <x:f>ROUND(Q324*'参数'!$B$23/'参数'!$B$22,0)</x:f>
        <x:v>1647</x:v>
      </x:c>
      <x:c r="J324" s="18" t="n">
        <x:f>ROUND(G324*'参数'!$B$50,0)</x:f>
        <x:v>774999</x:v>
      </x:c>
      <x:c r="K324" s="18" t="n">
        <x:f>ROUND(W324*Y324,0)</x:f>
        <x:v>2539150</x:v>
      </x:c>
      <x:c r="L324" s="18" t="n">
        <x:f>ROUND((AB324+SQRT(AB324^2+4*AB324*'参数'!$B$22*U324))/2,0)</x:f>
        <x:v>16680</x:v>
      </x:c>
      <x:c r="M324" s="18" t="n">
        <x:f>ROUND(I324*'参数'!$B$24,0)</x:f>
        <x:v>2059</x:v>
      </x:c>
      <x:c r="N324" s="18" t="n">
        <x:f>'参数'!$B$9*'参数'!$B$10^(D324-1)</x:f>
        <x:v>10552.662456875118</x:v>
      </x:c>
      <x:c r="O324" s="18" t="n">
        <x:f>'参数'!$B$18*'参数'!$B$19^(MIN(E324,MAX(1,5*INT(D324/5)))-1)*F324*'参数'!$J$28*P324</x:f>
        <x:v>1372.1049972495236</x:v>
      </x:c>
      <x:c r="P324" s="21" t="n">
        <x:f>MIN(1,(D324-1)/19)</x:f>
        <x:v>1</x:v>
      </x:c>
      <x:c r="Q324" s="18" t="n">
        <x:f>INDEX('角色成长'!$F$6:$F$105,D324)+O324*'参数'!$K$21</x:f>
        <x:v>8235.499242161142</x:v>
      </x:c>
      <x:c r="R324" s="18" t="n">
        <x:f>INDEX('角色成长'!$I$6:$I$105,D324)+O324*'参数'!$K$21</x:f>
        <x:v>7024.499242161142</x:v>
      </x:c>
      <x:c r="S324" s="18" t="n">
        <x:f>INDEX('角色成长'!$L$6:$L$105,D324)+O324*'参数'!$K$21</x:f>
        <x:v>6332.499242161142</x:v>
      </x:c>
      <x:c r="T324" s="18" t="n">
        <x:f>(INDEX('角色成长'!$J$6:$J$105,D324)+O324*'参数'!$L$21)*(1+'参数'!$B$40*P324)</x:f>
        <x:v>96209.00403283337</x:v>
      </x:c>
      <x:c r="U324" s="18" t="n">
        <x:f>(INDEX('角色成长'!$K$6:$K$105,D324)+O324*'参数'!$M$21)*(1+'参数'!$B$41*P324)</x:f>
        <x:v>5115.202119705334</x:v>
      </x:c>
      <x:c r="V324" s="18" t="n">
        <x:f>(('参数'!$K$5*(((Q324*(1+'参数'!$B$39*P324))^2/((Q324*(1+'参数'!$B$39*P324))+'参数'!$B$22*(I324)))*(1+'参数'!$B$42*P324)/'参数'!$J$5+((Q324*'参数'!$B$43*(1+'参数'!$B$39*P324))^2/((Q324*'参数'!$B$43*(1+'参数'!$B$39*P324))+'参数'!$B$22*(I324)))/'参数'!$B$44))+(((R324*(1+'参数'!$B$39*P324))^2/((R324*(1+'参数'!$B$39*P324))+'参数'!$B$22*(I324)))*(1+'参数'!$B$42*P324)/'参数'!$J$6+((R324*'参数'!$B$45*(1+'参数'!$B$39*P324))^2/((R324*'参数'!$B$45*(1+'参数'!$B$39*P324))+'参数'!$B$22*(I324)))/'参数'!$B$46)+((S324*(1+'参数'!$B$39*P324))^2/((S324*(1+'参数'!$B$39*P324))+'参数'!$B$22*(I324)))*(1+'参数'!$B$42*P324)/'参数'!$J$7)*(1+'参数'!$B$37*('参数'!$B$38-1))*'参数'!$B$25</x:f>
        <x:v>55388.40737259463</x:v>
      </x:c>
      <x:c r="W324" s="18" t="n">
        <x:f>(('参数'!$K$5*(((Q324*(1+'参数'!$B$39*P324))^2/((Q324*(1+'参数'!$B$39*P324))+'参数'!$B$22*(M324)))*(1+'参数'!$B$42*P324)/'参数'!$J$5+((Q324*'参数'!$B$43*(1+'参数'!$B$39*P324))^2/((Q324*'参数'!$B$43*(1+'参数'!$B$39*P324))+'参数'!$B$22*(M324)))/'参数'!$B$44))+(((R324*(1+'参数'!$B$39*P324))^2/((R324*(1+'参数'!$B$39*P324))+'参数'!$B$22*(M324)))*(1+'参数'!$B$42*P324)/'参数'!$J$6+((R324*'参数'!$B$45*(1+'参数'!$B$39*P324))^2/((R324*'参数'!$B$45*(1+'参数'!$B$39*P324))+'参数'!$B$22*(M324)))/'参数'!$B$46)+((S324*(1+'参数'!$B$39*P324))^2/((S324*(1+'参数'!$B$39*P324))+'参数'!$B$22*(M324)))*(1+'参数'!$B$42*P324)/'参数'!$J$7)*(1+'参数'!$B$37*('参数'!$B$38-1))</x:f>
        <x:v>42663.92341791785</x:v>
      </x:c>
      <x:c r="X324" s="25" t="n">
        <x:f>('参数'!$B$26+'参数'!$B$27*(D324-1)/99)*'参数'!$K$28*AD324</x:f>
        <x:v>21.454545454545453</x:v>
      </x:c>
      <x:c r="Y324" s="25" t="n">
        <x:f>('参数'!$B$28+'参数'!$B$29*(D324-1)/99)*'参数'!$K$28*AD324*IF(AE324=1,'参数'!$B$51,1)</x:f>
        <x:v>59.515151515151516</x:v>
      </x:c>
      <x:c r="Z324" s="21" t="n">
        <x:f>MIN('参数'!$B$36,U324/(U324+'参数'!$B$35))</x:f>
        <x:v>0.5611726490021807</x:v>
      </x:c>
      <x:c r="AA324" s="18" t="n">
        <x:f>T324*'参数'!$B$30/('参数'!$B$32*'参数'!$B$33)/(1-Z324)*AC324</x:f>
        <x:v>6029.1310577769</x:v>
      </x:c>
      <x:c r="AB324" s="18" t="n">
        <x:f>T324*'参数'!$B$31/'参数'!$B$34/(1-Z324)*AC324</x:f>
        <x:v>12058.2621155538</x:v>
      </x:c>
      <x:c r="AC324" s="15" t="n">
        <x:f>'参数'!$L$28*1</x:f>
        <x:v>1.1</x:v>
      </x:c>
      <x:c r="AD324" s="15" t="n">
        <x:f>1</x:f>
        <x:v>1</x:v>
      </x:c>
      <x:c r="AE324" s="18" t="n">
        <x:f>IF(MOD(B324,12)=0,1,0)</x:f>
        <x:v>0</x:v>
      </x:c>
    </x:row>
    <x:row r="325" ht="22" customHeight="1">
      <x:c r="A325" s="19" t="str">
        <x:v>噩梦</x:v>
      </x:c>
      <x:c r="B325" s="19" t="n">
        <x:v>80</x:v>
      </x:c>
      <x:c r="C325" s="19" t="n">
        <x:f>ROUNDUP(B325/12,0)</x:f>
        <x:v>7</x:v>
      </x:c>
      <x:c r="D325" s="19" t="n">
        <x:f>ROUND(MAX('参数'!$G$28,E325)+(IF(C325&lt;10,INDEX('参数'!$G$36:$P$36,1,MIN(10,C325+1)),'参数'!$H$28)-MAX('参数'!$G$28,E325))*MOD(B325-1,12)/11,0)</x:f>
        <x:v>98</x:v>
      </x:c>
      <x:c r="E325" s="19" t="n">
        <x:f>INDEX('参数'!$G$36:$P$36,1,C325)</x:f>
        <x:v>95</x:v>
      </x:c>
      <x:c r="F325" s="20" t="n">
        <x:f>'参数'!$I$28</x:f>
        <x:v>1.16</x:v>
      </x:c>
      <x:c r="G325" s="19" t="n">
        <x:f>ROUND(V325*X325/'参数'!$B$56,0)</x:f>
        <x:v>258333</x:v>
      </x:c>
      <x:c r="H325" s="19" t="n">
        <x:f>ROUND((AA325+SQRT(AA325^2+4*AA325*'参数'!$B$22*U325))/2,0)</x:f>
        <x:v>9917</x:v>
      </x:c>
      <x:c r="I325" s="19" t="n">
        <x:f>ROUND(Q325*'参数'!$B$23/'参数'!$B$22,0)</x:f>
        <x:v>1647</x:v>
      </x:c>
      <x:c r="J325" s="19" t="n">
        <x:f>ROUND(G325*'参数'!$B$50,0)</x:f>
        <x:v>774999</x:v>
      </x:c>
      <x:c r="K325" s="19" t="n">
        <x:f>ROUND(W325*Y325,0)</x:f>
        <x:v>2539150</x:v>
      </x:c>
      <x:c r="L325" s="19" t="n">
        <x:f>ROUND((AB325+SQRT(AB325^2+4*AB325*'参数'!$B$22*U325))/2,0)</x:f>
        <x:v>16680</x:v>
      </x:c>
      <x:c r="M325" s="19" t="n">
        <x:f>ROUND(I325*'参数'!$B$24,0)</x:f>
        <x:v>2059</x:v>
      </x:c>
      <x:c r="N325" s="19" t="n">
        <x:f>'参数'!$B$9*'参数'!$B$10^(D325-1)</x:f>
        <x:v>10552.662456875118</x:v>
      </x:c>
      <x:c r="O325" s="19" t="n">
        <x:f>'参数'!$B$18*'参数'!$B$19^(MIN(E325,MAX(1,5*INT(D325/5)))-1)*F325*'参数'!$J$28*P325</x:f>
        <x:v>1372.1049972495236</x:v>
      </x:c>
      <x:c r="P325" s="22" t="n">
        <x:f>MIN(1,(D325-1)/19)</x:f>
        <x:v>1</x:v>
      </x:c>
      <x:c r="Q325" s="19" t="n">
        <x:f>INDEX('角色成长'!$F$6:$F$105,D325)+O325*'参数'!$K$21</x:f>
        <x:v>8235.499242161142</x:v>
      </x:c>
      <x:c r="R325" s="19" t="n">
        <x:f>INDEX('角色成长'!$I$6:$I$105,D325)+O325*'参数'!$K$21</x:f>
        <x:v>7024.499242161142</x:v>
      </x:c>
      <x:c r="S325" s="19" t="n">
        <x:f>INDEX('角色成长'!$L$6:$L$105,D325)+O325*'参数'!$K$21</x:f>
        <x:v>6332.499242161142</x:v>
      </x:c>
      <x:c r="T325" s="19" t="n">
        <x:f>(INDEX('角色成长'!$J$6:$J$105,D325)+O325*'参数'!$L$21)*(1+'参数'!$B$40*P325)</x:f>
        <x:v>96209.00403283337</x:v>
      </x:c>
      <x:c r="U325" s="19" t="n">
        <x:f>(INDEX('角色成长'!$K$6:$K$105,D325)+O325*'参数'!$M$21)*(1+'参数'!$B$41*P325)</x:f>
        <x:v>5115.202119705334</x:v>
      </x:c>
      <x:c r="V325" s="19" t="n">
        <x:f>(('参数'!$K$5*(((Q325*(1+'参数'!$B$39*P325))^2/((Q325*(1+'参数'!$B$39*P325))+'参数'!$B$22*(I325)))*(1+'参数'!$B$42*P325)/'参数'!$J$5+((Q325*'参数'!$B$43*(1+'参数'!$B$39*P325))^2/((Q325*'参数'!$B$43*(1+'参数'!$B$39*P325))+'参数'!$B$22*(I325)))/'参数'!$B$44))+(((R325*(1+'参数'!$B$39*P325))^2/((R325*(1+'参数'!$B$39*P325))+'参数'!$B$22*(I325)))*(1+'参数'!$B$42*P325)/'参数'!$J$6+((R325*'参数'!$B$45*(1+'参数'!$B$39*P325))^2/((R325*'参数'!$B$45*(1+'参数'!$B$39*P325))+'参数'!$B$22*(I325)))/'参数'!$B$46)+((S325*(1+'参数'!$B$39*P325))^2/((S325*(1+'参数'!$B$39*P325))+'参数'!$B$22*(I325)))*(1+'参数'!$B$42*P325)/'参数'!$J$7)*(1+'参数'!$B$37*('参数'!$B$38-1))*'参数'!$B$25</x:f>
        <x:v>55388.40737259463</x:v>
      </x:c>
      <x:c r="W325" s="19" t="n">
        <x:f>(('参数'!$K$5*(((Q325*(1+'参数'!$B$39*P325))^2/((Q325*(1+'参数'!$B$39*P325))+'参数'!$B$22*(M325)))*(1+'参数'!$B$42*P325)/'参数'!$J$5+((Q325*'参数'!$B$43*(1+'参数'!$B$39*P325))^2/((Q325*'参数'!$B$43*(1+'参数'!$B$39*P325))+'参数'!$B$22*(M325)))/'参数'!$B$44))+(((R325*(1+'参数'!$B$39*P325))^2/((R325*(1+'参数'!$B$39*P325))+'参数'!$B$22*(M325)))*(1+'参数'!$B$42*P325)/'参数'!$J$6+((R325*'参数'!$B$45*(1+'参数'!$B$39*P325))^2/((R325*'参数'!$B$45*(1+'参数'!$B$39*P325))+'参数'!$B$22*(M325)))/'参数'!$B$46)+((S325*(1+'参数'!$B$39*P325))^2/((S325*(1+'参数'!$B$39*P325))+'参数'!$B$22*(M325)))*(1+'参数'!$B$42*P325)/'参数'!$J$7)*(1+'参数'!$B$37*('参数'!$B$38-1))</x:f>
        <x:v>42663.92341791785</x:v>
      </x:c>
      <x:c r="X325" s="26" t="n">
        <x:f>('参数'!$B$26+'参数'!$B$27*(D325-1)/99)*'参数'!$K$28*AD325</x:f>
        <x:v>21.454545454545453</x:v>
      </x:c>
      <x:c r="Y325" s="26" t="n">
        <x:f>('参数'!$B$28+'参数'!$B$29*(D325-1)/99)*'参数'!$K$28*AD325*IF(AE325=1,'参数'!$B$51,1)</x:f>
        <x:v>59.515151515151516</x:v>
      </x:c>
      <x:c r="Z325" s="22" t="n">
        <x:f>MIN('参数'!$B$36,U325/(U325+'参数'!$B$35))</x:f>
        <x:v>0.5611726490021807</x:v>
      </x:c>
      <x:c r="AA325" s="19" t="n">
        <x:f>T325*'参数'!$B$30/('参数'!$B$32*'参数'!$B$33)/(1-Z325)*AC325</x:f>
        <x:v>6029.1310577769</x:v>
      </x:c>
      <x:c r="AB325" s="19" t="n">
        <x:f>T325*'参数'!$B$31/'参数'!$B$34/(1-Z325)*AC325</x:f>
        <x:v>12058.2621155538</x:v>
      </x:c>
      <x:c r="AC325" s="20" t="n">
        <x:f>'参数'!$L$28*1</x:f>
        <x:v>1.1</x:v>
      </x:c>
      <x:c r="AD325" s="20" t="n">
        <x:f>1</x:f>
        <x:v>1</x:v>
      </x:c>
      <x:c r="AE325" s="19" t="n">
        <x:f>IF(MOD(B325,12)=0,1,0)</x:f>
        <x:v>0</x:v>
      </x:c>
    </x:row>
    <x:row r="326" ht="22" customHeight="1">
      <x:c r="A326" s="18" t="str">
        <x:v>噩梦</x:v>
      </x:c>
      <x:c r="B326" s="18" t="n">
        <x:v>81</x:v>
      </x:c>
      <x:c r="C326" s="18" t="n">
        <x:f>ROUNDUP(B326/12,0)</x:f>
        <x:v>7</x:v>
      </x:c>
      <x:c r="D326" s="18" t="n">
        <x:f>ROUND(MAX('参数'!$G$28,E326)+(IF(C326&lt;10,INDEX('参数'!$G$36:$P$36,1,MIN(10,C326+1)),'参数'!$H$28)-MAX('参数'!$G$28,E326))*MOD(B326-1,12)/11,0)</x:f>
        <x:v>99</x:v>
      </x:c>
      <x:c r="E326" s="18" t="n">
        <x:f>INDEX('参数'!$G$36:$P$36,1,C326)</x:f>
        <x:v>95</x:v>
      </x:c>
      <x:c r="F326" s="15" t="n">
        <x:f>'参数'!$I$28</x:f>
        <x:v>1.16</x:v>
      </x:c>
      <x:c r="G326" s="18" t="n">
        <x:f>ROUND(V326*X326/'参数'!$B$56,0)</x:f>
        <x:v>263718</x:v>
      </x:c>
      <x:c r="H326" s="18" t="n">
        <x:f>ROUND((AA326+SQRT(AA326^2+4*AA326*'参数'!$B$22*U326))/2,0)</x:f>
        <x:v>10201</x:v>
      </x:c>
      <x:c r="I326" s="18" t="n">
        <x:f>ROUND(Q326*'参数'!$B$23/'参数'!$B$22,0)</x:f>
        <x:v>1677</x:v>
      </x:c>
      <x:c r="J326" s="18" t="n">
        <x:f>ROUND(G326*'参数'!$B$50,0)</x:f>
        <x:v>791154</x:v>
      </x:c>
      <x:c r="K326" s="18" t="n">
        <x:f>ROUND(W326*Y326,0)</x:f>
        <x:v>2593914</x:v>
      </x:c>
      <x:c r="L326" s="18" t="n">
        <x:f>ROUND((AB326+SQRT(AB326^2+4*AB326*'参数'!$B$22*U326))/2,0)</x:f>
        <x:v>17176</x:v>
      </x:c>
      <x:c r="M326" s="18" t="n">
        <x:f>ROUND(I326*'参数'!$B$24,0)</x:f>
        <x:v>2096</x:v>
      </x:c>
      <x:c r="N326" s="18" t="n">
        <x:f>'参数'!$B$9*'参数'!$B$10^(D326-1)</x:f>
        <x:v>10869.242330581374</x:v>
      </x:c>
      <x:c r="O326" s="18" t="n">
        <x:f>'参数'!$B$18*'参数'!$B$19^(MIN(E326,MAX(1,5*INT(D326/5)))-1)*F326*'参数'!$J$28*P326</x:f>
        <x:v>1372.1049972495236</x:v>
      </x:c>
      <x:c r="P326" s="21" t="n">
        <x:f>MIN(1,(D326-1)/19)</x:f>
        <x:v>1</x:v>
      </x:c>
      <x:c r="Q326" s="18" t="n">
        <x:f>INDEX('角色成长'!$F$6:$F$105,D326)+O326*'参数'!$K$21</x:f>
        <x:v>8387.499242161142</x:v>
      </x:c>
      <x:c r="R326" s="18" t="n">
        <x:f>INDEX('角色成长'!$I$6:$I$105,D326)+O326*'参数'!$K$21</x:f>
        <x:v>7133.499242161142</x:v>
      </x:c>
      <x:c r="S326" s="18" t="n">
        <x:f>INDEX('角色成长'!$L$6:$L$105,D326)+O326*'参数'!$K$21</x:f>
        <x:v>6417.499242161142</x:v>
      </x:c>
      <x:c r="T326" s="18" t="n">
        <x:f>(INDEX('角色成长'!$J$6:$J$105,D326)+O326*'参数'!$L$21)*(1+'参数'!$B$40*P326)</x:f>
        <x:v>98466.20403283337</x:v>
      </x:c>
      <x:c r="U326" s="18" t="n">
        <x:f>(INDEX('角色成长'!$K$6:$K$105,D326)+O326*'参数'!$M$21)*(1+'参数'!$B$41*P326)</x:f>
        <x:v>5202.102119705334</x:v>
      </x:c>
      <x:c r="V326" s="18" t="n">
        <x:f>(('参数'!$K$5*(((Q326*(1+'参数'!$B$39*P326))^2/((Q326*(1+'参数'!$B$39*P326))+'参数'!$B$22*(I326)))*(1+'参数'!$B$42*P326)/'参数'!$J$5+((Q326*'参数'!$B$43*(1+'参数'!$B$39*P326))^2/((Q326*'参数'!$B$43*(1+'参数'!$B$39*P326))+'参数'!$B$22*(I326)))/'参数'!$B$44))+(((R326*(1+'参数'!$B$39*P326))^2/((R326*(1+'参数'!$B$39*P326))+'参数'!$B$22*(I326)))*(1+'参数'!$B$42*P326)/'参数'!$J$6+((R326*'参数'!$B$45*(1+'参数'!$B$39*P326))^2/((R326*'参数'!$B$45*(1+'参数'!$B$39*P326))+'参数'!$B$22*(I326)))/'参数'!$B$46)+((S326*(1+'参数'!$B$39*P326))^2/((S326*(1+'参数'!$B$39*P326))+'参数'!$B$22*(I326)))*(1+'参数'!$B$42*P326)/'参数'!$J$7)*(1+'参数'!$B$37*('参数'!$B$38-1))*'参数'!$B$25</x:f>
        <x:v>56351.81188151376</x:v>
      </x:c>
      <x:c r="W326" s="18" t="n">
        <x:f>(('参数'!$K$5*(((Q326*(1+'参数'!$B$39*P326))^2/((Q326*(1+'参数'!$B$39*P326))+'参数'!$B$22*(M326)))*(1+'参数'!$B$42*P326)/'参数'!$J$5+((Q326*'参数'!$B$43*(1+'参数'!$B$39*P326))^2/((Q326*'参数'!$B$43*(1+'参数'!$B$39*P326))+'参数'!$B$22*(M326)))/'参数'!$B$44))+(((R326*(1+'参数'!$B$39*P326))^2/((R326*(1+'参数'!$B$39*P326))+'参数'!$B$22*(M326)))*(1+'参数'!$B$42*P326)/'参数'!$J$6+((R326*'参数'!$B$45*(1+'参数'!$B$39*P326))^2/((R326*'参数'!$B$45*(1+'参数'!$B$39*P326))+'参数'!$B$22*(M326)))/'参数'!$B$46)+((S326*(1+'参数'!$B$39*P326))^2/((S326*(1+'参数'!$B$39*P326))+'参数'!$B$22*(M326)))*(1+'参数'!$B$42*P326)/'参数'!$J$7)*(1+'参数'!$B$37*('参数'!$B$38-1))</x:f>
        <x:v>43407.29123466948</x:v>
      </x:c>
      <x:c r="X326" s="25" t="n">
        <x:f>('参数'!$B$26+'参数'!$B$27*(D326-1)/99)*'参数'!$K$28*AD326</x:f>
        <x:v>21.527272727272724</x:v>
      </x:c>
      <x:c r="Y326" s="25" t="n">
        <x:f>('参数'!$B$28+'参数'!$B$29*(D326-1)/99)*'参数'!$K$28*AD326*IF(AE326=1,'参数'!$B$51,1)</x:f>
        <x:v>59.75757575757576</x:v>
      </x:c>
      <x:c r="Z326" s="21" t="n">
        <x:f>MIN('参数'!$B$36,U326/(U326+'参数'!$B$35))</x:f>
        <x:v>0.5653167126417321</x:v>
      </x:c>
      <x:c r="AA326" s="18" t="n">
        <x:f>T326*'参数'!$B$30/('参数'!$B$32*'参数'!$B$33)/(1-Z326)*AC326</x:f>
        <x:v>6229.410445842884</x:v>
      </x:c>
      <x:c r="AB326" s="18" t="n">
        <x:f>T326*'参数'!$B$31/'参数'!$B$34/(1-Z326)*AC326</x:f>
        <x:v>12458.820891685767</x:v>
      </x:c>
      <x:c r="AC326" s="15" t="n">
        <x:f>'参数'!$L$28*1</x:f>
        <x:v>1.1</x:v>
      </x:c>
      <x:c r="AD326" s="15" t="n">
        <x:f>1</x:f>
        <x:v>1</x:v>
      </x:c>
      <x:c r="AE326" s="18" t="n">
        <x:f>IF(MOD(B326,12)=0,1,0)</x:f>
        <x:v>0</x:v>
      </x:c>
    </x:row>
    <x:row r="327" ht="22" customHeight="1">
      <x:c r="A327" s="19" t="str">
        <x:v>噩梦</x:v>
      </x:c>
      <x:c r="B327" s="19" t="n">
        <x:v>82</x:v>
      </x:c>
      <x:c r="C327" s="19" t="n">
        <x:f>ROUNDUP(B327/12,0)</x:f>
        <x:v>7</x:v>
      </x:c>
      <x:c r="D327" s="19" t="n">
        <x:f>ROUND(MAX('参数'!$G$28,E327)+(IF(C327&lt;10,INDEX('参数'!$G$36:$P$36,1,MIN(10,C327+1)),'参数'!$H$28)-MAX('参数'!$G$28,E327))*MOD(B327-1,12)/11,0)</x:f>
        <x:v>99</x:v>
      </x:c>
      <x:c r="E327" s="19" t="n">
        <x:f>INDEX('参数'!$G$36:$P$36,1,C327)</x:f>
        <x:v>95</x:v>
      </x:c>
      <x:c r="F327" s="20" t="n">
        <x:f>'参数'!$I$28</x:f>
        <x:v>1.16</x:v>
      </x:c>
      <x:c r="G327" s="19" t="n">
        <x:f>ROUND(V327*X327/'参数'!$B$56,0)</x:f>
        <x:v>263718</x:v>
      </x:c>
      <x:c r="H327" s="19" t="n">
        <x:f>ROUND((AA327+SQRT(AA327^2+4*AA327*'参数'!$B$22*U327))/2,0)</x:f>
        <x:v>10201</x:v>
      </x:c>
      <x:c r="I327" s="19" t="n">
        <x:f>ROUND(Q327*'参数'!$B$23/'参数'!$B$22,0)</x:f>
        <x:v>1677</x:v>
      </x:c>
      <x:c r="J327" s="19" t="n">
        <x:f>ROUND(G327*'参数'!$B$50,0)</x:f>
        <x:v>791154</x:v>
      </x:c>
      <x:c r="K327" s="19" t="n">
        <x:f>ROUND(W327*Y327,0)</x:f>
        <x:v>2593914</x:v>
      </x:c>
      <x:c r="L327" s="19" t="n">
        <x:f>ROUND((AB327+SQRT(AB327^2+4*AB327*'参数'!$B$22*U327))/2,0)</x:f>
        <x:v>17176</x:v>
      </x:c>
      <x:c r="M327" s="19" t="n">
        <x:f>ROUND(I327*'参数'!$B$24,0)</x:f>
        <x:v>2096</x:v>
      </x:c>
      <x:c r="N327" s="19" t="n">
        <x:f>'参数'!$B$9*'参数'!$B$10^(D327-1)</x:f>
        <x:v>10869.242330581374</x:v>
      </x:c>
      <x:c r="O327" s="19" t="n">
        <x:f>'参数'!$B$18*'参数'!$B$19^(MIN(E327,MAX(1,5*INT(D327/5)))-1)*F327*'参数'!$J$28*P327</x:f>
        <x:v>1372.1049972495236</x:v>
      </x:c>
      <x:c r="P327" s="22" t="n">
        <x:f>MIN(1,(D327-1)/19)</x:f>
        <x:v>1</x:v>
      </x:c>
      <x:c r="Q327" s="19" t="n">
        <x:f>INDEX('角色成长'!$F$6:$F$105,D327)+O327*'参数'!$K$21</x:f>
        <x:v>8387.499242161142</x:v>
      </x:c>
      <x:c r="R327" s="19" t="n">
        <x:f>INDEX('角色成长'!$I$6:$I$105,D327)+O327*'参数'!$K$21</x:f>
        <x:v>7133.499242161142</x:v>
      </x:c>
      <x:c r="S327" s="19" t="n">
        <x:f>INDEX('角色成长'!$L$6:$L$105,D327)+O327*'参数'!$K$21</x:f>
        <x:v>6417.499242161142</x:v>
      </x:c>
      <x:c r="T327" s="19" t="n">
        <x:f>(INDEX('角色成长'!$J$6:$J$105,D327)+O327*'参数'!$L$21)*(1+'参数'!$B$40*P327)</x:f>
        <x:v>98466.20403283337</x:v>
      </x:c>
      <x:c r="U327" s="19" t="n">
        <x:f>(INDEX('角色成长'!$K$6:$K$105,D327)+O327*'参数'!$M$21)*(1+'参数'!$B$41*P327)</x:f>
        <x:v>5202.102119705334</x:v>
      </x:c>
      <x:c r="V327" s="19" t="n">
        <x:f>(('参数'!$K$5*(((Q327*(1+'参数'!$B$39*P327))^2/((Q327*(1+'参数'!$B$39*P327))+'参数'!$B$22*(I327)))*(1+'参数'!$B$42*P327)/'参数'!$J$5+((Q327*'参数'!$B$43*(1+'参数'!$B$39*P327))^2/((Q327*'参数'!$B$43*(1+'参数'!$B$39*P327))+'参数'!$B$22*(I327)))/'参数'!$B$44))+(((R327*(1+'参数'!$B$39*P327))^2/((R327*(1+'参数'!$B$39*P327))+'参数'!$B$22*(I327)))*(1+'参数'!$B$42*P327)/'参数'!$J$6+((R327*'参数'!$B$45*(1+'参数'!$B$39*P327))^2/((R327*'参数'!$B$45*(1+'参数'!$B$39*P327))+'参数'!$B$22*(I327)))/'参数'!$B$46)+((S327*(1+'参数'!$B$39*P327))^2/((S327*(1+'参数'!$B$39*P327))+'参数'!$B$22*(I327)))*(1+'参数'!$B$42*P327)/'参数'!$J$7)*(1+'参数'!$B$37*('参数'!$B$38-1))*'参数'!$B$25</x:f>
        <x:v>56351.81188151376</x:v>
      </x:c>
      <x:c r="W327" s="19" t="n">
        <x:f>(('参数'!$K$5*(((Q327*(1+'参数'!$B$39*P327))^2/((Q327*(1+'参数'!$B$39*P327))+'参数'!$B$22*(M327)))*(1+'参数'!$B$42*P327)/'参数'!$J$5+((Q327*'参数'!$B$43*(1+'参数'!$B$39*P327))^2/((Q327*'参数'!$B$43*(1+'参数'!$B$39*P327))+'参数'!$B$22*(M327)))/'参数'!$B$44))+(((R327*(1+'参数'!$B$39*P327))^2/((R327*(1+'参数'!$B$39*P327))+'参数'!$B$22*(M327)))*(1+'参数'!$B$42*P327)/'参数'!$J$6+((R327*'参数'!$B$45*(1+'参数'!$B$39*P327))^2/((R327*'参数'!$B$45*(1+'参数'!$B$39*P327))+'参数'!$B$22*(M327)))/'参数'!$B$46)+((S327*(1+'参数'!$B$39*P327))^2/((S327*(1+'参数'!$B$39*P327))+'参数'!$B$22*(M327)))*(1+'参数'!$B$42*P327)/'参数'!$J$7)*(1+'参数'!$B$37*('参数'!$B$38-1))</x:f>
        <x:v>43407.29123466948</x:v>
      </x:c>
      <x:c r="X327" s="26" t="n">
        <x:f>('参数'!$B$26+'参数'!$B$27*(D327-1)/99)*'参数'!$K$28*AD327</x:f>
        <x:v>21.527272727272724</x:v>
      </x:c>
      <x:c r="Y327" s="26" t="n">
        <x:f>('参数'!$B$28+'参数'!$B$29*(D327-1)/99)*'参数'!$K$28*AD327*IF(AE327=1,'参数'!$B$51,1)</x:f>
        <x:v>59.75757575757576</x:v>
      </x:c>
      <x:c r="Z327" s="22" t="n">
        <x:f>MIN('参数'!$B$36,U327/(U327+'参数'!$B$35))</x:f>
        <x:v>0.5653167126417321</x:v>
      </x:c>
      <x:c r="AA327" s="19" t="n">
        <x:f>T327*'参数'!$B$30/('参数'!$B$32*'参数'!$B$33)/(1-Z327)*AC327</x:f>
        <x:v>6229.410445842884</x:v>
      </x:c>
      <x:c r="AB327" s="19" t="n">
        <x:f>T327*'参数'!$B$31/'参数'!$B$34/(1-Z327)*AC327</x:f>
        <x:v>12458.820891685767</x:v>
      </x:c>
      <x:c r="AC327" s="20" t="n">
        <x:f>'参数'!$L$28*1</x:f>
        <x:v>1.1</x:v>
      </x:c>
      <x:c r="AD327" s="20" t="n">
        <x:f>1</x:f>
        <x:v>1</x:v>
      </x:c>
      <x:c r="AE327" s="19" t="n">
        <x:f>IF(MOD(B327,12)=0,1,0)</x:f>
        <x:v>0</x:v>
      </x:c>
    </x:row>
    <x:row r="328" ht="22" customHeight="1">
      <x:c r="A328" s="18" t="str">
        <x:v>噩梦</x:v>
      </x:c>
      <x:c r="B328" s="18" t="n">
        <x:v>83</x:v>
      </x:c>
      <x:c r="C328" s="18" t="n">
        <x:f>ROUNDUP(B328/12,0)</x:f>
        <x:v>7</x:v>
      </x:c>
      <x:c r="D328" s="18" t="n">
        <x:f>ROUND(MAX('参数'!$G$28,E328)+(IF(C328&lt;10,INDEX('参数'!$G$36:$P$36,1,MIN(10,C328+1)),'参数'!$H$28)-MAX('参数'!$G$28,E328))*MOD(B328-1,12)/11,0)</x:f>
        <x:v>100</x:v>
      </x:c>
      <x:c r="E328" s="18" t="n">
        <x:f>INDEX('参数'!$G$36:$P$36,1,C328)</x:f>
        <x:v>95</x:v>
      </x:c>
      <x:c r="F328" s="15" t="n">
        <x:f>'参数'!$I$28</x:f>
        <x:v>1.16</x:v>
      </x:c>
      <x:c r="G328" s="18" t="n">
        <x:f>ROUND(V328*X328/'参数'!$B$56,0)</x:f>
        <x:v>269260</x:v>
      </x:c>
      <x:c r="H328" s="18" t="n">
        <x:f>ROUND((AA328+SQRT(AA328^2+4*AA328*'参数'!$B$22*U328))/2,0)</x:f>
        <x:v>10496</x:v>
      </x:c>
      <x:c r="I328" s="18" t="n">
        <x:f>ROUND(Q328*'参数'!$B$23/'参数'!$B$22,0)</x:f>
        <x:v>1709</x:v>
      </x:c>
      <x:c r="J328" s="18" t="n">
        <x:f>ROUND(G328*'参数'!$B$50,0)</x:f>
        <x:v>807780</x:v>
      </x:c>
      <x:c r="K328" s="18" t="n">
        <x:f>ROUND(W328*Y328,0)</x:f>
        <x:v>2650135</x:v>
      </x:c>
      <x:c r="L328" s="18" t="n">
        <x:f>ROUND((AB328+SQRT(AB328^2+4*AB328*'参数'!$B$22*U328))/2,0)</x:f>
        <x:v>17692</x:v>
      </x:c>
      <x:c r="M328" s="18" t="n">
        <x:f>ROUND(I328*'参数'!$B$24,0)</x:f>
        <x:v>2136</x:v>
      </x:c>
      <x:c r="N328" s="18" t="n">
        <x:f>'参数'!$B$9*'参数'!$B$10^(D328-1)</x:f>
        <x:v>11195.319600498813</x:v>
      </x:c>
      <x:c r="O328" s="18" t="n">
        <x:f>'参数'!$B$18*'参数'!$B$19^(MIN(E328,MAX(1,5*INT(D328/5)))-1)*F328*'参数'!$J$28*P328</x:f>
        <x:v>1372.1049972495236</x:v>
      </x:c>
      <x:c r="P328" s="21" t="n">
        <x:f>MIN(1,(D328-1)/19)</x:f>
        <x:v>1</x:v>
      </x:c>
      <x:c r="Q328" s="18" t="n">
        <x:f>INDEX('角色成长'!$F$6:$F$105,D328)+O328*'参数'!$K$21</x:f>
        <x:v>8544.499242161142</x:v>
      </x:c>
      <x:c r="R328" s="18" t="n">
        <x:f>INDEX('角色成长'!$I$6:$I$105,D328)+O328*'参数'!$K$21</x:f>
        <x:v>7246.499242161142</x:v>
      </x:c>
      <x:c r="S328" s="18" t="n">
        <x:f>INDEX('角色成长'!$L$6:$L$105,D328)+O328*'参数'!$K$21</x:f>
        <x:v>6505.499242161142</x:v>
      </x:c>
      <x:c r="T328" s="18" t="n">
        <x:f>(INDEX('角色成长'!$J$6:$J$105,D328)+O328*'参数'!$L$21)*(1+'参数'!$B$40*P328)</x:f>
        <x:v>100804.80403283337</x:v>
      </x:c>
      <x:c r="U328" s="18" t="n">
        <x:f>(INDEX('角色成长'!$K$6:$K$105,D328)+O328*'参数'!$M$21)*(1+'参数'!$B$41*P328)</x:f>
        <x:v>5291.202119705334</x:v>
      </x:c>
      <x:c r="V328" s="18" t="n">
        <x:f>(('参数'!$K$5*(((Q328*(1+'参数'!$B$39*P328))^2/((Q328*(1+'参数'!$B$39*P328))+'参数'!$B$22*(I328)))*(1+'参数'!$B$42*P328)/'参数'!$J$5+((Q328*'参数'!$B$43*(1+'参数'!$B$39*P328))^2/((Q328*'参数'!$B$43*(1+'参数'!$B$39*P328))+'参数'!$B$22*(I328)))/'参数'!$B$44))+(((R328*(1+'参数'!$B$39*P328))^2/((R328*(1+'参数'!$B$39*P328))+'参数'!$B$22*(I328)))*(1+'参数'!$B$42*P328)/'参数'!$J$6+((R328*'参数'!$B$45*(1+'参数'!$B$39*P328))^2/((R328*'参数'!$B$45*(1+'参数'!$B$39*P328))+'参数'!$B$22*(I328)))/'参数'!$B$46)+((S328*(1+'参数'!$B$39*P328))^2/((S328*(1+'参数'!$B$39*P328))+'参数'!$B$22*(I328)))*(1+'参数'!$B$42*P328)/'参数'!$J$7)*(1+'参数'!$B$37*('参数'!$B$38-1))*'参数'!$B$25</x:f>
        <x:v>57342.4431903907</x:v>
      </x:c>
      <x:c r="W328" s="18" t="n">
        <x:f>(('参数'!$K$5*(((Q328*(1+'参数'!$B$39*P328))^2/((Q328*(1+'参数'!$B$39*P328))+'参数'!$B$22*(M328)))*(1+'参数'!$B$42*P328)/'参数'!$J$5+((Q328*'参数'!$B$43*(1+'参数'!$B$39*P328))^2/((Q328*'参数'!$B$43*(1+'参数'!$B$39*P328))+'参数'!$B$22*(M328)))/'参数'!$B$44))+(((R328*(1+'参数'!$B$39*P328))^2/((R328*(1+'参数'!$B$39*P328))+'参数'!$B$22*(M328)))*(1+'参数'!$B$42*P328)/'参数'!$J$6+((R328*'参数'!$B$45*(1+'参数'!$B$39*P328))^2/((R328*'参数'!$B$45*(1+'参数'!$B$39*P328))+'参数'!$B$22*(M328)))/'参数'!$B$46)+((S328*(1+'参数'!$B$39*P328))^2/((S328*(1+'参数'!$B$39*P328))+'参数'!$B$22*(M328)))*(1+'参数'!$B$42*P328)/'参数'!$J$7)*(1+'参数'!$B$37*('参数'!$B$38-1))</x:f>
        <x:v>44168.9166933763</x:v>
      </x:c>
      <x:c r="X328" s="25" t="n">
        <x:f>('参数'!$B$26+'参数'!$B$27*(D328-1)/99)*'参数'!$K$28*AD328</x:f>
        <x:v>21.599999999999998</x:v>
      </x:c>
      <x:c r="Y328" s="25" t="n">
        <x:f>('参数'!$B$28+'参数'!$B$29*(D328-1)/99)*'参数'!$K$28*AD328*IF(AE328=1,'参数'!$B$51,1)</x:f>
        <x:v>60</x:v>
      </x:c>
      <x:c r="Z328" s="21" t="n">
        <x:f>MIN('参数'!$B$36,U328/(U328+'参数'!$B$35))</x:f>
        <x:v>0.5694852024027589</x:v>
      </x:c>
      <x:c r="AA328" s="18" t="n">
        <x:f>T328*'参数'!$B$30/('参数'!$B$32*'参数'!$B$33)/(1-Z328)*AC328</x:f>
        <x:v>6439.109936231105</x:v>
      </x:c>
      <x:c r="AB328" s="18" t="n">
        <x:f>T328*'参数'!$B$31/'参数'!$B$34/(1-Z328)*AC328</x:f>
        <x:v>12878.21987246221</x:v>
      </x:c>
      <x:c r="AC328" s="15" t="n">
        <x:f>'参数'!$L$28*1</x:f>
        <x:v>1.1</x:v>
      </x:c>
      <x:c r="AD328" s="15" t="n">
        <x:f>1</x:f>
        <x:v>1</x:v>
      </x:c>
      <x:c r="AE328" s="18" t="n">
        <x:f>IF(MOD(B328,12)=0,1,0)</x:f>
        <x:v>0</x:v>
      </x:c>
    </x:row>
    <x:row r="329" ht="22" customHeight="1">
      <x:c r="A329" s="19" t="str">
        <x:v>噩梦</x:v>
      </x:c>
      <x:c r="B329" s="19" t="n">
        <x:v>84</x:v>
      </x:c>
      <x:c r="C329" s="19" t="n">
        <x:f>ROUNDUP(B329/12,0)</x:f>
        <x:v>7</x:v>
      </x:c>
      <x:c r="D329" s="19" t="n">
        <x:f>ROUND(MAX('参数'!$G$28,E329)+(IF(C329&lt;10,INDEX('参数'!$G$36:$P$36,1,MIN(10,C329+1)),'参数'!$H$28)-MAX('参数'!$G$28,E329))*MOD(B329-1,12)/11,0)</x:f>
        <x:v>100</x:v>
      </x:c>
      <x:c r="E329" s="19" t="n">
        <x:f>INDEX('参数'!$G$36:$P$36,1,C329)</x:f>
        <x:v>95</x:v>
      </x:c>
      <x:c r="F329" s="20" t="n">
        <x:f>'参数'!$I$28</x:f>
        <x:v>1.16</x:v>
      </x:c>
      <x:c r="G329" s="19" t="n">
        <x:f>ROUND(V329*X329/'参数'!$B$56,0)</x:f>
        <x:v>269260</x:v>
      </x:c>
      <x:c r="H329" s="19" t="n">
        <x:f>ROUND((AA329+SQRT(AA329^2+4*AA329*'参数'!$B$22*U329))/2,0)</x:f>
        <x:v>10496</x:v>
      </x:c>
      <x:c r="I329" s="19" t="n">
        <x:f>ROUND(Q329*'参数'!$B$23/'参数'!$B$22,0)</x:f>
        <x:v>1709</x:v>
      </x:c>
      <x:c r="J329" s="19" t="n">
        <x:f>ROUND(G329*'参数'!$B$50,0)</x:f>
        <x:v>807780</x:v>
      </x:c>
      <x:c r="K329" s="19" t="n">
        <x:f>ROUND(W329*Y329,0)</x:f>
        <x:v>3047655</x:v>
      </x:c>
      <x:c r="L329" s="19" t="n">
        <x:f>ROUND((AB329+SQRT(AB329^2+4*AB329*'参数'!$B$22*U329))/2,0)</x:f>
        <x:v>17692</x:v>
      </x:c>
      <x:c r="M329" s="19" t="n">
        <x:f>ROUND(I329*'参数'!$B$24,0)</x:f>
        <x:v>2136</x:v>
      </x:c>
      <x:c r="N329" s="19" t="n">
        <x:f>'参数'!$B$9*'参数'!$B$10^(D329-1)</x:f>
        <x:v>11195.319600498813</x:v>
      </x:c>
      <x:c r="O329" s="19" t="n">
        <x:f>'参数'!$B$18*'参数'!$B$19^(MIN(E329,MAX(1,5*INT(D329/5)))-1)*F329*'参数'!$J$28*P329</x:f>
        <x:v>1372.1049972495236</x:v>
      </x:c>
      <x:c r="P329" s="22" t="n">
        <x:f>MIN(1,(D329-1)/19)</x:f>
        <x:v>1</x:v>
      </x:c>
      <x:c r="Q329" s="19" t="n">
        <x:f>INDEX('角色成长'!$F$6:$F$105,D329)+O329*'参数'!$K$21</x:f>
        <x:v>8544.499242161142</x:v>
      </x:c>
      <x:c r="R329" s="19" t="n">
        <x:f>INDEX('角色成长'!$I$6:$I$105,D329)+O329*'参数'!$K$21</x:f>
        <x:v>7246.499242161142</x:v>
      </x:c>
      <x:c r="S329" s="19" t="n">
        <x:f>INDEX('角色成长'!$L$6:$L$105,D329)+O329*'参数'!$K$21</x:f>
        <x:v>6505.499242161142</x:v>
      </x:c>
      <x:c r="T329" s="19" t="n">
        <x:f>(INDEX('角色成长'!$J$6:$J$105,D329)+O329*'参数'!$L$21)*(1+'参数'!$B$40*P329)</x:f>
        <x:v>100804.80403283337</x:v>
      </x:c>
      <x:c r="U329" s="19" t="n">
        <x:f>(INDEX('角色成长'!$K$6:$K$105,D329)+O329*'参数'!$M$21)*(1+'参数'!$B$41*P329)</x:f>
        <x:v>5291.202119705334</x:v>
      </x:c>
      <x:c r="V329" s="19" t="n">
        <x:f>(('参数'!$K$5*(((Q329*(1+'参数'!$B$39*P329))^2/((Q329*(1+'参数'!$B$39*P329))+'参数'!$B$22*(I329)))*(1+'参数'!$B$42*P329)/'参数'!$J$5+((Q329*'参数'!$B$43*(1+'参数'!$B$39*P329))^2/((Q329*'参数'!$B$43*(1+'参数'!$B$39*P329))+'参数'!$B$22*(I329)))/'参数'!$B$44))+(((R329*(1+'参数'!$B$39*P329))^2/((R329*(1+'参数'!$B$39*P329))+'参数'!$B$22*(I329)))*(1+'参数'!$B$42*P329)/'参数'!$J$6+((R329*'参数'!$B$45*(1+'参数'!$B$39*P329))^2/((R329*'参数'!$B$45*(1+'参数'!$B$39*P329))+'参数'!$B$22*(I329)))/'参数'!$B$46)+((S329*(1+'参数'!$B$39*P329))^2/((S329*(1+'参数'!$B$39*P329))+'参数'!$B$22*(I329)))*(1+'参数'!$B$42*P329)/'参数'!$J$7)*(1+'参数'!$B$37*('参数'!$B$38-1))*'参数'!$B$25</x:f>
        <x:v>57342.4431903907</x:v>
      </x:c>
      <x:c r="W329" s="19" t="n">
        <x:f>(('参数'!$K$5*(((Q329*(1+'参数'!$B$39*P329))^2/((Q329*(1+'参数'!$B$39*P329))+'参数'!$B$22*(M329)))*(1+'参数'!$B$42*P329)/'参数'!$J$5+((Q329*'参数'!$B$43*(1+'参数'!$B$39*P329))^2/((Q329*'参数'!$B$43*(1+'参数'!$B$39*P329))+'参数'!$B$22*(M329)))/'参数'!$B$44))+(((R329*(1+'参数'!$B$39*P329))^2/((R329*(1+'参数'!$B$39*P329))+'参数'!$B$22*(M329)))*(1+'参数'!$B$42*P329)/'参数'!$J$6+((R329*'参数'!$B$45*(1+'参数'!$B$39*P329))^2/((R329*'参数'!$B$45*(1+'参数'!$B$39*P329))+'参数'!$B$22*(M329)))/'参数'!$B$46)+((S329*(1+'参数'!$B$39*P329))^2/((S329*(1+'参数'!$B$39*P329))+'参数'!$B$22*(M329)))*(1+'参数'!$B$42*P329)/'参数'!$J$7)*(1+'参数'!$B$37*('参数'!$B$38-1))</x:f>
        <x:v>44168.9166933763</x:v>
      </x:c>
      <x:c r="X329" s="26" t="n">
        <x:f>('参数'!$B$26+'参数'!$B$27*(D329-1)/99)*'参数'!$K$28*AD329</x:f>
        <x:v>21.599999999999998</x:v>
      </x:c>
      <x:c r="Y329" s="26" t="n">
        <x:f>('参数'!$B$28+'参数'!$B$29*(D329-1)/99)*'参数'!$K$28*AD329*IF(AE329=1,'参数'!$B$51,1)</x:f>
        <x:v>69</x:v>
      </x:c>
      <x:c r="Z329" s="22" t="n">
        <x:f>MIN('参数'!$B$36,U329/(U329+'参数'!$B$35))</x:f>
        <x:v>0.5694852024027589</x:v>
      </x:c>
      <x:c r="AA329" s="19" t="n">
        <x:f>T329*'参数'!$B$30/('参数'!$B$32*'参数'!$B$33)/(1-Z329)*AC329</x:f>
        <x:v>6439.109936231105</x:v>
      </x:c>
      <x:c r="AB329" s="19" t="n">
        <x:f>T329*'参数'!$B$31/'参数'!$B$34/(1-Z329)*AC329</x:f>
        <x:v>12878.21987246221</x:v>
      </x:c>
      <x:c r="AC329" s="20" t="n">
        <x:f>'参数'!$L$28*1</x:f>
        <x:v>1.1</x:v>
      </x:c>
      <x:c r="AD329" s="20" t="n">
        <x:f>1</x:f>
        <x:v>1</x:v>
      </x:c>
      <x:c r="AE329" s="19" t="n">
        <x:f>IF(MOD(B329,12)=0,1,0)</x:f>
        <x:v>1</x:v>
      </x:c>
    </x:row>
    <x:row r="330" ht="22" customHeight="1">
      <x:c r="A330" s="18" t="str">
        <x:v>噩梦</x:v>
      </x:c>
      <x:c r="B330" s="18" t="n">
        <x:v>85</x:v>
      </x:c>
      <x:c r="C330" s="18" t="n">
        <x:f>ROUNDUP(B330/12,0)</x:f>
        <x:v>8</x:v>
      </x:c>
      <x:c r="D330" s="18" t="n">
        <x:f>ROUND(MAX('参数'!$G$28,E330)+(IF(C330&lt;10,INDEX('参数'!$G$36:$P$36,1,MIN(10,C330+1)),'参数'!$H$28)-MAX('参数'!$G$28,E330))*MOD(B330-1,12)/11,0)</x:f>
        <x:v>100</x:v>
      </x:c>
      <x:c r="E330" s="18" t="n">
        <x:f>INDEX('参数'!$G$36:$P$36,1,C330)</x:f>
        <x:v>100</x:v>
      </x:c>
      <x:c r="F330" s="15" t="n">
        <x:f>'参数'!$I$28</x:f>
        <x:v>1.16</x:v>
      </x:c>
      <x:c r="G330" s="18" t="n">
        <x:f>ROUND(V330*X330/'参数'!$B$56,0)</x:f>
        <x:v>295459</x:v>
      </x:c>
      <x:c r="H330" s="18" t="n">
        <x:f>ROUND((AA330+SQRT(AA330^2+4*AA330*'参数'!$B$22*U330))/2,0)</x:f>
        <x:v>11745</x:v>
      </x:c>
      <x:c r="I330" s="18" t="n">
        <x:f>ROUND(Q330*'参数'!$B$23/'参数'!$B$22,0)</x:f>
        <x:v>1865</x:v>
      </x:c>
      <x:c r="J330" s="18" t="n">
        <x:f>ROUND(G330*'参数'!$B$50,0)</x:f>
        <x:v>886377</x:v>
      </x:c>
      <x:c r="K330" s="18" t="n">
        <x:f>ROUND(W330*Y330,0)</x:f>
        <x:v>2908316</x:v>
      </x:c>
      <x:c r="L330" s="18" t="n">
        <x:f>ROUND((AB330+SQRT(AB330^2+4*AB330*'参数'!$B$22*U330))/2,0)</x:f>
        <x:v>19829</x:v>
      </x:c>
      <x:c r="M330" s="18" t="n">
        <x:f>ROUND(I330*'参数'!$B$24,0)</x:f>
        <x:v>2331</x:v>
      </x:c>
      <x:c r="N330" s="18" t="n">
        <x:f>'参数'!$B$9*'参数'!$B$10^(D330-1)</x:f>
        <x:v>11195.319600498813</x:v>
      </x:c>
      <x:c r="O330" s="18" t="n">
        <x:f>'参数'!$B$18*'参数'!$B$19^(MIN(E330,MAX(1,5*INT(D330/5)))-1)*F330*'参数'!$J$28*P330</x:f>
        <x:v>1645.4365043728462</x:v>
      </x:c>
      <x:c r="P330" s="21" t="n">
        <x:f>MIN(1,(D330-1)/19)</x:f>
        <x:v>1</x:v>
      </x:c>
      <x:c r="Q330" s="18" t="n">
        <x:f>INDEX('角色成长'!$F$6:$F$105,D330)+O330*'参数'!$K$21</x:f>
        <x:v>9323.494037462613</x:v>
      </x:c>
      <x:c r="R330" s="18" t="n">
        <x:f>INDEX('角色成长'!$I$6:$I$105,D330)+O330*'参数'!$K$21</x:f>
        <x:v>8025.494037462612</x:v>
      </x:c>
      <x:c r="S330" s="18" t="n">
        <x:f>INDEX('角色成长'!$L$6:$L$105,D330)+O330*'参数'!$K$21</x:f>
        <x:v>7284.494037462612</x:v>
      </x:c>
      <x:c r="T330" s="18" t="n">
        <x:f>(INDEX('角色成长'!$J$6:$J$105,D330)+O330*'参数'!$L$21)*(1+'参数'!$B$40*P330)</x:f>
        <x:v>107479.55943678491</x:v>
      </x:c>
      <x:c r="U330" s="18" t="n">
        <x:f>(INDEX('角色成长'!$K$6:$K$105,D330)+O330*'参数'!$M$21)*(1+'参数'!$B$41*P330)</x:f>
        <x:v>5817.3652709177295</x:v>
      </x:c>
      <x:c r="V330" s="18" t="n">
        <x:f>(('参数'!$K$5*(((Q330*(1+'参数'!$B$39*P330))^2/((Q330*(1+'参数'!$B$39*P330))+'参数'!$B$22*(I330)))*(1+'参数'!$B$42*P330)/'参数'!$J$5+((Q330*'参数'!$B$43*(1+'参数'!$B$39*P330))^2/((Q330*'参数'!$B$43*(1+'参数'!$B$39*P330))+'参数'!$B$22*(I330)))/'参数'!$B$44))+(((R330*(1+'参数'!$B$39*P330))^2/((R330*(1+'参数'!$B$39*P330))+'参数'!$B$22*(I330)))*(1+'参数'!$B$42*P330)/'参数'!$J$6+((R330*'参数'!$B$45*(1+'参数'!$B$39*P330))^2/((R330*'参数'!$B$45*(1+'参数'!$B$39*P330))+'参数'!$B$22*(I330)))/'参数'!$B$46)+((S330*(1+'参数'!$B$39*P330))^2/((S330*(1+'参数'!$B$39*P330))+'参数'!$B$22*(I330)))*(1+'参数'!$B$42*P330)/'参数'!$J$7)*(1+'参数'!$B$37*('参数'!$B$38-1))*'参数'!$B$25</x:f>
        <x:v>62921.9115191509</x:v>
      </x:c>
      <x:c r="W330" s="18" t="n">
        <x:f>(('参数'!$K$5*(((Q330*(1+'参数'!$B$39*P330))^2/((Q330*(1+'参数'!$B$39*P330))+'参数'!$B$22*(M330)))*(1+'参数'!$B$42*P330)/'参数'!$J$5+((Q330*'参数'!$B$43*(1+'参数'!$B$39*P330))^2/((Q330*'参数'!$B$43*(1+'参数'!$B$39*P330))+'参数'!$B$22*(M330)))/'参数'!$B$44))+(((R330*(1+'参数'!$B$39*P330))^2/((R330*(1+'参数'!$B$39*P330))+'参数'!$B$22*(M330)))*(1+'参数'!$B$42*P330)/'参数'!$J$6+((R330*'参数'!$B$45*(1+'参数'!$B$39*P330))^2/((R330*'参数'!$B$45*(1+'参数'!$B$39*P330))+'参数'!$B$22*(M330)))/'参数'!$B$46)+((S330*(1+'参数'!$B$39*P330))^2/((S330*(1+'参数'!$B$39*P330))+'参数'!$B$22*(M330)))*(1+'参数'!$B$42*P330)/'参数'!$J$7)*(1+'参数'!$B$37*('参数'!$B$38-1))</x:f>
        <x:v>48471.92860891668</x:v>
      </x:c>
      <x:c r="X330" s="25" t="n">
        <x:f>('参数'!$B$26+'参数'!$B$27*(D330-1)/99)*'参数'!$K$28*AD330</x:f>
        <x:v>21.599999999999998</x:v>
      </x:c>
      <x:c r="Y330" s="25" t="n">
        <x:f>('参数'!$B$28+'参数'!$B$29*(D330-1)/99)*'参数'!$K$28*AD330*IF(AE330=1,'参数'!$B$51,1)</x:f>
        <x:v>60</x:v>
      </x:c>
      <x:c r="Z330" s="21" t="n">
        <x:f>MIN('参数'!$B$36,U330/(U330+'参数'!$B$35))</x:f>
        <x:v>0.5925587069832965</x:v>
      </x:c>
      <x:c r="AA330" s="18" t="n">
        <x:f>T330*'参数'!$B$30/('参数'!$B$32*'参数'!$B$33)/(1-Z330)*AC330</x:f>
        <x:v>7254.266897269082</x:v>
      </x:c>
      <x:c r="AB330" s="18" t="n">
        <x:f>T330*'参数'!$B$31/'参数'!$B$34/(1-Z330)*AC330</x:f>
        <x:v>14508.533794538167</x:v>
      </x:c>
      <x:c r="AC330" s="15" t="n">
        <x:f>'参数'!$L$28*1</x:f>
        <x:v>1.1</x:v>
      </x:c>
      <x:c r="AD330" s="15" t="n">
        <x:f>1</x:f>
        <x:v>1</x:v>
      </x:c>
      <x:c r="AE330" s="18" t="n">
        <x:f>IF(MOD(B330,12)=0,1,0)</x:f>
        <x:v>0</x:v>
      </x:c>
    </x:row>
    <x:row r="331" ht="22" customHeight="1">
      <x:c r="A331" s="19" t="str">
        <x:v>噩梦</x:v>
      </x:c>
      <x:c r="B331" s="19" t="n">
        <x:v>86</x:v>
      </x:c>
      <x:c r="C331" s="19" t="n">
        <x:f>ROUNDUP(B331/12,0)</x:f>
        <x:v>8</x:v>
      </x:c>
      <x:c r="D331" s="19" t="n">
        <x:f>ROUND(MAX('参数'!$G$28,E331)+(IF(C331&lt;10,INDEX('参数'!$G$36:$P$36,1,MIN(10,C331+1)),'参数'!$H$28)-MAX('参数'!$G$28,E331))*MOD(B331-1,12)/11,0)</x:f>
        <x:v>100</x:v>
      </x:c>
      <x:c r="E331" s="19" t="n">
        <x:f>INDEX('参数'!$G$36:$P$36,1,C331)</x:f>
        <x:v>100</x:v>
      </x:c>
      <x:c r="F331" s="20" t="n">
        <x:f>'参数'!$I$28</x:f>
        <x:v>1.16</x:v>
      </x:c>
      <x:c r="G331" s="19" t="n">
        <x:f>ROUND(V331*X331/'参数'!$B$56,0)</x:f>
        <x:v>295459</x:v>
      </x:c>
      <x:c r="H331" s="19" t="n">
        <x:f>ROUND((AA331+SQRT(AA331^2+4*AA331*'参数'!$B$22*U331))/2,0)</x:f>
        <x:v>11745</x:v>
      </x:c>
      <x:c r="I331" s="19" t="n">
        <x:f>ROUND(Q331*'参数'!$B$23/'参数'!$B$22,0)</x:f>
        <x:v>1865</x:v>
      </x:c>
      <x:c r="J331" s="19" t="n">
        <x:f>ROUND(G331*'参数'!$B$50,0)</x:f>
        <x:v>886377</x:v>
      </x:c>
      <x:c r="K331" s="19" t="n">
        <x:f>ROUND(W331*Y331,0)</x:f>
        <x:v>2908316</x:v>
      </x:c>
      <x:c r="L331" s="19" t="n">
        <x:f>ROUND((AB331+SQRT(AB331^2+4*AB331*'参数'!$B$22*U331))/2,0)</x:f>
        <x:v>19829</x:v>
      </x:c>
      <x:c r="M331" s="19" t="n">
        <x:f>ROUND(I331*'参数'!$B$24,0)</x:f>
        <x:v>2331</x:v>
      </x:c>
      <x:c r="N331" s="19" t="n">
        <x:f>'参数'!$B$9*'参数'!$B$10^(D331-1)</x:f>
        <x:v>11195.319600498813</x:v>
      </x:c>
      <x:c r="O331" s="19" t="n">
        <x:f>'参数'!$B$18*'参数'!$B$19^(MIN(E331,MAX(1,5*INT(D331/5)))-1)*F331*'参数'!$J$28*P331</x:f>
        <x:v>1645.4365043728462</x:v>
      </x:c>
      <x:c r="P331" s="22" t="n">
        <x:f>MIN(1,(D331-1)/19)</x:f>
        <x:v>1</x:v>
      </x:c>
      <x:c r="Q331" s="19" t="n">
        <x:f>INDEX('角色成长'!$F$6:$F$105,D331)+O331*'参数'!$K$21</x:f>
        <x:v>9323.494037462613</x:v>
      </x:c>
      <x:c r="R331" s="19" t="n">
        <x:f>INDEX('角色成长'!$I$6:$I$105,D331)+O331*'参数'!$K$21</x:f>
        <x:v>8025.494037462612</x:v>
      </x:c>
      <x:c r="S331" s="19" t="n">
        <x:f>INDEX('角色成长'!$L$6:$L$105,D331)+O331*'参数'!$K$21</x:f>
        <x:v>7284.494037462612</x:v>
      </x:c>
      <x:c r="T331" s="19" t="n">
        <x:f>(INDEX('角色成长'!$J$6:$J$105,D331)+O331*'参数'!$L$21)*(1+'参数'!$B$40*P331)</x:f>
        <x:v>107479.55943678491</x:v>
      </x:c>
      <x:c r="U331" s="19" t="n">
        <x:f>(INDEX('角色成长'!$K$6:$K$105,D331)+O331*'参数'!$M$21)*(1+'参数'!$B$41*P331)</x:f>
        <x:v>5817.3652709177295</x:v>
      </x:c>
      <x:c r="V331" s="19" t="n">
        <x:f>(('参数'!$K$5*(((Q331*(1+'参数'!$B$39*P331))^2/((Q331*(1+'参数'!$B$39*P331))+'参数'!$B$22*(I331)))*(1+'参数'!$B$42*P331)/'参数'!$J$5+((Q331*'参数'!$B$43*(1+'参数'!$B$39*P331))^2/((Q331*'参数'!$B$43*(1+'参数'!$B$39*P331))+'参数'!$B$22*(I331)))/'参数'!$B$44))+(((R331*(1+'参数'!$B$39*P331))^2/((R331*(1+'参数'!$B$39*P331))+'参数'!$B$22*(I331)))*(1+'参数'!$B$42*P331)/'参数'!$J$6+((R331*'参数'!$B$45*(1+'参数'!$B$39*P331))^2/((R331*'参数'!$B$45*(1+'参数'!$B$39*P331))+'参数'!$B$22*(I331)))/'参数'!$B$46)+((S331*(1+'参数'!$B$39*P331))^2/((S331*(1+'参数'!$B$39*P331))+'参数'!$B$22*(I331)))*(1+'参数'!$B$42*P331)/'参数'!$J$7)*(1+'参数'!$B$37*('参数'!$B$38-1))*'参数'!$B$25</x:f>
        <x:v>62921.9115191509</x:v>
      </x:c>
      <x:c r="W331" s="19" t="n">
        <x:f>(('参数'!$K$5*(((Q331*(1+'参数'!$B$39*P331))^2/((Q331*(1+'参数'!$B$39*P331))+'参数'!$B$22*(M331)))*(1+'参数'!$B$42*P331)/'参数'!$J$5+((Q331*'参数'!$B$43*(1+'参数'!$B$39*P331))^2/((Q331*'参数'!$B$43*(1+'参数'!$B$39*P331))+'参数'!$B$22*(M331)))/'参数'!$B$44))+(((R331*(1+'参数'!$B$39*P331))^2/((R331*(1+'参数'!$B$39*P331))+'参数'!$B$22*(M331)))*(1+'参数'!$B$42*P331)/'参数'!$J$6+((R331*'参数'!$B$45*(1+'参数'!$B$39*P331))^2/((R331*'参数'!$B$45*(1+'参数'!$B$39*P331))+'参数'!$B$22*(M331)))/'参数'!$B$46)+((S331*(1+'参数'!$B$39*P331))^2/((S331*(1+'参数'!$B$39*P331))+'参数'!$B$22*(M331)))*(1+'参数'!$B$42*P331)/'参数'!$J$7)*(1+'参数'!$B$37*('参数'!$B$38-1))</x:f>
        <x:v>48471.92860891668</x:v>
      </x:c>
      <x:c r="X331" s="26" t="n">
        <x:f>('参数'!$B$26+'参数'!$B$27*(D331-1)/99)*'参数'!$K$28*AD331</x:f>
        <x:v>21.599999999999998</x:v>
      </x:c>
      <x:c r="Y331" s="26" t="n">
        <x:f>('参数'!$B$28+'参数'!$B$29*(D331-1)/99)*'参数'!$K$28*AD331*IF(AE331=1,'参数'!$B$51,1)</x:f>
        <x:v>60</x:v>
      </x:c>
      <x:c r="Z331" s="22" t="n">
        <x:f>MIN('参数'!$B$36,U331/(U331+'参数'!$B$35))</x:f>
        <x:v>0.5925587069832965</x:v>
      </x:c>
      <x:c r="AA331" s="19" t="n">
        <x:f>T331*'参数'!$B$30/('参数'!$B$32*'参数'!$B$33)/(1-Z331)*AC331</x:f>
        <x:v>7254.266897269082</x:v>
      </x:c>
      <x:c r="AB331" s="19" t="n">
        <x:f>T331*'参数'!$B$31/'参数'!$B$34/(1-Z331)*AC331</x:f>
        <x:v>14508.533794538167</x:v>
      </x:c>
      <x:c r="AC331" s="20" t="n">
        <x:f>'参数'!$L$28*1</x:f>
        <x:v>1.1</x:v>
      </x:c>
      <x:c r="AD331" s="20" t="n">
        <x:f>1</x:f>
        <x:v>1</x:v>
      </x:c>
      <x:c r="AE331" s="19" t="n">
        <x:f>IF(MOD(B331,12)=0,1,0)</x:f>
        <x:v>0</x:v>
      </x:c>
    </x:row>
    <x:row r="332" ht="22" customHeight="1">
      <x:c r="A332" s="18" t="str">
        <x:v>噩梦</x:v>
      </x:c>
      <x:c r="B332" s="18" t="n">
        <x:v>87</x:v>
      </x:c>
      <x:c r="C332" s="18" t="n">
        <x:f>ROUNDUP(B332/12,0)</x:f>
        <x:v>8</x:v>
      </x:c>
      <x:c r="D332" s="18" t="n">
        <x:f>ROUND(MAX('参数'!$G$28,E332)+(IF(C332&lt;10,INDEX('参数'!$G$36:$P$36,1,MIN(10,C332+1)),'参数'!$H$28)-MAX('参数'!$G$28,E332))*MOD(B332-1,12)/11,0)</x:f>
        <x:v>100</x:v>
      </x:c>
      <x:c r="E332" s="18" t="n">
        <x:f>INDEX('参数'!$G$36:$P$36,1,C332)</x:f>
        <x:v>100</x:v>
      </x:c>
      <x:c r="F332" s="15" t="n">
        <x:f>'参数'!$I$28</x:f>
        <x:v>1.16</x:v>
      </x:c>
      <x:c r="G332" s="18" t="n">
        <x:f>ROUND(V332*X332/'参数'!$B$56,0)</x:f>
        <x:v>295459</x:v>
      </x:c>
      <x:c r="H332" s="18" t="n">
        <x:f>ROUND((AA332+SQRT(AA332^2+4*AA332*'参数'!$B$22*U332))/2,0)</x:f>
        <x:v>11745</x:v>
      </x:c>
      <x:c r="I332" s="18" t="n">
        <x:f>ROUND(Q332*'参数'!$B$23/'参数'!$B$22,0)</x:f>
        <x:v>1865</x:v>
      </x:c>
      <x:c r="J332" s="18" t="n">
        <x:f>ROUND(G332*'参数'!$B$50,0)</x:f>
        <x:v>886377</x:v>
      </x:c>
      <x:c r="K332" s="18" t="n">
        <x:f>ROUND(W332*Y332,0)</x:f>
        <x:v>2908316</x:v>
      </x:c>
      <x:c r="L332" s="18" t="n">
        <x:f>ROUND((AB332+SQRT(AB332^2+4*AB332*'参数'!$B$22*U332))/2,0)</x:f>
        <x:v>19829</x:v>
      </x:c>
      <x:c r="M332" s="18" t="n">
        <x:f>ROUND(I332*'参数'!$B$24,0)</x:f>
        <x:v>2331</x:v>
      </x:c>
      <x:c r="N332" s="18" t="n">
        <x:f>'参数'!$B$9*'参数'!$B$10^(D332-1)</x:f>
        <x:v>11195.319600498813</x:v>
      </x:c>
      <x:c r="O332" s="18" t="n">
        <x:f>'参数'!$B$18*'参数'!$B$19^(MIN(E332,MAX(1,5*INT(D332/5)))-1)*F332*'参数'!$J$28*P332</x:f>
        <x:v>1645.4365043728462</x:v>
      </x:c>
      <x:c r="P332" s="21" t="n">
        <x:f>MIN(1,(D332-1)/19)</x:f>
        <x:v>1</x:v>
      </x:c>
      <x:c r="Q332" s="18" t="n">
        <x:f>INDEX('角色成长'!$F$6:$F$105,D332)+O332*'参数'!$K$21</x:f>
        <x:v>9323.494037462613</x:v>
      </x:c>
      <x:c r="R332" s="18" t="n">
        <x:f>INDEX('角色成长'!$I$6:$I$105,D332)+O332*'参数'!$K$21</x:f>
        <x:v>8025.494037462612</x:v>
      </x:c>
      <x:c r="S332" s="18" t="n">
        <x:f>INDEX('角色成长'!$L$6:$L$105,D332)+O332*'参数'!$K$21</x:f>
        <x:v>7284.494037462612</x:v>
      </x:c>
      <x:c r="T332" s="18" t="n">
        <x:f>(INDEX('角色成长'!$J$6:$J$105,D332)+O332*'参数'!$L$21)*(1+'参数'!$B$40*P332)</x:f>
        <x:v>107479.55943678491</x:v>
      </x:c>
      <x:c r="U332" s="18" t="n">
        <x:f>(INDEX('角色成长'!$K$6:$K$105,D332)+O332*'参数'!$M$21)*(1+'参数'!$B$41*P332)</x:f>
        <x:v>5817.3652709177295</x:v>
      </x:c>
      <x:c r="V332" s="18" t="n">
        <x:f>(('参数'!$K$5*(((Q332*(1+'参数'!$B$39*P332))^2/((Q332*(1+'参数'!$B$39*P332))+'参数'!$B$22*(I332)))*(1+'参数'!$B$42*P332)/'参数'!$J$5+((Q332*'参数'!$B$43*(1+'参数'!$B$39*P332))^2/((Q332*'参数'!$B$43*(1+'参数'!$B$39*P332))+'参数'!$B$22*(I332)))/'参数'!$B$44))+(((R332*(1+'参数'!$B$39*P332))^2/((R332*(1+'参数'!$B$39*P332))+'参数'!$B$22*(I332)))*(1+'参数'!$B$42*P332)/'参数'!$J$6+((R332*'参数'!$B$45*(1+'参数'!$B$39*P332))^2/((R332*'参数'!$B$45*(1+'参数'!$B$39*P332))+'参数'!$B$22*(I332)))/'参数'!$B$46)+((S332*(1+'参数'!$B$39*P332))^2/((S332*(1+'参数'!$B$39*P332))+'参数'!$B$22*(I332)))*(1+'参数'!$B$42*P332)/'参数'!$J$7)*(1+'参数'!$B$37*('参数'!$B$38-1))*'参数'!$B$25</x:f>
        <x:v>62921.9115191509</x:v>
      </x:c>
      <x:c r="W332" s="18" t="n">
        <x:f>(('参数'!$K$5*(((Q332*(1+'参数'!$B$39*P332))^2/((Q332*(1+'参数'!$B$39*P332))+'参数'!$B$22*(M332)))*(1+'参数'!$B$42*P332)/'参数'!$J$5+((Q332*'参数'!$B$43*(1+'参数'!$B$39*P332))^2/((Q332*'参数'!$B$43*(1+'参数'!$B$39*P332))+'参数'!$B$22*(M332)))/'参数'!$B$44))+(((R332*(1+'参数'!$B$39*P332))^2/((R332*(1+'参数'!$B$39*P332))+'参数'!$B$22*(M332)))*(1+'参数'!$B$42*P332)/'参数'!$J$6+((R332*'参数'!$B$45*(1+'参数'!$B$39*P332))^2/((R332*'参数'!$B$45*(1+'参数'!$B$39*P332))+'参数'!$B$22*(M332)))/'参数'!$B$46)+((S332*(1+'参数'!$B$39*P332))^2/((S332*(1+'参数'!$B$39*P332))+'参数'!$B$22*(M332)))*(1+'参数'!$B$42*P332)/'参数'!$J$7)*(1+'参数'!$B$37*('参数'!$B$38-1))</x:f>
        <x:v>48471.92860891668</x:v>
      </x:c>
      <x:c r="X332" s="25" t="n">
        <x:f>('参数'!$B$26+'参数'!$B$27*(D332-1)/99)*'参数'!$K$28*AD332</x:f>
        <x:v>21.599999999999998</x:v>
      </x:c>
      <x:c r="Y332" s="25" t="n">
        <x:f>('参数'!$B$28+'参数'!$B$29*(D332-1)/99)*'参数'!$K$28*AD332*IF(AE332=1,'参数'!$B$51,1)</x:f>
        <x:v>60</x:v>
      </x:c>
      <x:c r="Z332" s="21" t="n">
        <x:f>MIN('参数'!$B$36,U332/(U332+'参数'!$B$35))</x:f>
        <x:v>0.5925587069832965</x:v>
      </x:c>
      <x:c r="AA332" s="18" t="n">
        <x:f>T332*'参数'!$B$30/('参数'!$B$32*'参数'!$B$33)/(1-Z332)*AC332</x:f>
        <x:v>7254.266897269082</x:v>
      </x:c>
      <x:c r="AB332" s="18" t="n">
        <x:f>T332*'参数'!$B$31/'参数'!$B$34/(1-Z332)*AC332</x:f>
        <x:v>14508.533794538167</x:v>
      </x:c>
      <x:c r="AC332" s="15" t="n">
        <x:f>'参数'!$L$28*1</x:f>
        <x:v>1.1</x:v>
      </x:c>
      <x:c r="AD332" s="15" t="n">
        <x:f>1</x:f>
        <x:v>1</x:v>
      </x:c>
      <x:c r="AE332" s="18" t="n">
        <x:f>IF(MOD(B332,12)=0,1,0)</x:f>
        <x:v>0</x:v>
      </x:c>
    </x:row>
    <x:row r="333" ht="22" customHeight="1">
      <x:c r="A333" s="19" t="str">
        <x:v>噩梦</x:v>
      </x:c>
      <x:c r="B333" s="19" t="n">
        <x:v>88</x:v>
      </x:c>
      <x:c r="C333" s="19" t="n">
        <x:f>ROUNDUP(B333/12,0)</x:f>
        <x:v>8</x:v>
      </x:c>
      <x:c r="D333" s="19" t="n">
        <x:f>ROUND(MAX('参数'!$G$28,E333)+(IF(C333&lt;10,INDEX('参数'!$G$36:$P$36,1,MIN(10,C333+1)),'参数'!$H$28)-MAX('参数'!$G$28,E333))*MOD(B333-1,12)/11,0)</x:f>
        <x:v>100</x:v>
      </x:c>
      <x:c r="E333" s="19" t="n">
        <x:f>INDEX('参数'!$G$36:$P$36,1,C333)</x:f>
        <x:v>100</x:v>
      </x:c>
      <x:c r="F333" s="20" t="n">
        <x:f>'参数'!$I$28</x:f>
        <x:v>1.16</x:v>
      </x:c>
      <x:c r="G333" s="19" t="n">
        <x:f>ROUND(V333*X333/'参数'!$B$56,0)</x:f>
        <x:v>295459</x:v>
      </x:c>
      <x:c r="H333" s="19" t="n">
        <x:f>ROUND((AA333+SQRT(AA333^2+4*AA333*'参数'!$B$22*U333))/2,0)</x:f>
        <x:v>11745</x:v>
      </x:c>
      <x:c r="I333" s="19" t="n">
        <x:f>ROUND(Q333*'参数'!$B$23/'参数'!$B$22,0)</x:f>
        <x:v>1865</x:v>
      </x:c>
      <x:c r="J333" s="19" t="n">
        <x:f>ROUND(G333*'参数'!$B$50,0)</x:f>
        <x:v>886377</x:v>
      </x:c>
      <x:c r="K333" s="19" t="n">
        <x:f>ROUND(W333*Y333,0)</x:f>
        <x:v>2908316</x:v>
      </x:c>
      <x:c r="L333" s="19" t="n">
        <x:f>ROUND((AB333+SQRT(AB333^2+4*AB333*'参数'!$B$22*U333))/2,0)</x:f>
        <x:v>19829</x:v>
      </x:c>
      <x:c r="M333" s="19" t="n">
        <x:f>ROUND(I333*'参数'!$B$24,0)</x:f>
        <x:v>2331</x:v>
      </x:c>
      <x:c r="N333" s="19" t="n">
        <x:f>'参数'!$B$9*'参数'!$B$10^(D333-1)</x:f>
        <x:v>11195.319600498813</x:v>
      </x:c>
      <x:c r="O333" s="19" t="n">
        <x:f>'参数'!$B$18*'参数'!$B$19^(MIN(E333,MAX(1,5*INT(D333/5)))-1)*F333*'参数'!$J$28*P333</x:f>
        <x:v>1645.4365043728462</x:v>
      </x:c>
      <x:c r="P333" s="22" t="n">
        <x:f>MIN(1,(D333-1)/19)</x:f>
        <x:v>1</x:v>
      </x:c>
      <x:c r="Q333" s="19" t="n">
        <x:f>INDEX('角色成长'!$F$6:$F$105,D333)+O333*'参数'!$K$21</x:f>
        <x:v>9323.494037462613</x:v>
      </x:c>
      <x:c r="R333" s="19" t="n">
        <x:f>INDEX('角色成长'!$I$6:$I$105,D333)+O333*'参数'!$K$21</x:f>
        <x:v>8025.494037462612</x:v>
      </x:c>
      <x:c r="S333" s="19" t="n">
        <x:f>INDEX('角色成长'!$L$6:$L$105,D333)+O333*'参数'!$K$21</x:f>
        <x:v>7284.494037462612</x:v>
      </x:c>
      <x:c r="T333" s="19" t="n">
        <x:f>(INDEX('角色成长'!$J$6:$J$105,D333)+O333*'参数'!$L$21)*(1+'参数'!$B$40*P333)</x:f>
        <x:v>107479.55943678491</x:v>
      </x:c>
      <x:c r="U333" s="19" t="n">
        <x:f>(INDEX('角色成长'!$K$6:$K$105,D333)+O333*'参数'!$M$21)*(1+'参数'!$B$41*P333)</x:f>
        <x:v>5817.3652709177295</x:v>
      </x:c>
      <x:c r="V333" s="19" t="n">
        <x:f>(('参数'!$K$5*(((Q333*(1+'参数'!$B$39*P333))^2/((Q333*(1+'参数'!$B$39*P333))+'参数'!$B$22*(I333)))*(1+'参数'!$B$42*P333)/'参数'!$J$5+((Q333*'参数'!$B$43*(1+'参数'!$B$39*P333))^2/((Q333*'参数'!$B$43*(1+'参数'!$B$39*P333))+'参数'!$B$22*(I333)))/'参数'!$B$44))+(((R333*(1+'参数'!$B$39*P333))^2/((R333*(1+'参数'!$B$39*P333))+'参数'!$B$22*(I333)))*(1+'参数'!$B$42*P333)/'参数'!$J$6+((R333*'参数'!$B$45*(1+'参数'!$B$39*P333))^2/((R333*'参数'!$B$45*(1+'参数'!$B$39*P333))+'参数'!$B$22*(I333)))/'参数'!$B$46)+((S333*(1+'参数'!$B$39*P333))^2/((S333*(1+'参数'!$B$39*P333))+'参数'!$B$22*(I333)))*(1+'参数'!$B$42*P333)/'参数'!$J$7)*(1+'参数'!$B$37*('参数'!$B$38-1))*'参数'!$B$25</x:f>
        <x:v>62921.9115191509</x:v>
      </x:c>
      <x:c r="W333" s="19" t="n">
        <x:f>(('参数'!$K$5*(((Q333*(1+'参数'!$B$39*P333))^2/((Q333*(1+'参数'!$B$39*P333))+'参数'!$B$22*(M333)))*(1+'参数'!$B$42*P333)/'参数'!$J$5+((Q333*'参数'!$B$43*(1+'参数'!$B$39*P333))^2/((Q333*'参数'!$B$43*(1+'参数'!$B$39*P333))+'参数'!$B$22*(M333)))/'参数'!$B$44))+(((R333*(1+'参数'!$B$39*P333))^2/((R333*(1+'参数'!$B$39*P333))+'参数'!$B$22*(M333)))*(1+'参数'!$B$42*P333)/'参数'!$J$6+((R333*'参数'!$B$45*(1+'参数'!$B$39*P333))^2/((R333*'参数'!$B$45*(1+'参数'!$B$39*P333))+'参数'!$B$22*(M333)))/'参数'!$B$46)+((S333*(1+'参数'!$B$39*P333))^2/((S333*(1+'参数'!$B$39*P333))+'参数'!$B$22*(M333)))*(1+'参数'!$B$42*P333)/'参数'!$J$7)*(1+'参数'!$B$37*('参数'!$B$38-1))</x:f>
        <x:v>48471.92860891668</x:v>
      </x:c>
      <x:c r="X333" s="26" t="n">
        <x:f>('参数'!$B$26+'参数'!$B$27*(D333-1)/99)*'参数'!$K$28*AD333</x:f>
        <x:v>21.599999999999998</x:v>
      </x:c>
      <x:c r="Y333" s="26" t="n">
        <x:f>('参数'!$B$28+'参数'!$B$29*(D333-1)/99)*'参数'!$K$28*AD333*IF(AE333=1,'参数'!$B$51,1)</x:f>
        <x:v>60</x:v>
      </x:c>
      <x:c r="Z333" s="22" t="n">
        <x:f>MIN('参数'!$B$36,U333/(U333+'参数'!$B$35))</x:f>
        <x:v>0.5925587069832965</x:v>
      </x:c>
      <x:c r="AA333" s="19" t="n">
        <x:f>T333*'参数'!$B$30/('参数'!$B$32*'参数'!$B$33)/(1-Z333)*AC333</x:f>
        <x:v>7254.266897269082</x:v>
      </x:c>
      <x:c r="AB333" s="19" t="n">
        <x:f>T333*'参数'!$B$31/'参数'!$B$34/(1-Z333)*AC333</x:f>
        <x:v>14508.533794538167</x:v>
      </x:c>
      <x:c r="AC333" s="20" t="n">
        <x:f>'参数'!$L$28*1</x:f>
        <x:v>1.1</x:v>
      </x:c>
      <x:c r="AD333" s="20" t="n">
        <x:f>1</x:f>
        <x:v>1</x:v>
      </x:c>
      <x:c r="AE333" s="19" t="n">
        <x:f>IF(MOD(B333,12)=0,1,0)</x:f>
        <x:v>0</x:v>
      </x:c>
    </x:row>
    <x:row r="334" ht="22" customHeight="1">
      <x:c r="A334" s="18" t="str">
        <x:v>噩梦</x:v>
      </x:c>
      <x:c r="B334" s="18" t="n">
        <x:v>89</x:v>
      </x:c>
      <x:c r="C334" s="18" t="n">
        <x:f>ROUNDUP(B334/12,0)</x:f>
        <x:v>8</x:v>
      </x:c>
      <x:c r="D334" s="18" t="n">
        <x:f>ROUND(MAX('参数'!$G$28,E334)+(IF(C334&lt;10,INDEX('参数'!$G$36:$P$36,1,MIN(10,C334+1)),'参数'!$H$28)-MAX('参数'!$G$28,E334))*MOD(B334-1,12)/11,0)</x:f>
        <x:v>100</x:v>
      </x:c>
      <x:c r="E334" s="18" t="n">
        <x:f>INDEX('参数'!$G$36:$P$36,1,C334)</x:f>
        <x:v>100</x:v>
      </x:c>
      <x:c r="F334" s="15" t="n">
        <x:f>'参数'!$I$28</x:f>
        <x:v>1.16</x:v>
      </x:c>
      <x:c r="G334" s="18" t="n">
        <x:f>ROUND(V334*X334/'参数'!$B$56,0)</x:f>
        <x:v>295459</x:v>
      </x:c>
      <x:c r="H334" s="18" t="n">
        <x:f>ROUND((AA334+SQRT(AA334^2+4*AA334*'参数'!$B$22*U334))/2,0)</x:f>
        <x:v>11745</x:v>
      </x:c>
      <x:c r="I334" s="18" t="n">
        <x:f>ROUND(Q334*'参数'!$B$23/'参数'!$B$22,0)</x:f>
        <x:v>1865</x:v>
      </x:c>
      <x:c r="J334" s="18" t="n">
        <x:f>ROUND(G334*'参数'!$B$50,0)</x:f>
        <x:v>886377</x:v>
      </x:c>
      <x:c r="K334" s="18" t="n">
        <x:f>ROUND(W334*Y334,0)</x:f>
        <x:v>2908316</x:v>
      </x:c>
      <x:c r="L334" s="18" t="n">
        <x:f>ROUND((AB334+SQRT(AB334^2+4*AB334*'参数'!$B$22*U334))/2,0)</x:f>
        <x:v>19829</x:v>
      </x:c>
      <x:c r="M334" s="18" t="n">
        <x:f>ROUND(I334*'参数'!$B$24,0)</x:f>
        <x:v>2331</x:v>
      </x:c>
      <x:c r="N334" s="18" t="n">
        <x:f>'参数'!$B$9*'参数'!$B$10^(D334-1)</x:f>
        <x:v>11195.319600498813</x:v>
      </x:c>
      <x:c r="O334" s="18" t="n">
        <x:f>'参数'!$B$18*'参数'!$B$19^(MIN(E334,MAX(1,5*INT(D334/5)))-1)*F334*'参数'!$J$28*P334</x:f>
        <x:v>1645.4365043728462</x:v>
      </x:c>
      <x:c r="P334" s="21" t="n">
        <x:f>MIN(1,(D334-1)/19)</x:f>
        <x:v>1</x:v>
      </x:c>
      <x:c r="Q334" s="18" t="n">
        <x:f>INDEX('角色成长'!$F$6:$F$105,D334)+O334*'参数'!$K$21</x:f>
        <x:v>9323.494037462613</x:v>
      </x:c>
      <x:c r="R334" s="18" t="n">
        <x:f>INDEX('角色成长'!$I$6:$I$105,D334)+O334*'参数'!$K$21</x:f>
        <x:v>8025.494037462612</x:v>
      </x:c>
      <x:c r="S334" s="18" t="n">
        <x:f>INDEX('角色成长'!$L$6:$L$105,D334)+O334*'参数'!$K$21</x:f>
        <x:v>7284.494037462612</x:v>
      </x:c>
      <x:c r="T334" s="18" t="n">
        <x:f>(INDEX('角色成长'!$J$6:$J$105,D334)+O334*'参数'!$L$21)*(1+'参数'!$B$40*P334)</x:f>
        <x:v>107479.55943678491</x:v>
      </x:c>
      <x:c r="U334" s="18" t="n">
        <x:f>(INDEX('角色成长'!$K$6:$K$105,D334)+O334*'参数'!$M$21)*(1+'参数'!$B$41*P334)</x:f>
        <x:v>5817.3652709177295</x:v>
      </x:c>
      <x:c r="V334" s="18" t="n">
        <x:f>(('参数'!$K$5*(((Q334*(1+'参数'!$B$39*P334))^2/((Q334*(1+'参数'!$B$39*P334))+'参数'!$B$22*(I334)))*(1+'参数'!$B$42*P334)/'参数'!$J$5+((Q334*'参数'!$B$43*(1+'参数'!$B$39*P334))^2/((Q334*'参数'!$B$43*(1+'参数'!$B$39*P334))+'参数'!$B$22*(I334)))/'参数'!$B$44))+(((R334*(1+'参数'!$B$39*P334))^2/((R334*(1+'参数'!$B$39*P334))+'参数'!$B$22*(I334)))*(1+'参数'!$B$42*P334)/'参数'!$J$6+((R334*'参数'!$B$45*(1+'参数'!$B$39*P334))^2/((R334*'参数'!$B$45*(1+'参数'!$B$39*P334))+'参数'!$B$22*(I334)))/'参数'!$B$46)+((S334*(1+'参数'!$B$39*P334))^2/((S334*(1+'参数'!$B$39*P334))+'参数'!$B$22*(I334)))*(1+'参数'!$B$42*P334)/'参数'!$J$7)*(1+'参数'!$B$37*('参数'!$B$38-1))*'参数'!$B$25</x:f>
        <x:v>62921.9115191509</x:v>
      </x:c>
      <x:c r="W334" s="18" t="n">
        <x:f>(('参数'!$K$5*(((Q334*(1+'参数'!$B$39*P334))^2/((Q334*(1+'参数'!$B$39*P334))+'参数'!$B$22*(M334)))*(1+'参数'!$B$42*P334)/'参数'!$J$5+((Q334*'参数'!$B$43*(1+'参数'!$B$39*P334))^2/((Q334*'参数'!$B$43*(1+'参数'!$B$39*P334))+'参数'!$B$22*(M334)))/'参数'!$B$44))+(((R334*(1+'参数'!$B$39*P334))^2/((R334*(1+'参数'!$B$39*P334))+'参数'!$B$22*(M334)))*(1+'参数'!$B$42*P334)/'参数'!$J$6+((R334*'参数'!$B$45*(1+'参数'!$B$39*P334))^2/((R334*'参数'!$B$45*(1+'参数'!$B$39*P334))+'参数'!$B$22*(M334)))/'参数'!$B$46)+((S334*(1+'参数'!$B$39*P334))^2/((S334*(1+'参数'!$B$39*P334))+'参数'!$B$22*(M334)))*(1+'参数'!$B$42*P334)/'参数'!$J$7)*(1+'参数'!$B$37*('参数'!$B$38-1))</x:f>
        <x:v>48471.92860891668</x:v>
      </x:c>
      <x:c r="X334" s="25" t="n">
        <x:f>('参数'!$B$26+'参数'!$B$27*(D334-1)/99)*'参数'!$K$28*AD334</x:f>
        <x:v>21.599999999999998</x:v>
      </x:c>
      <x:c r="Y334" s="25" t="n">
        <x:f>('参数'!$B$28+'参数'!$B$29*(D334-1)/99)*'参数'!$K$28*AD334*IF(AE334=1,'参数'!$B$51,1)</x:f>
        <x:v>60</x:v>
      </x:c>
      <x:c r="Z334" s="21" t="n">
        <x:f>MIN('参数'!$B$36,U334/(U334+'参数'!$B$35))</x:f>
        <x:v>0.5925587069832965</x:v>
      </x:c>
      <x:c r="AA334" s="18" t="n">
        <x:f>T334*'参数'!$B$30/('参数'!$B$32*'参数'!$B$33)/(1-Z334)*AC334</x:f>
        <x:v>7254.266897269082</x:v>
      </x:c>
      <x:c r="AB334" s="18" t="n">
        <x:f>T334*'参数'!$B$31/'参数'!$B$34/(1-Z334)*AC334</x:f>
        <x:v>14508.533794538167</x:v>
      </x:c>
      <x:c r="AC334" s="15" t="n">
        <x:f>'参数'!$L$28*1</x:f>
        <x:v>1.1</x:v>
      </x:c>
      <x:c r="AD334" s="15" t="n">
        <x:f>1</x:f>
        <x:v>1</x:v>
      </x:c>
      <x:c r="AE334" s="18" t="n">
        <x:f>IF(MOD(B334,12)=0,1,0)</x:f>
        <x:v>0</x:v>
      </x:c>
    </x:row>
    <x:row r="335" ht="22" customHeight="1">
      <x:c r="A335" s="19" t="str">
        <x:v>噩梦</x:v>
      </x:c>
      <x:c r="B335" s="19" t="n">
        <x:v>90</x:v>
      </x:c>
      <x:c r="C335" s="19" t="n">
        <x:f>ROUNDUP(B335/12,0)</x:f>
        <x:v>8</x:v>
      </x:c>
      <x:c r="D335" s="19" t="n">
        <x:f>ROUND(MAX('参数'!$G$28,E335)+(IF(C335&lt;10,INDEX('参数'!$G$36:$P$36,1,MIN(10,C335+1)),'参数'!$H$28)-MAX('参数'!$G$28,E335))*MOD(B335-1,12)/11,0)</x:f>
        <x:v>100</x:v>
      </x:c>
      <x:c r="E335" s="19" t="n">
        <x:f>INDEX('参数'!$G$36:$P$36,1,C335)</x:f>
        <x:v>100</x:v>
      </x:c>
      <x:c r="F335" s="20" t="n">
        <x:f>'参数'!$I$28</x:f>
        <x:v>1.16</x:v>
      </x:c>
      <x:c r="G335" s="19" t="n">
        <x:f>ROUND(V335*X335/'参数'!$B$56,0)</x:f>
        <x:v>295459</x:v>
      </x:c>
      <x:c r="H335" s="19" t="n">
        <x:f>ROUND((AA335+SQRT(AA335^2+4*AA335*'参数'!$B$22*U335))/2,0)</x:f>
        <x:v>11745</x:v>
      </x:c>
      <x:c r="I335" s="19" t="n">
        <x:f>ROUND(Q335*'参数'!$B$23/'参数'!$B$22,0)</x:f>
        <x:v>1865</x:v>
      </x:c>
      <x:c r="J335" s="19" t="n">
        <x:f>ROUND(G335*'参数'!$B$50,0)</x:f>
        <x:v>886377</x:v>
      </x:c>
      <x:c r="K335" s="19" t="n">
        <x:f>ROUND(W335*Y335,0)</x:f>
        <x:v>2908316</x:v>
      </x:c>
      <x:c r="L335" s="19" t="n">
        <x:f>ROUND((AB335+SQRT(AB335^2+4*AB335*'参数'!$B$22*U335))/2,0)</x:f>
        <x:v>19829</x:v>
      </x:c>
      <x:c r="M335" s="19" t="n">
        <x:f>ROUND(I335*'参数'!$B$24,0)</x:f>
        <x:v>2331</x:v>
      </x:c>
      <x:c r="N335" s="19" t="n">
        <x:f>'参数'!$B$9*'参数'!$B$10^(D335-1)</x:f>
        <x:v>11195.319600498813</x:v>
      </x:c>
      <x:c r="O335" s="19" t="n">
        <x:f>'参数'!$B$18*'参数'!$B$19^(MIN(E335,MAX(1,5*INT(D335/5)))-1)*F335*'参数'!$J$28*P335</x:f>
        <x:v>1645.4365043728462</x:v>
      </x:c>
      <x:c r="P335" s="22" t="n">
        <x:f>MIN(1,(D335-1)/19)</x:f>
        <x:v>1</x:v>
      </x:c>
      <x:c r="Q335" s="19" t="n">
        <x:f>INDEX('角色成长'!$F$6:$F$105,D335)+O335*'参数'!$K$21</x:f>
        <x:v>9323.494037462613</x:v>
      </x:c>
      <x:c r="R335" s="19" t="n">
        <x:f>INDEX('角色成长'!$I$6:$I$105,D335)+O335*'参数'!$K$21</x:f>
        <x:v>8025.494037462612</x:v>
      </x:c>
      <x:c r="S335" s="19" t="n">
        <x:f>INDEX('角色成长'!$L$6:$L$105,D335)+O335*'参数'!$K$21</x:f>
        <x:v>7284.494037462612</x:v>
      </x:c>
      <x:c r="T335" s="19" t="n">
        <x:f>(INDEX('角色成长'!$J$6:$J$105,D335)+O335*'参数'!$L$21)*(1+'参数'!$B$40*P335)</x:f>
        <x:v>107479.55943678491</x:v>
      </x:c>
      <x:c r="U335" s="19" t="n">
        <x:f>(INDEX('角色成长'!$K$6:$K$105,D335)+O335*'参数'!$M$21)*(1+'参数'!$B$41*P335)</x:f>
        <x:v>5817.3652709177295</x:v>
      </x:c>
      <x:c r="V335" s="19" t="n">
        <x:f>(('参数'!$K$5*(((Q335*(1+'参数'!$B$39*P335))^2/((Q335*(1+'参数'!$B$39*P335))+'参数'!$B$22*(I335)))*(1+'参数'!$B$42*P335)/'参数'!$J$5+((Q335*'参数'!$B$43*(1+'参数'!$B$39*P335))^2/((Q335*'参数'!$B$43*(1+'参数'!$B$39*P335))+'参数'!$B$22*(I335)))/'参数'!$B$44))+(((R335*(1+'参数'!$B$39*P335))^2/((R335*(1+'参数'!$B$39*P335))+'参数'!$B$22*(I335)))*(1+'参数'!$B$42*P335)/'参数'!$J$6+((R335*'参数'!$B$45*(1+'参数'!$B$39*P335))^2/((R335*'参数'!$B$45*(1+'参数'!$B$39*P335))+'参数'!$B$22*(I335)))/'参数'!$B$46)+((S335*(1+'参数'!$B$39*P335))^2/((S335*(1+'参数'!$B$39*P335))+'参数'!$B$22*(I335)))*(1+'参数'!$B$42*P335)/'参数'!$J$7)*(1+'参数'!$B$37*('参数'!$B$38-1))*'参数'!$B$25</x:f>
        <x:v>62921.9115191509</x:v>
      </x:c>
      <x:c r="W335" s="19" t="n">
        <x:f>(('参数'!$K$5*(((Q335*(1+'参数'!$B$39*P335))^2/((Q335*(1+'参数'!$B$39*P335))+'参数'!$B$22*(M335)))*(1+'参数'!$B$42*P335)/'参数'!$J$5+((Q335*'参数'!$B$43*(1+'参数'!$B$39*P335))^2/((Q335*'参数'!$B$43*(1+'参数'!$B$39*P335))+'参数'!$B$22*(M335)))/'参数'!$B$44))+(((R335*(1+'参数'!$B$39*P335))^2/((R335*(1+'参数'!$B$39*P335))+'参数'!$B$22*(M335)))*(1+'参数'!$B$42*P335)/'参数'!$J$6+((R335*'参数'!$B$45*(1+'参数'!$B$39*P335))^2/((R335*'参数'!$B$45*(1+'参数'!$B$39*P335))+'参数'!$B$22*(M335)))/'参数'!$B$46)+((S335*(1+'参数'!$B$39*P335))^2/((S335*(1+'参数'!$B$39*P335))+'参数'!$B$22*(M335)))*(1+'参数'!$B$42*P335)/'参数'!$J$7)*(1+'参数'!$B$37*('参数'!$B$38-1))</x:f>
        <x:v>48471.92860891668</x:v>
      </x:c>
      <x:c r="X335" s="26" t="n">
        <x:f>('参数'!$B$26+'参数'!$B$27*(D335-1)/99)*'参数'!$K$28*AD335</x:f>
        <x:v>21.599999999999998</x:v>
      </x:c>
      <x:c r="Y335" s="26" t="n">
        <x:f>('参数'!$B$28+'参数'!$B$29*(D335-1)/99)*'参数'!$K$28*AD335*IF(AE335=1,'参数'!$B$51,1)</x:f>
        <x:v>60</x:v>
      </x:c>
      <x:c r="Z335" s="22" t="n">
        <x:f>MIN('参数'!$B$36,U335/(U335+'参数'!$B$35))</x:f>
        <x:v>0.5925587069832965</x:v>
      </x:c>
      <x:c r="AA335" s="19" t="n">
        <x:f>T335*'参数'!$B$30/('参数'!$B$32*'参数'!$B$33)/(1-Z335)*AC335</x:f>
        <x:v>7254.266897269082</x:v>
      </x:c>
      <x:c r="AB335" s="19" t="n">
        <x:f>T335*'参数'!$B$31/'参数'!$B$34/(1-Z335)*AC335</x:f>
        <x:v>14508.533794538167</x:v>
      </x:c>
      <x:c r="AC335" s="20" t="n">
        <x:f>'参数'!$L$28*1</x:f>
        <x:v>1.1</x:v>
      </x:c>
      <x:c r="AD335" s="20" t="n">
        <x:f>1</x:f>
        <x:v>1</x:v>
      </x:c>
      <x:c r="AE335" s="19" t="n">
        <x:f>IF(MOD(B335,12)=0,1,0)</x:f>
        <x:v>0</x:v>
      </x:c>
    </x:row>
    <x:row r="336" ht="22" customHeight="1">
      <x:c r="A336" s="18" t="str">
        <x:v>噩梦</x:v>
      </x:c>
      <x:c r="B336" s="18" t="n">
        <x:v>91</x:v>
      </x:c>
      <x:c r="C336" s="18" t="n">
        <x:f>ROUNDUP(B336/12,0)</x:f>
        <x:v>8</x:v>
      </x:c>
      <x:c r="D336" s="18" t="n">
        <x:f>ROUND(MAX('参数'!$G$28,E336)+(IF(C336&lt;10,INDEX('参数'!$G$36:$P$36,1,MIN(10,C336+1)),'参数'!$H$28)-MAX('参数'!$G$28,E336))*MOD(B336-1,12)/11,0)</x:f>
        <x:v>100</x:v>
      </x:c>
      <x:c r="E336" s="18" t="n">
        <x:f>INDEX('参数'!$G$36:$P$36,1,C336)</x:f>
        <x:v>100</x:v>
      </x:c>
      <x:c r="F336" s="15" t="n">
        <x:f>'参数'!$I$28</x:f>
        <x:v>1.16</x:v>
      </x:c>
      <x:c r="G336" s="18" t="n">
        <x:f>ROUND(V336*X336/'参数'!$B$56,0)</x:f>
        <x:v>295459</x:v>
      </x:c>
      <x:c r="H336" s="18" t="n">
        <x:f>ROUND((AA336+SQRT(AA336^2+4*AA336*'参数'!$B$22*U336))/2,0)</x:f>
        <x:v>11745</x:v>
      </x:c>
      <x:c r="I336" s="18" t="n">
        <x:f>ROUND(Q336*'参数'!$B$23/'参数'!$B$22,0)</x:f>
        <x:v>1865</x:v>
      </x:c>
      <x:c r="J336" s="18" t="n">
        <x:f>ROUND(G336*'参数'!$B$50,0)</x:f>
        <x:v>886377</x:v>
      </x:c>
      <x:c r="K336" s="18" t="n">
        <x:f>ROUND(W336*Y336,0)</x:f>
        <x:v>2908316</x:v>
      </x:c>
      <x:c r="L336" s="18" t="n">
        <x:f>ROUND((AB336+SQRT(AB336^2+4*AB336*'参数'!$B$22*U336))/2,0)</x:f>
        <x:v>19829</x:v>
      </x:c>
      <x:c r="M336" s="18" t="n">
        <x:f>ROUND(I336*'参数'!$B$24,0)</x:f>
        <x:v>2331</x:v>
      </x:c>
      <x:c r="N336" s="18" t="n">
        <x:f>'参数'!$B$9*'参数'!$B$10^(D336-1)</x:f>
        <x:v>11195.319600498813</x:v>
      </x:c>
      <x:c r="O336" s="18" t="n">
        <x:f>'参数'!$B$18*'参数'!$B$19^(MIN(E336,MAX(1,5*INT(D336/5)))-1)*F336*'参数'!$J$28*P336</x:f>
        <x:v>1645.4365043728462</x:v>
      </x:c>
      <x:c r="P336" s="21" t="n">
        <x:f>MIN(1,(D336-1)/19)</x:f>
        <x:v>1</x:v>
      </x:c>
      <x:c r="Q336" s="18" t="n">
        <x:f>INDEX('角色成长'!$F$6:$F$105,D336)+O336*'参数'!$K$21</x:f>
        <x:v>9323.494037462613</x:v>
      </x:c>
      <x:c r="R336" s="18" t="n">
        <x:f>INDEX('角色成长'!$I$6:$I$105,D336)+O336*'参数'!$K$21</x:f>
        <x:v>8025.494037462612</x:v>
      </x:c>
      <x:c r="S336" s="18" t="n">
        <x:f>INDEX('角色成长'!$L$6:$L$105,D336)+O336*'参数'!$K$21</x:f>
        <x:v>7284.494037462612</x:v>
      </x:c>
      <x:c r="T336" s="18" t="n">
        <x:f>(INDEX('角色成长'!$J$6:$J$105,D336)+O336*'参数'!$L$21)*(1+'参数'!$B$40*P336)</x:f>
        <x:v>107479.55943678491</x:v>
      </x:c>
      <x:c r="U336" s="18" t="n">
        <x:f>(INDEX('角色成长'!$K$6:$K$105,D336)+O336*'参数'!$M$21)*(1+'参数'!$B$41*P336)</x:f>
        <x:v>5817.3652709177295</x:v>
      </x:c>
      <x:c r="V336" s="18" t="n">
        <x:f>(('参数'!$K$5*(((Q336*(1+'参数'!$B$39*P336))^2/((Q336*(1+'参数'!$B$39*P336))+'参数'!$B$22*(I336)))*(1+'参数'!$B$42*P336)/'参数'!$J$5+((Q336*'参数'!$B$43*(1+'参数'!$B$39*P336))^2/((Q336*'参数'!$B$43*(1+'参数'!$B$39*P336))+'参数'!$B$22*(I336)))/'参数'!$B$44))+(((R336*(1+'参数'!$B$39*P336))^2/((R336*(1+'参数'!$B$39*P336))+'参数'!$B$22*(I336)))*(1+'参数'!$B$42*P336)/'参数'!$J$6+((R336*'参数'!$B$45*(1+'参数'!$B$39*P336))^2/((R336*'参数'!$B$45*(1+'参数'!$B$39*P336))+'参数'!$B$22*(I336)))/'参数'!$B$46)+((S336*(1+'参数'!$B$39*P336))^2/((S336*(1+'参数'!$B$39*P336))+'参数'!$B$22*(I336)))*(1+'参数'!$B$42*P336)/'参数'!$J$7)*(1+'参数'!$B$37*('参数'!$B$38-1))*'参数'!$B$25</x:f>
        <x:v>62921.9115191509</x:v>
      </x:c>
      <x:c r="W336" s="18" t="n">
        <x:f>(('参数'!$K$5*(((Q336*(1+'参数'!$B$39*P336))^2/((Q336*(1+'参数'!$B$39*P336))+'参数'!$B$22*(M336)))*(1+'参数'!$B$42*P336)/'参数'!$J$5+((Q336*'参数'!$B$43*(1+'参数'!$B$39*P336))^2/((Q336*'参数'!$B$43*(1+'参数'!$B$39*P336))+'参数'!$B$22*(M336)))/'参数'!$B$44))+(((R336*(1+'参数'!$B$39*P336))^2/((R336*(1+'参数'!$B$39*P336))+'参数'!$B$22*(M336)))*(1+'参数'!$B$42*P336)/'参数'!$J$6+((R336*'参数'!$B$45*(1+'参数'!$B$39*P336))^2/((R336*'参数'!$B$45*(1+'参数'!$B$39*P336))+'参数'!$B$22*(M336)))/'参数'!$B$46)+((S336*(1+'参数'!$B$39*P336))^2/((S336*(1+'参数'!$B$39*P336))+'参数'!$B$22*(M336)))*(1+'参数'!$B$42*P336)/'参数'!$J$7)*(1+'参数'!$B$37*('参数'!$B$38-1))</x:f>
        <x:v>48471.92860891668</x:v>
      </x:c>
      <x:c r="X336" s="25" t="n">
        <x:f>('参数'!$B$26+'参数'!$B$27*(D336-1)/99)*'参数'!$K$28*AD336</x:f>
        <x:v>21.599999999999998</x:v>
      </x:c>
      <x:c r="Y336" s="25" t="n">
        <x:f>('参数'!$B$28+'参数'!$B$29*(D336-1)/99)*'参数'!$K$28*AD336*IF(AE336=1,'参数'!$B$51,1)</x:f>
        <x:v>60</x:v>
      </x:c>
      <x:c r="Z336" s="21" t="n">
        <x:f>MIN('参数'!$B$36,U336/(U336+'参数'!$B$35))</x:f>
        <x:v>0.5925587069832965</x:v>
      </x:c>
      <x:c r="AA336" s="18" t="n">
        <x:f>T336*'参数'!$B$30/('参数'!$B$32*'参数'!$B$33)/(1-Z336)*AC336</x:f>
        <x:v>7254.266897269082</x:v>
      </x:c>
      <x:c r="AB336" s="18" t="n">
        <x:f>T336*'参数'!$B$31/'参数'!$B$34/(1-Z336)*AC336</x:f>
        <x:v>14508.533794538167</x:v>
      </x:c>
      <x:c r="AC336" s="15" t="n">
        <x:f>'参数'!$L$28*1</x:f>
        <x:v>1.1</x:v>
      </x:c>
      <x:c r="AD336" s="15" t="n">
        <x:f>1</x:f>
        <x:v>1</x:v>
      </x:c>
      <x:c r="AE336" s="18" t="n">
        <x:f>IF(MOD(B336,12)=0,1,0)</x:f>
        <x:v>0</x:v>
      </x:c>
    </x:row>
    <x:row r="337" ht="22" customHeight="1">
      <x:c r="A337" s="19" t="str">
        <x:v>噩梦</x:v>
      </x:c>
      <x:c r="B337" s="19" t="n">
        <x:v>92</x:v>
      </x:c>
      <x:c r="C337" s="19" t="n">
        <x:f>ROUNDUP(B337/12,0)</x:f>
        <x:v>8</x:v>
      </x:c>
      <x:c r="D337" s="19" t="n">
        <x:f>ROUND(MAX('参数'!$G$28,E337)+(IF(C337&lt;10,INDEX('参数'!$G$36:$P$36,1,MIN(10,C337+1)),'参数'!$H$28)-MAX('参数'!$G$28,E337))*MOD(B337-1,12)/11,0)</x:f>
        <x:v>100</x:v>
      </x:c>
      <x:c r="E337" s="19" t="n">
        <x:f>INDEX('参数'!$G$36:$P$36,1,C337)</x:f>
        <x:v>100</x:v>
      </x:c>
      <x:c r="F337" s="20" t="n">
        <x:f>'参数'!$I$28</x:f>
        <x:v>1.16</x:v>
      </x:c>
      <x:c r="G337" s="19" t="n">
        <x:f>ROUND(V337*X337/'参数'!$B$56,0)</x:f>
        <x:v>295459</x:v>
      </x:c>
      <x:c r="H337" s="19" t="n">
        <x:f>ROUND((AA337+SQRT(AA337^2+4*AA337*'参数'!$B$22*U337))/2,0)</x:f>
        <x:v>11745</x:v>
      </x:c>
      <x:c r="I337" s="19" t="n">
        <x:f>ROUND(Q337*'参数'!$B$23/'参数'!$B$22,0)</x:f>
        <x:v>1865</x:v>
      </x:c>
      <x:c r="J337" s="19" t="n">
        <x:f>ROUND(G337*'参数'!$B$50,0)</x:f>
        <x:v>886377</x:v>
      </x:c>
      <x:c r="K337" s="19" t="n">
        <x:f>ROUND(W337*Y337,0)</x:f>
        <x:v>2908316</x:v>
      </x:c>
      <x:c r="L337" s="19" t="n">
        <x:f>ROUND((AB337+SQRT(AB337^2+4*AB337*'参数'!$B$22*U337))/2,0)</x:f>
        <x:v>19829</x:v>
      </x:c>
      <x:c r="M337" s="19" t="n">
        <x:f>ROUND(I337*'参数'!$B$24,0)</x:f>
        <x:v>2331</x:v>
      </x:c>
      <x:c r="N337" s="19" t="n">
        <x:f>'参数'!$B$9*'参数'!$B$10^(D337-1)</x:f>
        <x:v>11195.319600498813</x:v>
      </x:c>
      <x:c r="O337" s="19" t="n">
        <x:f>'参数'!$B$18*'参数'!$B$19^(MIN(E337,MAX(1,5*INT(D337/5)))-1)*F337*'参数'!$J$28*P337</x:f>
        <x:v>1645.4365043728462</x:v>
      </x:c>
      <x:c r="P337" s="22" t="n">
        <x:f>MIN(1,(D337-1)/19)</x:f>
        <x:v>1</x:v>
      </x:c>
      <x:c r="Q337" s="19" t="n">
        <x:f>INDEX('角色成长'!$F$6:$F$105,D337)+O337*'参数'!$K$21</x:f>
        <x:v>9323.494037462613</x:v>
      </x:c>
      <x:c r="R337" s="19" t="n">
        <x:f>INDEX('角色成长'!$I$6:$I$105,D337)+O337*'参数'!$K$21</x:f>
        <x:v>8025.494037462612</x:v>
      </x:c>
      <x:c r="S337" s="19" t="n">
        <x:f>INDEX('角色成长'!$L$6:$L$105,D337)+O337*'参数'!$K$21</x:f>
        <x:v>7284.494037462612</x:v>
      </x:c>
      <x:c r="T337" s="19" t="n">
        <x:f>(INDEX('角色成长'!$J$6:$J$105,D337)+O337*'参数'!$L$21)*(1+'参数'!$B$40*P337)</x:f>
        <x:v>107479.55943678491</x:v>
      </x:c>
      <x:c r="U337" s="19" t="n">
        <x:f>(INDEX('角色成长'!$K$6:$K$105,D337)+O337*'参数'!$M$21)*(1+'参数'!$B$41*P337)</x:f>
        <x:v>5817.3652709177295</x:v>
      </x:c>
      <x:c r="V337" s="19" t="n">
        <x:f>(('参数'!$K$5*(((Q337*(1+'参数'!$B$39*P337))^2/((Q337*(1+'参数'!$B$39*P337))+'参数'!$B$22*(I337)))*(1+'参数'!$B$42*P337)/'参数'!$J$5+((Q337*'参数'!$B$43*(1+'参数'!$B$39*P337))^2/((Q337*'参数'!$B$43*(1+'参数'!$B$39*P337))+'参数'!$B$22*(I337)))/'参数'!$B$44))+(((R337*(1+'参数'!$B$39*P337))^2/((R337*(1+'参数'!$B$39*P337))+'参数'!$B$22*(I337)))*(1+'参数'!$B$42*P337)/'参数'!$J$6+((R337*'参数'!$B$45*(1+'参数'!$B$39*P337))^2/((R337*'参数'!$B$45*(1+'参数'!$B$39*P337))+'参数'!$B$22*(I337)))/'参数'!$B$46)+((S337*(1+'参数'!$B$39*P337))^2/((S337*(1+'参数'!$B$39*P337))+'参数'!$B$22*(I337)))*(1+'参数'!$B$42*P337)/'参数'!$J$7)*(1+'参数'!$B$37*('参数'!$B$38-1))*'参数'!$B$25</x:f>
        <x:v>62921.9115191509</x:v>
      </x:c>
      <x:c r="W337" s="19" t="n">
        <x:f>(('参数'!$K$5*(((Q337*(1+'参数'!$B$39*P337))^2/((Q337*(1+'参数'!$B$39*P337))+'参数'!$B$22*(M337)))*(1+'参数'!$B$42*P337)/'参数'!$J$5+((Q337*'参数'!$B$43*(1+'参数'!$B$39*P337))^2/((Q337*'参数'!$B$43*(1+'参数'!$B$39*P337))+'参数'!$B$22*(M337)))/'参数'!$B$44))+(((R337*(1+'参数'!$B$39*P337))^2/((R337*(1+'参数'!$B$39*P337))+'参数'!$B$22*(M337)))*(1+'参数'!$B$42*P337)/'参数'!$J$6+((R337*'参数'!$B$45*(1+'参数'!$B$39*P337))^2/((R337*'参数'!$B$45*(1+'参数'!$B$39*P337))+'参数'!$B$22*(M337)))/'参数'!$B$46)+((S337*(1+'参数'!$B$39*P337))^2/((S337*(1+'参数'!$B$39*P337))+'参数'!$B$22*(M337)))*(1+'参数'!$B$42*P337)/'参数'!$J$7)*(1+'参数'!$B$37*('参数'!$B$38-1))</x:f>
        <x:v>48471.92860891668</x:v>
      </x:c>
      <x:c r="X337" s="26" t="n">
        <x:f>('参数'!$B$26+'参数'!$B$27*(D337-1)/99)*'参数'!$K$28*AD337</x:f>
        <x:v>21.599999999999998</x:v>
      </x:c>
      <x:c r="Y337" s="26" t="n">
        <x:f>('参数'!$B$28+'参数'!$B$29*(D337-1)/99)*'参数'!$K$28*AD337*IF(AE337=1,'参数'!$B$51,1)</x:f>
        <x:v>60</x:v>
      </x:c>
      <x:c r="Z337" s="22" t="n">
        <x:f>MIN('参数'!$B$36,U337/(U337+'参数'!$B$35))</x:f>
        <x:v>0.5925587069832965</x:v>
      </x:c>
      <x:c r="AA337" s="19" t="n">
        <x:f>T337*'参数'!$B$30/('参数'!$B$32*'参数'!$B$33)/(1-Z337)*AC337</x:f>
        <x:v>7254.266897269082</x:v>
      </x:c>
      <x:c r="AB337" s="19" t="n">
        <x:f>T337*'参数'!$B$31/'参数'!$B$34/(1-Z337)*AC337</x:f>
        <x:v>14508.533794538167</x:v>
      </x:c>
      <x:c r="AC337" s="20" t="n">
        <x:f>'参数'!$L$28*1</x:f>
        <x:v>1.1</x:v>
      </x:c>
      <x:c r="AD337" s="20" t="n">
        <x:f>1</x:f>
        <x:v>1</x:v>
      </x:c>
      <x:c r="AE337" s="19" t="n">
        <x:f>IF(MOD(B337,12)=0,1,0)</x:f>
        <x:v>0</x:v>
      </x:c>
    </x:row>
    <x:row r="338" ht="22" customHeight="1">
      <x:c r="A338" s="18" t="str">
        <x:v>噩梦</x:v>
      </x:c>
      <x:c r="B338" s="18" t="n">
        <x:v>93</x:v>
      </x:c>
      <x:c r="C338" s="18" t="n">
        <x:f>ROUNDUP(B338/12,0)</x:f>
        <x:v>8</x:v>
      </x:c>
      <x:c r="D338" s="18" t="n">
        <x:f>ROUND(MAX('参数'!$G$28,E338)+(IF(C338&lt;10,INDEX('参数'!$G$36:$P$36,1,MIN(10,C338+1)),'参数'!$H$28)-MAX('参数'!$G$28,E338))*MOD(B338-1,12)/11,0)</x:f>
        <x:v>100</x:v>
      </x:c>
      <x:c r="E338" s="18" t="n">
        <x:f>INDEX('参数'!$G$36:$P$36,1,C338)</x:f>
        <x:v>100</x:v>
      </x:c>
      <x:c r="F338" s="15" t="n">
        <x:f>'参数'!$I$28</x:f>
        <x:v>1.16</x:v>
      </x:c>
      <x:c r="G338" s="18" t="n">
        <x:f>ROUND(V338*X338/'参数'!$B$56,0)</x:f>
        <x:v>295459</x:v>
      </x:c>
      <x:c r="H338" s="18" t="n">
        <x:f>ROUND((AA338+SQRT(AA338^2+4*AA338*'参数'!$B$22*U338))/2,0)</x:f>
        <x:v>11745</x:v>
      </x:c>
      <x:c r="I338" s="18" t="n">
        <x:f>ROUND(Q338*'参数'!$B$23/'参数'!$B$22,0)</x:f>
        <x:v>1865</x:v>
      </x:c>
      <x:c r="J338" s="18" t="n">
        <x:f>ROUND(G338*'参数'!$B$50,0)</x:f>
        <x:v>886377</x:v>
      </x:c>
      <x:c r="K338" s="18" t="n">
        <x:f>ROUND(W338*Y338,0)</x:f>
        <x:v>2908316</x:v>
      </x:c>
      <x:c r="L338" s="18" t="n">
        <x:f>ROUND((AB338+SQRT(AB338^2+4*AB338*'参数'!$B$22*U338))/2,0)</x:f>
        <x:v>19829</x:v>
      </x:c>
      <x:c r="M338" s="18" t="n">
        <x:f>ROUND(I338*'参数'!$B$24,0)</x:f>
        <x:v>2331</x:v>
      </x:c>
      <x:c r="N338" s="18" t="n">
        <x:f>'参数'!$B$9*'参数'!$B$10^(D338-1)</x:f>
        <x:v>11195.319600498813</x:v>
      </x:c>
      <x:c r="O338" s="18" t="n">
        <x:f>'参数'!$B$18*'参数'!$B$19^(MIN(E338,MAX(1,5*INT(D338/5)))-1)*F338*'参数'!$J$28*P338</x:f>
        <x:v>1645.4365043728462</x:v>
      </x:c>
      <x:c r="P338" s="21" t="n">
        <x:f>MIN(1,(D338-1)/19)</x:f>
        <x:v>1</x:v>
      </x:c>
      <x:c r="Q338" s="18" t="n">
        <x:f>INDEX('角色成长'!$F$6:$F$105,D338)+O338*'参数'!$K$21</x:f>
        <x:v>9323.494037462613</x:v>
      </x:c>
      <x:c r="R338" s="18" t="n">
        <x:f>INDEX('角色成长'!$I$6:$I$105,D338)+O338*'参数'!$K$21</x:f>
        <x:v>8025.494037462612</x:v>
      </x:c>
      <x:c r="S338" s="18" t="n">
        <x:f>INDEX('角色成长'!$L$6:$L$105,D338)+O338*'参数'!$K$21</x:f>
        <x:v>7284.494037462612</x:v>
      </x:c>
      <x:c r="T338" s="18" t="n">
        <x:f>(INDEX('角色成长'!$J$6:$J$105,D338)+O338*'参数'!$L$21)*(1+'参数'!$B$40*P338)</x:f>
        <x:v>107479.55943678491</x:v>
      </x:c>
      <x:c r="U338" s="18" t="n">
        <x:f>(INDEX('角色成长'!$K$6:$K$105,D338)+O338*'参数'!$M$21)*(1+'参数'!$B$41*P338)</x:f>
        <x:v>5817.3652709177295</x:v>
      </x:c>
      <x:c r="V338" s="18" t="n">
        <x:f>(('参数'!$K$5*(((Q338*(1+'参数'!$B$39*P338))^2/((Q338*(1+'参数'!$B$39*P338))+'参数'!$B$22*(I338)))*(1+'参数'!$B$42*P338)/'参数'!$J$5+((Q338*'参数'!$B$43*(1+'参数'!$B$39*P338))^2/((Q338*'参数'!$B$43*(1+'参数'!$B$39*P338))+'参数'!$B$22*(I338)))/'参数'!$B$44))+(((R338*(1+'参数'!$B$39*P338))^2/((R338*(1+'参数'!$B$39*P338))+'参数'!$B$22*(I338)))*(1+'参数'!$B$42*P338)/'参数'!$J$6+((R338*'参数'!$B$45*(1+'参数'!$B$39*P338))^2/((R338*'参数'!$B$45*(1+'参数'!$B$39*P338))+'参数'!$B$22*(I338)))/'参数'!$B$46)+((S338*(1+'参数'!$B$39*P338))^2/((S338*(1+'参数'!$B$39*P338))+'参数'!$B$22*(I338)))*(1+'参数'!$B$42*P338)/'参数'!$J$7)*(1+'参数'!$B$37*('参数'!$B$38-1))*'参数'!$B$25</x:f>
        <x:v>62921.9115191509</x:v>
      </x:c>
      <x:c r="W338" s="18" t="n">
        <x:f>(('参数'!$K$5*(((Q338*(1+'参数'!$B$39*P338))^2/((Q338*(1+'参数'!$B$39*P338))+'参数'!$B$22*(M338)))*(1+'参数'!$B$42*P338)/'参数'!$J$5+((Q338*'参数'!$B$43*(1+'参数'!$B$39*P338))^2/((Q338*'参数'!$B$43*(1+'参数'!$B$39*P338))+'参数'!$B$22*(M338)))/'参数'!$B$44))+(((R338*(1+'参数'!$B$39*P338))^2/((R338*(1+'参数'!$B$39*P338))+'参数'!$B$22*(M338)))*(1+'参数'!$B$42*P338)/'参数'!$J$6+((R338*'参数'!$B$45*(1+'参数'!$B$39*P338))^2/((R338*'参数'!$B$45*(1+'参数'!$B$39*P338))+'参数'!$B$22*(M338)))/'参数'!$B$46)+((S338*(1+'参数'!$B$39*P338))^2/((S338*(1+'参数'!$B$39*P338))+'参数'!$B$22*(M338)))*(1+'参数'!$B$42*P338)/'参数'!$J$7)*(1+'参数'!$B$37*('参数'!$B$38-1))</x:f>
        <x:v>48471.92860891668</x:v>
      </x:c>
      <x:c r="X338" s="25" t="n">
        <x:f>('参数'!$B$26+'参数'!$B$27*(D338-1)/99)*'参数'!$K$28*AD338</x:f>
        <x:v>21.599999999999998</x:v>
      </x:c>
      <x:c r="Y338" s="25" t="n">
        <x:f>('参数'!$B$28+'参数'!$B$29*(D338-1)/99)*'参数'!$K$28*AD338*IF(AE338=1,'参数'!$B$51,1)</x:f>
        <x:v>60</x:v>
      </x:c>
      <x:c r="Z338" s="21" t="n">
        <x:f>MIN('参数'!$B$36,U338/(U338+'参数'!$B$35))</x:f>
        <x:v>0.5925587069832965</x:v>
      </x:c>
      <x:c r="AA338" s="18" t="n">
        <x:f>T338*'参数'!$B$30/('参数'!$B$32*'参数'!$B$33)/(1-Z338)*AC338</x:f>
        <x:v>7254.266897269082</x:v>
      </x:c>
      <x:c r="AB338" s="18" t="n">
        <x:f>T338*'参数'!$B$31/'参数'!$B$34/(1-Z338)*AC338</x:f>
        <x:v>14508.533794538167</x:v>
      </x:c>
      <x:c r="AC338" s="15" t="n">
        <x:f>'参数'!$L$28*1</x:f>
        <x:v>1.1</x:v>
      </x:c>
      <x:c r="AD338" s="15" t="n">
        <x:f>1</x:f>
        <x:v>1</x:v>
      </x:c>
      <x:c r="AE338" s="18" t="n">
        <x:f>IF(MOD(B338,12)=0,1,0)</x:f>
        <x:v>0</x:v>
      </x:c>
    </x:row>
    <x:row r="339" ht="22" customHeight="1">
      <x:c r="A339" s="19" t="str">
        <x:v>噩梦</x:v>
      </x:c>
      <x:c r="B339" s="19" t="n">
        <x:v>94</x:v>
      </x:c>
      <x:c r="C339" s="19" t="n">
        <x:f>ROUNDUP(B339/12,0)</x:f>
        <x:v>8</x:v>
      </x:c>
      <x:c r="D339" s="19" t="n">
        <x:f>ROUND(MAX('参数'!$G$28,E339)+(IF(C339&lt;10,INDEX('参数'!$G$36:$P$36,1,MIN(10,C339+1)),'参数'!$H$28)-MAX('参数'!$G$28,E339))*MOD(B339-1,12)/11,0)</x:f>
        <x:v>100</x:v>
      </x:c>
      <x:c r="E339" s="19" t="n">
        <x:f>INDEX('参数'!$G$36:$P$36,1,C339)</x:f>
        <x:v>100</x:v>
      </x:c>
      <x:c r="F339" s="20" t="n">
        <x:f>'参数'!$I$28</x:f>
        <x:v>1.16</x:v>
      </x:c>
      <x:c r="G339" s="19" t="n">
        <x:f>ROUND(V339*X339/'参数'!$B$56,0)</x:f>
        <x:v>295459</x:v>
      </x:c>
      <x:c r="H339" s="19" t="n">
        <x:f>ROUND((AA339+SQRT(AA339^2+4*AA339*'参数'!$B$22*U339))/2,0)</x:f>
        <x:v>11745</x:v>
      </x:c>
      <x:c r="I339" s="19" t="n">
        <x:f>ROUND(Q339*'参数'!$B$23/'参数'!$B$22,0)</x:f>
        <x:v>1865</x:v>
      </x:c>
      <x:c r="J339" s="19" t="n">
        <x:f>ROUND(G339*'参数'!$B$50,0)</x:f>
        <x:v>886377</x:v>
      </x:c>
      <x:c r="K339" s="19" t="n">
        <x:f>ROUND(W339*Y339,0)</x:f>
        <x:v>2908316</x:v>
      </x:c>
      <x:c r="L339" s="19" t="n">
        <x:f>ROUND((AB339+SQRT(AB339^2+4*AB339*'参数'!$B$22*U339))/2,0)</x:f>
        <x:v>19829</x:v>
      </x:c>
      <x:c r="M339" s="19" t="n">
        <x:f>ROUND(I339*'参数'!$B$24,0)</x:f>
        <x:v>2331</x:v>
      </x:c>
      <x:c r="N339" s="19" t="n">
        <x:f>'参数'!$B$9*'参数'!$B$10^(D339-1)</x:f>
        <x:v>11195.319600498813</x:v>
      </x:c>
      <x:c r="O339" s="19" t="n">
        <x:f>'参数'!$B$18*'参数'!$B$19^(MIN(E339,MAX(1,5*INT(D339/5)))-1)*F339*'参数'!$J$28*P339</x:f>
        <x:v>1645.4365043728462</x:v>
      </x:c>
      <x:c r="P339" s="22" t="n">
        <x:f>MIN(1,(D339-1)/19)</x:f>
        <x:v>1</x:v>
      </x:c>
      <x:c r="Q339" s="19" t="n">
        <x:f>INDEX('角色成长'!$F$6:$F$105,D339)+O339*'参数'!$K$21</x:f>
        <x:v>9323.494037462613</x:v>
      </x:c>
      <x:c r="R339" s="19" t="n">
        <x:f>INDEX('角色成长'!$I$6:$I$105,D339)+O339*'参数'!$K$21</x:f>
        <x:v>8025.494037462612</x:v>
      </x:c>
      <x:c r="S339" s="19" t="n">
        <x:f>INDEX('角色成长'!$L$6:$L$105,D339)+O339*'参数'!$K$21</x:f>
        <x:v>7284.494037462612</x:v>
      </x:c>
      <x:c r="T339" s="19" t="n">
        <x:f>(INDEX('角色成长'!$J$6:$J$105,D339)+O339*'参数'!$L$21)*(1+'参数'!$B$40*P339)</x:f>
        <x:v>107479.55943678491</x:v>
      </x:c>
      <x:c r="U339" s="19" t="n">
        <x:f>(INDEX('角色成长'!$K$6:$K$105,D339)+O339*'参数'!$M$21)*(1+'参数'!$B$41*P339)</x:f>
        <x:v>5817.3652709177295</x:v>
      </x:c>
      <x:c r="V339" s="19" t="n">
        <x:f>(('参数'!$K$5*(((Q339*(1+'参数'!$B$39*P339))^2/((Q339*(1+'参数'!$B$39*P339))+'参数'!$B$22*(I339)))*(1+'参数'!$B$42*P339)/'参数'!$J$5+((Q339*'参数'!$B$43*(1+'参数'!$B$39*P339))^2/((Q339*'参数'!$B$43*(1+'参数'!$B$39*P339))+'参数'!$B$22*(I339)))/'参数'!$B$44))+(((R339*(1+'参数'!$B$39*P339))^2/((R339*(1+'参数'!$B$39*P339))+'参数'!$B$22*(I339)))*(1+'参数'!$B$42*P339)/'参数'!$J$6+((R339*'参数'!$B$45*(1+'参数'!$B$39*P339))^2/((R339*'参数'!$B$45*(1+'参数'!$B$39*P339))+'参数'!$B$22*(I339)))/'参数'!$B$46)+((S339*(1+'参数'!$B$39*P339))^2/((S339*(1+'参数'!$B$39*P339))+'参数'!$B$22*(I339)))*(1+'参数'!$B$42*P339)/'参数'!$J$7)*(1+'参数'!$B$37*('参数'!$B$38-1))*'参数'!$B$25</x:f>
        <x:v>62921.9115191509</x:v>
      </x:c>
      <x:c r="W339" s="19" t="n">
        <x:f>(('参数'!$K$5*(((Q339*(1+'参数'!$B$39*P339))^2/((Q339*(1+'参数'!$B$39*P339))+'参数'!$B$22*(M339)))*(1+'参数'!$B$42*P339)/'参数'!$J$5+((Q339*'参数'!$B$43*(1+'参数'!$B$39*P339))^2/((Q339*'参数'!$B$43*(1+'参数'!$B$39*P339))+'参数'!$B$22*(M339)))/'参数'!$B$44))+(((R339*(1+'参数'!$B$39*P339))^2/((R339*(1+'参数'!$B$39*P339))+'参数'!$B$22*(M339)))*(1+'参数'!$B$42*P339)/'参数'!$J$6+((R339*'参数'!$B$45*(1+'参数'!$B$39*P339))^2/((R339*'参数'!$B$45*(1+'参数'!$B$39*P339))+'参数'!$B$22*(M339)))/'参数'!$B$46)+((S339*(1+'参数'!$B$39*P339))^2/((S339*(1+'参数'!$B$39*P339))+'参数'!$B$22*(M339)))*(1+'参数'!$B$42*P339)/'参数'!$J$7)*(1+'参数'!$B$37*('参数'!$B$38-1))</x:f>
        <x:v>48471.92860891668</x:v>
      </x:c>
      <x:c r="X339" s="26" t="n">
        <x:f>('参数'!$B$26+'参数'!$B$27*(D339-1)/99)*'参数'!$K$28*AD339</x:f>
        <x:v>21.599999999999998</x:v>
      </x:c>
      <x:c r="Y339" s="26" t="n">
        <x:f>('参数'!$B$28+'参数'!$B$29*(D339-1)/99)*'参数'!$K$28*AD339*IF(AE339=1,'参数'!$B$51,1)</x:f>
        <x:v>60</x:v>
      </x:c>
      <x:c r="Z339" s="22" t="n">
        <x:f>MIN('参数'!$B$36,U339/(U339+'参数'!$B$35))</x:f>
        <x:v>0.5925587069832965</x:v>
      </x:c>
      <x:c r="AA339" s="19" t="n">
        <x:f>T339*'参数'!$B$30/('参数'!$B$32*'参数'!$B$33)/(1-Z339)*AC339</x:f>
        <x:v>7254.266897269082</x:v>
      </x:c>
      <x:c r="AB339" s="19" t="n">
        <x:f>T339*'参数'!$B$31/'参数'!$B$34/(1-Z339)*AC339</x:f>
        <x:v>14508.533794538167</x:v>
      </x:c>
      <x:c r="AC339" s="20" t="n">
        <x:f>'参数'!$L$28*1</x:f>
        <x:v>1.1</x:v>
      </x:c>
      <x:c r="AD339" s="20" t="n">
        <x:f>1</x:f>
        <x:v>1</x:v>
      </x:c>
      <x:c r="AE339" s="19" t="n">
        <x:f>IF(MOD(B339,12)=0,1,0)</x:f>
        <x:v>0</x:v>
      </x:c>
    </x:row>
    <x:row r="340" ht="22" customHeight="1">
      <x:c r="A340" s="18" t="str">
        <x:v>噩梦</x:v>
      </x:c>
      <x:c r="B340" s="18" t="n">
        <x:v>95</x:v>
      </x:c>
      <x:c r="C340" s="18" t="n">
        <x:f>ROUNDUP(B340/12,0)</x:f>
        <x:v>8</x:v>
      </x:c>
      <x:c r="D340" s="18" t="n">
        <x:f>ROUND(MAX('参数'!$G$28,E340)+(IF(C340&lt;10,INDEX('参数'!$G$36:$P$36,1,MIN(10,C340+1)),'参数'!$H$28)-MAX('参数'!$G$28,E340))*MOD(B340-1,12)/11,0)</x:f>
        <x:v>100</x:v>
      </x:c>
      <x:c r="E340" s="18" t="n">
        <x:f>INDEX('参数'!$G$36:$P$36,1,C340)</x:f>
        <x:v>100</x:v>
      </x:c>
      <x:c r="F340" s="15" t="n">
        <x:f>'参数'!$I$28</x:f>
        <x:v>1.16</x:v>
      </x:c>
      <x:c r="G340" s="18" t="n">
        <x:f>ROUND(V340*X340/'参数'!$B$56,0)</x:f>
        <x:v>295459</x:v>
      </x:c>
      <x:c r="H340" s="18" t="n">
        <x:f>ROUND((AA340+SQRT(AA340^2+4*AA340*'参数'!$B$22*U340))/2,0)</x:f>
        <x:v>11745</x:v>
      </x:c>
      <x:c r="I340" s="18" t="n">
        <x:f>ROUND(Q340*'参数'!$B$23/'参数'!$B$22,0)</x:f>
        <x:v>1865</x:v>
      </x:c>
      <x:c r="J340" s="18" t="n">
        <x:f>ROUND(G340*'参数'!$B$50,0)</x:f>
        <x:v>886377</x:v>
      </x:c>
      <x:c r="K340" s="18" t="n">
        <x:f>ROUND(W340*Y340,0)</x:f>
        <x:v>2908316</x:v>
      </x:c>
      <x:c r="L340" s="18" t="n">
        <x:f>ROUND((AB340+SQRT(AB340^2+4*AB340*'参数'!$B$22*U340))/2,0)</x:f>
        <x:v>19829</x:v>
      </x:c>
      <x:c r="M340" s="18" t="n">
        <x:f>ROUND(I340*'参数'!$B$24,0)</x:f>
        <x:v>2331</x:v>
      </x:c>
      <x:c r="N340" s="18" t="n">
        <x:f>'参数'!$B$9*'参数'!$B$10^(D340-1)</x:f>
        <x:v>11195.319600498813</x:v>
      </x:c>
      <x:c r="O340" s="18" t="n">
        <x:f>'参数'!$B$18*'参数'!$B$19^(MIN(E340,MAX(1,5*INT(D340/5)))-1)*F340*'参数'!$J$28*P340</x:f>
        <x:v>1645.4365043728462</x:v>
      </x:c>
      <x:c r="P340" s="21" t="n">
        <x:f>MIN(1,(D340-1)/19)</x:f>
        <x:v>1</x:v>
      </x:c>
      <x:c r="Q340" s="18" t="n">
        <x:f>INDEX('角色成长'!$F$6:$F$105,D340)+O340*'参数'!$K$21</x:f>
        <x:v>9323.494037462613</x:v>
      </x:c>
      <x:c r="R340" s="18" t="n">
        <x:f>INDEX('角色成长'!$I$6:$I$105,D340)+O340*'参数'!$K$21</x:f>
        <x:v>8025.494037462612</x:v>
      </x:c>
      <x:c r="S340" s="18" t="n">
        <x:f>INDEX('角色成长'!$L$6:$L$105,D340)+O340*'参数'!$K$21</x:f>
        <x:v>7284.494037462612</x:v>
      </x:c>
      <x:c r="T340" s="18" t="n">
        <x:f>(INDEX('角色成长'!$J$6:$J$105,D340)+O340*'参数'!$L$21)*(1+'参数'!$B$40*P340)</x:f>
        <x:v>107479.55943678491</x:v>
      </x:c>
      <x:c r="U340" s="18" t="n">
        <x:f>(INDEX('角色成长'!$K$6:$K$105,D340)+O340*'参数'!$M$21)*(1+'参数'!$B$41*P340)</x:f>
        <x:v>5817.3652709177295</x:v>
      </x:c>
      <x:c r="V340" s="18" t="n">
        <x:f>(('参数'!$K$5*(((Q340*(1+'参数'!$B$39*P340))^2/((Q340*(1+'参数'!$B$39*P340))+'参数'!$B$22*(I340)))*(1+'参数'!$B$42*P340)/'参数'!$J$5+((Q340*'参数'!$B$43*(1+'参数'!$B$39*P340))^2/((Q340*'参数'!$B$43*(1+'参数'!$B$39*P340))+'参数'!$B$22*(I340)))/'参数'!$B$44))+(((R340*(1+'参数'!$B$39*P340))^2/((R340*(1+'参数'!$B$39*P340))+'参数'!$B$22*(I340)))*(1+'参数'!$B$42*P340)/'参数'!$J$6+((R340*'参数'!$B$45*(1+'参数'!$B$39*P340))^2/((R340*'参数'!$B$45*(1+'参数'!$B$39*P340))+'参数'!$B$22*(I340)))/'参数'!$B$46)+((S340*(1+'参数'!$B$39*P340))^2/((S340*(1+'参数'!$B$39*P340))+'参数'!$B$22*(I340)))*(1+'参数'!$B$42*P340)/'参数'!$J$7)*(1+'参数'!$B$37*('参数'!$B$38-1))*'参数'!$B$25</x:f>
        <x:v>62921.9115191509</x:v>
      </x:c>
      <x:c r="W340" s="18" t="n">
        <x:f>(('参数'!$K$5*(((Q340*(1+'参数'!$B$39*P340))^2/((Q340*(1+'参数'!$B$39*P340))+'参数'!$B$22*(M340)))*(1+'参数'!$B$42*P340)/'参数'!$J$5+((Q340*'参数'!$B$43*(1+'参数'!$B$39*P340))^2/((Q340*'参数'!$B$43*(1+'参数'!$B$39*P340))+'参数'!$B$22*(M340)))/'参数'!$B$44))+(((R340*(1+'参数'!$B$39*P340))^2/((R340*(1+'参数'!$B$39*P340))+'参数'!$B$22*(M340)))*(1+'参数'!$B$42*P340)/'参数'!$J$6+((R340*'参数'!$B$45*(1+'参数'!$B$39*P340))^2/((R340*'参数'!$B$45*(1+'参数'!$B$39*P340))+'参数'!$B$22*(M340)))/'参数'!$B$46)+((S340*(1+'参数'!$B$39*P340))^2/((S340*(1+'参数'!$B$39*P340))+'参数'!$B$22*(M340)))*(1+'参数'!$B$42*P340)/'参数'!$J$7)*(1+'参数'!$B$37*('参数'!$B$38-1))</x:f>
        <x:v>48471.92860891668</x:v>
      </x:c>
      <x:c r="X340" s="25" t="n">
        <x:f>('参数'!$B$26+'参数'!$B$27*(D340-1)/99)*'参数'!$K$28*AD340</x:f>
        <x:v>21.599999999999998</x:v>
      </x:c>
      <x:c r="Y340" s="25" t="n">
        <x:f>('参数'!$B$28+'参数'!$B$29*(D340-1)/99)*'参数'!$K$28*AD340*IF(AE340=1,'参数'!$B$51,1)</x:f>
        <x:v>60</x:v>
      </x:c>
      <x:c r="Z340" s="21" t="n">
        <x:f>MIN('参数'!$B$36,U340/(U340+'参数'!$B$35))</x:f>
        <x:v>0.5925587069832965</x:v>
      </x:c>
      <x:c r="AA340" s="18" t="n">
        <x:f>T340*'参数'!$B$30/('参数'!$B$32*'参数'!$B$33)/(1-Z340)*AC340</x:f>
        <x:v>7254.266897269082</x:v>
      </x:c>
      <x:c r="AB340" s="18" t="n">
        <x:f>T340*'参数'!$B$31/'参数'!$B$34/(1-Z340)*AC340</x:f>
        <x:v>14508.533794538167</x:v>
      </x:c>
      <x:c r="AC340" s="15" t="n">
        <x:f>'参数'!$L$28*1</x:f>
        <x:v>1.1</x:v>
      </x:c>
      <x:c r="AD340" s="15" t="n">
        <x:f>1</x:f>
        <x:v>1</x:v>
      </x:c>
      <x:c r="AE340" s="18" t="n">
        <x:f>IF(MOD(B340,12)=0,1,0)</x:f>
        <x:v>0</x:v>
      </x:c>
    </x:row>
    <x:row r="341" ht="22" customHeight="1">
      <x:c r="A341" s="19" t="str">
        <x:v>噩梦</x:v>
      </x:c>
      <x:c r="B341" s="19" t="n">
        <x:v>96</x:v>
      </x:c>
      <x:c r="C341" s="19" t="n">
        <x:f>ROUNDUP(B341/12,0)</x:f>
        <x:v>8</x:v>
      </x:c>
      <x:c r="D341" s="19" t="n">
        <x:f>ROUND(MAX('参数'!$G$28,E341)+(IF(C341&lt;10,INDEX('参数'!$G$36:$P$36,1,MIN(10,C341+1)),'参数'!$H$28)-MAX('参数'!$G$28,E341))*MOD(B341-1,12)/11,0)</x:f>
        <x:v>100</x:v>
      </x:c>
      <x:c r="E341" s="19" t="n">
        <x:f>INDEX('参数'!$G$36:$P$36,1,C341)</x:f>
        <x:v>100</x:v>
      </x:c>
      <x:c r="F341" s="20" t="n">
        <x:f>'参数'!$I$28</x:f>
        <x:v>1.16</x:v>
      </x:c>
      <x:c r="G341" s="19" t="n">
        <x:f>ROUND(V341*X341/'参数'!$B$56,0)</x:f>
        <x:v>295459</x:v>
      </x:c>
      <x:c r="H341" s="19" t="n">
        <x:f>ROUND((AA341+SQRT(AA341^2+4*AA341*'参数'!$B$22*U341))/2,0)</x:f>
        <x:v>11745</x:v>
      </x:c>
      <x:c r="I341" s="19" t="n">
        <x:f>ROUND(Q341*'参数'!$B$23/'参数'!$B$22,0)</x:f>
        <x:v>1865</x:v>
      </x:c>
      <x:c r="J341" s="19" t="n">
        <x:f>ROUND(G341*'参数'!$B$50,0)</x:f>
        <x:v>886377</x:v>
      </x:c>
      <x:c r="K341" s="19" t="n">
        <x:f>ROUND(W341*Y341,0)</x:f>
        <x:v>3344563</x:v>
      </x:c>
      <x:c r="L341" s="19" t="n">
        <x:f>ROUND((AB341+SQRT(AB341^2+4*AB341*'参数'!$B$22*U341))/2,0)</x:f>
        <x:v>19829</x:v>
      </x:c>
      <x:c r="M341" s="19" t="n">
        <x:f>ROUND(I341*'参数'!$B$24,0)</x:f>
        <x:v>2331</x:v>
      </x:c>
      <x:c r="N341" s="19" t="n">
        <x:f>'参数'!$B$9*'参数'!$B$10^(D341-1)</x:f>
        <x:v>11195.319600498813</x:v>
      </x:c>
      <x:c r="O341" s="19" t="n">
        <x:f>'参数'!$B$18*'参数'!$B$19^(MIN(E341,MAX(1,5*INT(D341/5)))-1)*F341*'参数'!$J$28*P341</x:f>
        <x:v>1645.4365043728462</x:v>
      </x:c>
      <x:c r="P341" s="22" t="n">
        <x:f>MIN(1,(D341-1)/19)</x:f>
        <x:v>1</x:v>
      </x:c>
      <x:c r="Q341" s="19" t="n">
        <x:f>INDEX('角色成长'!$F$6:$F$105,D341)+O341*'参数'!$K$21</x:f>
        <x:v>9323.494037462613</x:v>
      </x:c>
      <x:c r="R341" s="19" t="n">
        <x:f>INDEX('角色成长'!$I$6:$I$105,D341)+O341*'参数'!$K$21</x:f>
        <x:v>8025.494037462612</x:v>
      </x:c>
      <x:c r="S341" s="19" t="n">
        <x:f>INDEX('角色成长'!$L$6:$L$105,D341)+O341*'参数'!$K$21</x:f>
        <x:v>7284.494037462612</x:v>
      </x:c>
      <x:c r="T341" s="19" t="n">
        <x:f>(INDEX('角色成长'!$J$6:$J$105,D341)+O341*'参数'!$L$21)*(1+'参数'!$B$40*P341)</x:f>
        <x:v>107479.55943678491</x:v>
      </x:c>
      <x:c r="U341" s="19" t="n">
        <x:f>(INDEX('角色成长'!$K$6:$K$105,D341)+O341*'参数'!$M$21)*(1+'参数'!$B$41*P341)</x:f>
        <x:v>5817.3652709177295</x:v>
      </x:c>
      <x:c r="V341" s="19" t="n">
        <x:f>(('参数'!$K$5*(((Q341*(1+'参数'!$B$39*P341))^2/((Q341*(1+'参数'!$B$39*P341))+'参数'!$B$22*(I341)))*(1+'参数'!$B$42*P341)/'参数'!$J$5+((Q341*'参数'!$B$43*(1+'参数'!$B$39*P341))^2/((Q341*'参数'!$B$43*(1+'参数'!$B$39*P341))+'参数'!$B$22*(I341)))/'参数'!$B$44))+(((R341*(1+'参数'!$B$39*P341))^2/((R341*(1+'参数'!$B$39*P341))+'参数'!$B$22*(I341)))*(1+'参数'!$B$42*P341)/'参数'!$J$6+((R341*'参数'!$B$45*(1+'参数'!$B$39*P341))^2/((R341*'参数'!$B$45*(1+'参数'!$B$39*P341))+'参数'!$B$22*(I341)))/'参数'!$B$46)+((S341*(1+'参数'!$B$39*P341))^2/((S341*(1+'参数'!$B$39*P341))+'参数'!$B$22*(I341)))*(1+'参数'!$B$42*P341)/'参数'!$J$7)*(1+'参数'!$B$37*('参数'!$B$38-1))*'参数'!$B$25</x:f>
        <x:v>62921.9115191509</x:v>
      </x:c>
      <x:c r="W341" s="19" t="n">
        <x:f>(('参数'!$K$5*(((Q341*(1+'参数'!$B$39*P341))^2/((Q341*(1+'参数'!$B$39*P341))+'参数'!$B$22*(M341)))*(1+'参数'!$B$42*P341)/'参数'!$J$5+((Q341*'参数'!$B$43*(1+'参数'!$B$39*P341))^2/((Q341*'参数'!$B$43*(1+'参数'!$B$39*P341))+'参数'!$B$22*(M341)))/'参数'!$B$44))+(((R341*(1+'参数'!$B$39*P341))^2/((R341*(1+'参数'!$B$39*P341))+'参数'!$B$22*(M341)))*(1+'参数'!$B$42*P341)/'参数'!$J$6+((R341*'参数'!$B$45*(1+'参数'!$B$39*P341))^2/((R341*'参数'!$B$45*(1+'参数'!$B$39*P341))+'参数'!$B$22*(M341)))/'参数'!$B$46)+((S341*(1+'参数'!$B$39*P341))^2/((S341*(1+'参数'!$B$39*P341))+'参数'!$B$22*(M341)))*(1+'参数'!$B$42*P341)/'参数'!$J$7)*(1+'参数'!$B$37*('参数'!$B$38-1))</x:f>
        <x:v>48471.92860891668</x:v>
      </x:c>
      <x:c r="X341" s="26" t="n">
        <x:f>('参数'!$B$26+'参数'!$B$27*(D341-1)/99)*'参数'!$K$28*AD341</x:f>
        <x:v>21.599999999999998</x:v>
      </x:c>
      <x:c r="Y341" s="26" t="n">
        <x:f>('参数'!$B$28+'参数'!$B$29*(D341-1)/99)*'参数'!$K$28*AD341*IF(AE341=1,'参数'!$B$51,1)</x:f>
        <x:v>69</x:v>
      </x:c>
      <x:c r="Z341" s="22" t="n">
        <x:f>MIN('参数'!$B$36,U341/(U341+'参数'!$B$35))</x:f>
        <x:v>0.5925587069832965</x:v>
      </x:c>
      <x:c r="AA341" s="19" t="n">
        <x:f>T341*'参数'!$B$30/('参数'!$B$32*'参数'!$B$33)/(1-Z341)*AC341</x:f>
        <x:v>7254.266897269082</x:v>
      </x:c>
      <x:c r="AB341" s="19" t="n">
        <x:f>T341*'参数'!$B$31/'参数'!$B$34/(1-Z341)*AC341</x:f>
        <x:v>14508.533794538167</x:v>
      </x:c>
      <x:c r="AC341" s="20" t="n">
        <x:f>'参数'!$L$28*1</x:f>
        <x:v>1.1</x:v>
      </x:c>
      <x:c r="AD341" s="20" t="n">
        <x:f>1</x:f>
        <x:v>1</x:v>
      </x:c>
      <x:c r="AE341" s="19" t="n">
        <x:f>IF(MOD(B341,12)=0,1,0)</x:f>
        <x:v>1</x:v>
      </x:c>
    </x:row>
    <x:row r="342" ht="22" customHeight="1">
      <x:c r="A342" s="18" t="str">
        <x:v>噩梦</x:v>
      </x:c>
      <x:c r="B342" s="18" t="n">
        <x:v>97</x:v>
      </x:c>
      <x:c r="C342" s="18" t="n">
        <x:f>ROUNDUP(B342/12,0)</x:f>
        <x:v>9</x:v>
      </x:c>
      <x:c r="D342" s="18" t="n">
        <x:f>ROUND(MAX('参数'!$G$28,E342)+(IF(C342&lt;10,INDEX('参数'!$G$36:$P$36,1,MIN(10,C342+1)),'参数'!$H$28)-MAX('参数'!$G$28,E342))*MOD(B342-1,12)/11,0)</x:f>
        <x:v>100</x:v>
      </x:c>
      <x:c r="E342" s="18" t="n">
        <x:f>INDEX('参数'!$G$36:$P$36,1,C342)</x:f>
        <x:v>100</x:v>
      </x:c>
      <x:c r="F342" s="15" t="n">
        <x:f>'参数'!$I$28</x:f>
        <x:v>1.16</x:v>
      </x:c>
      <x:c r="G342" s="18" t="n">
        <x:f>ROUND(V342*X342/'参数'!$B$56,0)</x:f>
        <x:v>295459</x:v>
      </x:c>
      <x:c r="H342" s="18" t="n">
        <x:f>ROUND((AA342+SQRT(AA342^2+4*AA342*'参数'!$B$22*U342))/2,0)</x:f>
        <x:v>11745</x:v>
      </x:c>
      <x:c r="I342" s="18" t="n">
        <x:f>ROUND(Q342*'参数'!$B$23/'参数'!$B$22,0)</x:f>
        <x:v>1865</x:v>
      </x:c>
      <x:c r="J342" s="18" t="n">
        <x:f>ROUND(G342*'参数'!$B$50,0)</x:f>
        <x:v>886377</x:v>
      </x:c>
      <x:c r="K342" s="18" t="n">
        <x:f>ROUND(W342*Y342,0)</x:f>
        <x:v>2908316</x:v>
      </x:c>
      <x:c r="L342" s="18" t="n">
        <x:f>ROUND((AB342+SQRT(AB342^2+4*AB342*'参数'!$B$22*U342))/2,0)</x:f>
        <x:v>19829</x:v>
      </x:c>
      <x:c r="M342" s="18" t="n">
        <x:f>ROUND(I342*'参数'!$B$24,0)</x:f>
        <x:v>2331</x:v>
      </x:c>
      <x:c r="N342" s="18" t="n">
        <x:f>'参数'!$B$9*'参数'!$B$10^(D342-1)</x:f>
        <x:v>11195.319600498813</x:v>
      </x:c>
      <x:c r="O342" s="18" t="n">
        <x:f>'参数'!$B$18*'参数'!$B$19^(MIN(E342,MAX(1,5*INT(D342/5)))-1)*F342*'参数'!$J$28*P342</x:f>
        <x:v>1645.4365043728462</x:v>
      </x:c>
      <x:c r="P342" s="21" t="n">
        <x:f>MIN(1,(D342-1)/19)</x:f>
        <x:v>1</x:v>
      </x:c>
      <x:c r="Q342" s="18" t="n">
        <x:f>INDEX('角色成长'!$F$6:$F$105,D342)+O342*'参数'!$K$21</x:f>
        <x:v>9323.494037462613</x:v>
      </x:c>
      <x:c r="R342" s="18" t="n">
        <x:f>INDEX('角色成长'!$I$6:$I$105,D342)+O342*'参数'!$K$21</x:f>
        <x:v>8025.494037462612</x:v>
      </x:c>
      <x:c r="S342" s="18" t="n">
        <x:f>INDEX('角色成长'!$L$6:$L$105,D342)+O342*'参数'!$K$21</x:f>
        <x:v>7284.494037462612</x:v>
      </x:c>
      <x:c r="T342" s="18" t="n">
        <x:f>(INDEX('角色成长'!$J$6:$J$105,D342)+O342*'参数'!$L$21)*(1+'参数'!$B$40*P342)</x:f>
        <x:v>107479.55943678491</x:v>
      </x:c>
      <x:c r="U342" s="18" t="n">
        <x:f>(INDEX('角色成长'!$K$6:$K$105,D342)+O342*'参数'!$M$21)*(1+'参数'!$B$41*P342)</x:f>
        <x:v>5817.3652709177295</x:v>
      </x:c>
      <x:c r="V342" s="18" t="n">
        <x:f>(('参数'!$K$5*(((Q342*(1+'参数'!$B$39*P342))^2/((Q342*(1+'参数'!$B$39*P342))+'参数'!$B$22*(I342)))*(1+'参数'!$B$42*P342)/'参数'!$J$5+((Q342*'参数'!$B$43*(1+'参数'!$B$39*P342))^2/((Q342*'参数'!$B$43*(1+'参数'!$B$39*P342))+'参数'!$B$22*(I342)))/'参数'!$B$44))+(((R342*(1+'参数'!$B$39*P342))^2/((R342*(1+'参数'!$B$39*P342))+'参数'!$B$22*(I342)))*(1+'参数'!$B$42*P342)/'参数'!$J$6+((R342*'参数'!$B$45*(1+'参数'!$B$39*P342))^2/((R342*'参数'!$B$45*(1+'参数'!$B$39*P342))+'参数'!$B$22*(I342)))/'参数'!$B$46)+((S342*(1+'参数'!$B$39*P342))^2/((S342*(1+'参数'!$B$39*P342))+'参数'!$B$22*(I342)))*(1+'参数'!$B$42*P342)/'参数'!$J$7)*(1+'参数'!$B$37*('参数'!$B$38-1))*'参数'!$B$25</x:f>
        <x:v>62921.9115191509</x:v>
      </x:c>
      <x:c r="W342" s="18" t="n">
        <x:f>(('参数'!$K$5*(((Q342*(1+'参数'!$B$39*P342))^2/((Q342*(1+'参数'!$B$39*P342))+'参数'!$B$22*(M342)))*(1+'参数'!$B$42*P342)/'参数'!$J$5+((Q342*'参数'!$B$43*(1+'参数'!$B$39*P342))^2/((Q342*'参数'!$B$43*(1+'参数'!$B$39*P342))+'参数'!$B$22*(M342)))/'参数'!$B$44))+(((R342*(1+'参数'!$B$39*P342))^2/((R342*(1+'参数'!$B$39*P342))+'参数'!$B$22*(M342)))*(1+'参数'!$B$42*P342)/'参数'!$J$6+((R342*'参数'!$B$45*(1+'参数'!$B$39*P342))^2/((R342*'参数'!$B$45*(1+'参数'!$B$39*P342))+'参数'!$B$22*(M342)))/'参数'!$B$46)+((S342*(1+'参数'!$B$39*P342))^2/((S342*(1+'参数'!$B$39*P342))+'参数'!$B$22*(M342)))*(1+'参数'!$B$42*P342)/'参数'!$J$7)*(1+'参数'!$B$37*('参数'!$B$38-1))</x:f>
        <x:v>48471.92860891668</x:v>
      </x:c>
      <x:c r="X342" s="25" t="n">
        <x:f>('参数'!$B$26+'参数'!$B$27*(D342-1)/99)*'参数'!$K$28*AD342</x:f>
        <x:v>21.599999999999998</x:v>
      </x:c>
      <x:c r="Y342" s="25" t="n">
        <x:f>('参数'!$B$28+'参数'!$B$29*(D342-1)/99)*'参数'!$K$28*AD342*IF(AE342=1,'参数'!$B$51,1)</x:f>
        <x:v>60</x:v>
      </x:c>
      <x:c r="Z342" s="21" t="n">
        <x:f>MIN('参数'!$B$36,U342/(U342+'参数'!$B$35))</x:f>
        <x:v>0.5925587069832965</x:v>
      </x:c>
      <x:c r="AA342" s="18" t="n">
        <x:f>T342*'参数'!$B$30/('参数'!$B$32*'参数'!$B$33)/(1-Z342)*AC342</x:f>
        <x:v>7254.266897269082</x:v>
      </x:c>
      <x:c r="AB342" s="18" t="n">
        <x:f>T342*'参数'!$B$31/'参数'!$B$34/(1-Z342)*AC342</x:f>
        <x:v>14508.533794538167</x:v>
      </x:c>
      <x:c r="AC342" s="15" t="n">
        <x:f>'参数'!$L$28*1</x:f>
        <x:v>1.1</x:v>
      </x:c>
      <x:c r="AD342" s="15" t="n">
        <x:f>1</x:f>
        <x:v>1</x:v>
      </x:c>
      <x:c r="AE342" s="18" t="n">
        <x:f>IF(MOD(B342,12)=0,1,0)</x:f>
        <x:v>0</x:v>
      </x:c>
    </x:row>
    <x:row r="343" ht="22" customHeight="1">
      <x:c r="A343" s="19" t="str">
        <x:v>噩梦</x:v>
      </x:c>
      <x:c r="B343" s="19" t="n">
        <x:v>98</x:v>
      </x:c>
      <x:c r="C343" s="19" t="n">
        <x:f>ROUNDUP(B343/12,0)</x:f>
        <x:v>9</x:v>
      </x:c>
      <x:c r="D343" s="19" t="n">
        <x:f>ROUND(MAX('参数'!$G$28,E343)+(IF(C343&lt;10,INDEX('参数'!$G$36:$P$36,1,MIN(10,C343+1)),'参数'!$H$28)-MAX('参数'!$G$28,E343))*MOD(B343-1,12)/11,0)</x:f>
        <x:v>100</x:v>
      </x:c>
      <x:c r="E343" s="19" t="n">
        <x:f>INDEX('参数'!$G$36:$P$36,1,C343)</x:f>
        <x:v>100</x:v>
      </x:c>
      <x:c r="F343" s="20" t="n">
        <x:f>'参数'!$I$28</x:f>
        <x:v>1.16</x:v>
      </x:c>
      <x:c r="G343" s="19" t="n">
        <x:f>ROUND(V343*X343/'参数'!$B$56,0)</x:f>
        <x:v>295459</x:v>
      </x:c>
      <x:c r="H343" s="19" t="n">
        <x:f>ROUND((AA343+SQRT(AA343^2+4*AA343*'参数'!$B$22*U343))/2,0)</x:f>
        <x:v>11745</x:v>
      </x:c>
      <x:c r="I343" s="19" t="n">
        <x:f>ROUND(Q343*'参数'!$B$23/'参数'!$B$22,0)</x:f>
        <x:v>1865</x:v>
      </x:c>
      <x:c r="J343" s="19" t="n">
        <x:f>ROUND(G343*'参数'!$B$50,0)</x:f>
        <x:v>886377</x:v>
      </x:c>
      <x:c r="K343" s="19" t="n">
        <x:f>ROUND(W343*Y343,0)</x:f>
        <x:v>2908316</x:v>
      </x:c>
      <x:c r="L343" s="19" t="n">
        <x:f>ROUND((AB343+SQRT(AB343^2+4*AB343*'参数'!$B$22*U343))/2,0)</x:f>
        <x:v>19829</x:v>
      </x:c>
      <x:c r="M343" s="19" t="n">
        <x:f>ROUND(I343*'参数'!$B$24,0)</x:f>
        <x:v>2331</x:v>
      </x:c>
      <x:c r="N343" s="19" t="n">
        <x:f>'参数'!$B$9*'参数'!$B$10^(D343-1)</x:f>
        <x:v>11195.319600498813</x:v>
      </x:c>
      <x:c r="O343" s="19" t="n">
        <x:f>'参数'!$B$18*'参数'!$B$19^(MIN(E343,MAX(1,5*INT(D343/5)))-1)*F343*'参数'!$J$28*P343</x:f>
        <x:v>1645.4365043728462</x:v>
      </x:c>
      <x:c r="P343" s="22" t="n">
        <x:f>MIN(1,(D343-1)/19)</x:f>
        <x:v>1</x:v>
      </x:c>
      <x:c r="Q343" s="19" t="n">
        <x:f>INDEX('角色成长'!$F$6:$F$105,D343)+O343*'参数'!$K$21</x:f>
        <x:v>9323.494037462613</x:v>
      </x:c>
      <x:c r="R343" s="19" t="n">
        <x:f>INDEX('角色成长'!$I$6:$I$105,D343)+O343*'参数'!$K$21</x:f>
        <x:v>8025.494037462612</x:v>
      </x:c>
      <x:c r="S343" s="19" t="n">
        <x:f>INDEX('角色成长'!$L$6:$L$105,D343)+O343*'参数'!$K$21</x:f>
        <x:v>7284.494037462612</x:v>
      </x:c>
      <x:c r="T343" s="19" t="n">
        <x:f>(INDEX('角色成长'!$J$6:$J$105,D343)+O343*'参数'!$L$21)*(1+'参数'!$B$40*P343)</x:f>
        <x:v>107479.55943678491</x:v>
      </x:c>
      <x:c r="U343" s="19" t="n">
        <x:f>(INDEX('角色成长'!$K$6:$K$105,D343)+O343*'参数'!$M$21)*(1+'参数'!$B$41*P343)</x:f>
        <x:v>5817.3652709177295</x:v>
      </x:c>
      <x:c r="V343" s="19" t="n">
        <x:f>(('参数'!$K$5*(((Q343*(1+'参数'!$B$39*P343))^2/((Q343*(1+'参数'!$B$39*P343))+'参数'!$B$22*(I343)))*(1+'参数'!$B$42*P343)/'参数'!$J$5+((Q343*'参数'!$B$43*(1+'参数'!$B$39*P343))^2/((Q343*'参数'!$B$43*(1+'参数'!$B$39*P343))+'参数'!$B$22*(I343)))/'参数'!$B$44))+(((R343*(1+'参数'!$B$39*P343))^2/((R343*(1+'参数'!$B$39*P343))+'参数'!$B$22*(I343)))*(1+'参数'!$B$42*P343)/'参数'!$J$6+((R343*'参数'!$B$45*(1+'参数'!$B$39*P343))^2/((R343*'参数'!$B$45*(1+'参数'!$B$39*P343))+'参数'!$B$22*(I343)))/'参数'!$B$46)+((S343*(1+'参数'!$B$39*P343))^2/((S343*(1+'参数'!$B$39*P343))+'参数'!$B$22*(I343)))*(1+'参数'!$B$42*P343)/'参数'!$J$7)*(1+'参数'!$B$37*('参数'!$B$38-1))*'参数'!$B$25</x:f>
        <x:v>62921.9115191509</x:v>
      </x:c>
      <x:c r="W343" s="19" t="n">
        <x:f>(('参数'!$K$5*(((Q343*(1+'参数'!$B$39*P343))^2/((Q343*(1+'参数'!$B$39*P343))+'参数'!$B$22*(M343)))*(1+'参数'!$B$42*P343)/'参数'!$J$5+((Q343*'参数'!$B$43*(1+'参数'!$B$39*P343))^2/((Q343*'参数'!$B$43*(1+'参数'!$B$39*P343))+'参数'!$B$22*(M343)))/'参数'!$B$44))+(((R343*(1+'参数'!$B$39*P343))^2/((R343*(1+'参数'!$B$39*P343))+'参数'!$B$22*(M343)))*(1+'参数'!$B$42*P343)/'参数'!$J$6+((R343*'参数'!$B$45*(1+'参数'!$B$39*P343))^2/((R343*'参数'!$B$45*(1+'参数'!$B$39*P343))+'参数'!$B$22*(M343)))/'参数'!$B$46)+((S343*(1+'参数'!$B$39*P343))^2/((S343*(1+'参数'!$B$39*P343))+'参数'!$B$22*(M343)))*(1+'参数'!$B$42*P343)/'参数'!$J$7)*(1+'参数'!$B$37*('参数'!$B$38-1))</x:f>
        <x:v>48471.92860891668</x:v>
      </x:c>
      <x:c r="X343" s="26" t="n">
        <x:f>('参数'!$B$26+'参数'!$B$27*(D343-1)/99)*'参数'!$K$28*AD343</x:f>
        <x:v>21.599999999999998</x:v>
      </x:c>
      <x:c r="Y343" s="26" t="n">
        <x:f>('参数'!$B$28+'参数'!$B$29*(D343-1)/99)*'参数'!$K$28*AD343*IF(AE343=1,'参数'!$B$51,1)</x:f>
        <x:v>60</x:v>
      </x:c>
      <x:c r="Z343" s="22" t="n">
        <x:f>MIN('参数'!$B$36,U343/(U343+'参数'!$B$35))</x:f>
        <x:v>0.5925587069832965</x:v>
      </x:c>
      <x:c r="AA343" s="19" t="n">
        <x:f>T343*'参数'!$B$30/('参数'!$B$32*'参数'!$B$33)/(1-Z343)*AC343</x:f>
        <x:v>7254.266897269082</x:v>
      </x:c>
      <x:c r="AB343" s="19" t="n">
        <x:f>T343*'参数'!$B$31/'参数'!$B$34/(1-Z343)*AC343</x:f>
        <x:v>14508.533794538167</x:v>
      </x:c>
      <x:c r="AC343" s="20" t="n">
        <x:f>'参数'!$L$28*1</x:f>
        <x:v>1.1</x:v>
      </x:c>
      <x:c r="AD343" s="20" t="n">
        <x:f>1</x:f>
        <x:v>1</x:v>
      </x:c>
      <x:c r="AE343" s="19" t="n">
        <x:f>IF(MOD(B343,12)=0,1,0)</x:f>
        <x:v>0</x:v>
      </x:c>
    </x:row>
    <x:row r="344" ht="22" customHeight="1">
      <x:c r="A344" s="18" t="str">
        <x:v>噩梦</x:v>
      </x:c>
      <x:c r="B344" s="18" t="n">
        <x:v>99</x:v>
      </x:c>
      <x:c r="C344" s="18" t="n">
        <x:f>ROUNDUP(B344/12,0)</x:f>
        <x:v>9</x:v>
      </x:c>
      <x:c r="D344" s="18" t="n">
        <x:f>ROUND(MAX('参数'!$G$28,E344)+(IF(C344&lt;10,INDEX('参数'!$G$36:$P$36,1,MIN(10,C344+1)),'参数'!$H$28)-MAX('参数'!$G$28,E344))*MOD(B344-1,12)/11,0)</x:f>
        <x:v>100</x:v>
      </x:c>
      <x:c r="E344" s="18" t="n">
        <x:f>INDEX('参数'!$G$36:$P$36,1,C344)</x:f>
        <x:v>100</x:v>
      </x:c>
      <x:c r="F344" s="15" t="n">
        <x:f>'参数'!$I$28</x:f>
        <x:v>1.16</x:v>
      </x:c>
      <x:c r="G344" s="18" t="n">
        <x:f>ROUND(V344*X344/'参数'!$B$56,0)</x:f>
        <x:v>295459</x:v>
      </x:c>
      <x:c r="H344" s="18" t="n">
        <x:f>ROUND((AA344+SQRT(AA344^2+4*AA344*'参数'!$B$22*U344))/2,0)</x:f>
        <x:v>11745</x:v>
      </x:c>
      <x:c r="I344" s="18" t="n">
        <x:f>ROUND(Q344*'参数'!$B$23/'参数'!$B$22,0)</x:f>
        <x:v>1865</x:v>
      </x:c>
      <x:c r="J344" s="18" t="n">
        <x:f>ROUND(G344*'参数'!$B$50,0)</x:f>
        <x:v>886377</x:v>
      </x:c>
      <x:c r="K344" s="18" t="n">
        <x:f>ROUND(W344*Y344,0)</x:f>
        <x:v>2908316</x:v>
      </x:c>
      <x:c r="L344" s="18" t="n">
        <x:f>ROUND((AB344+SQRT(AB344^2+4*AB344*'参数'!$B$22*U344))/2,0)</x:f>
        <x:v>19829</x:v>
      </x:c>
      <x:c r="M344" s="18" t="n">
        <x:f>ROUND(I344*'参数'!$B$24,0)</x:f>
        <x:v>2331</x:v>
      </x:c>
      <x:c r="N344" s="18" t="n">
        <x:f>'参数'!$B$9*'参数'!$B$10^(D344-1)</x:f>
        <x:v>11195.319600498813</x:v>
      </x:c>
      <x:c r="O344" s="18" t="n">
        <x:f>'参数'!$B$18*'参数'!$B$19^(MIN(E344,MAX(1,5*INT(D344/5)))-1)*F344*'参数'!$J$28*P344</x:f>
        <x:v>1645.4365043728462</x:v>
      </x:c>
      <x:c r="P344" s="21" t="n">
        <x:f>MIN(1,(D344-1)/19)</x:f>
        <x:v>1</x:v>
      </x:c>
      <x:c r="Q344" s="18" t="n">
        <x:f>INDEX('角色成长'!$F$6:$F$105,D344)+O344*'参数'!$K$21</x:f>
        <x:v>9323.494037462613</x:v>
      </x:c>
      <x:c r="R344" s="18" t="n">
        <x:f>INDEX('角色成长'!$I$6:$I$105,D344)+O344*'参数'!$K$21</x:f>
        <x:v>8025.494037462612</x:v>
      </x:c>
      <x:c r="S344" s="18" t="n">
        <x:f>INDEX('角色成长'!$L$6:$L$105,D344)+O344*'参数'!$K$21</x:f>
        <x:v>7284.494037462612</x:v>
      </x:c>
      <x:c r="T344" s="18" t="n">
        <x:f>(INDEX('角色成长'!$J$6:$J$105,D344)+O344*'参数'!$L$21)*(1+'参数'!$B$40*P344)</x:f>
        <x:v>107479.55943678491</x:v>
      </x:c>
      <x:c r="U344" s="18" t="n">
        <x:f>(INDEX('角色成长'!$K$6:$K$105,D344)+O344*'参数'!$M$21)*(1+'参数'!$B$41*P344)</x:f>
        <x:v>5817.3652709177295</x:v>
      </x:c>
      <x:c r="V344" s="18" t="n">
        <x:f>(('参数'!$K$5*(((Q344*(1+'参数'!$B$39*P344))^2/((Q344*(1+'参数'!$B$39*P344))+'参数'!$B$22*(I344)))*(1+'参数'!$B$42*P344)/'参数'!$J$5+((Q344*'参数'!$B$43*(1+'参数'!$B$39*P344))^2/((Q344*'参数'!$B$43*(1+'参数'!$B$39*P344))+'参数'!$B$22*(I344)))/'参数'!$B$44))+(((R344*(1+'参数'!$B$39*P344))^2/((R344*(1+'参数'!$B$39*P344))+'参数'!$B$22*(I344)))*(1+'参数'!$B$42*P344)/'参数'!$J$6+((R344*'参数'!$B$45*(1+'参数'!$B$39*P344))^2/((R344*'参数'!$B$45*(1+'参数'!$B$39*P344))+'参数'!$B$22*(I344)))/'参数'!$B$46)+((S344*(1+'参数'!$B$39*P344))^2/((S344*(1+'参数'!$B$39*P344))+'参数'!$B$22*(I344)))*(1+'参数'!$B$42*P344)/'参数'!$J$7)*(1+'参数'!$B$37*('参数'!$B$38-1))*'参数'!$B$25</x:f>
        <x:v>62921.9115191509</x:v>
      </x:c>
      <x:c r="W344" s="18" t="n">
        <x:f>(('参数'!$K$5*(((Q344*(1+'参数'!$B$39*P344))^2/((Q344*(1+'参数'!$B$39*P344))+'参数'!$B$22*(M344)))*(1+'参数'!$B$42*P344)/'参数'!$J$5+((Q344*'参数'!$B$43*(1+'参数'!$B$39*P344))^2/((Q344*'参数'!$B$43*(1+'参数'!$B$39*P344))+'参数'!$B$22*(M344)))/'参数'!$B$44))+(((R344*(1+'参数'!$B$39*P344))^2/((R344*(1+'参数'!$B$39*P344))+'参数'!$B$22*(M344)))*(1+'参数'!$B$42*P344)/'参数'!$J$6+((R344*'参数'!$B$45*(1+'参数'!$B$39*P344))^2/((R344*'参数'!$B$45*(1+'参数'!$B$39*P344))+'参数'!$B$22*(M344)))/'参数'!$B$46)+((S344*(1+'参数'!$B$39*P344))^2/((S344*(1+'参数'!$B$39*P344))+'参数'!$B$22*(M344)))*(1+'参数'!$B$42*P344)/'参数'!$J$7)*(1+'参数'!$B$37*('参数'!$B$38-1))</x:f>
        <x:v>48471.92860891668</x:v>
      </x:c>
      <x:c r="X344" s="25" t="n">
        <x:f>('参数'!$B$26+'参数'!$B$27*(D344-1)/99)*'参数'!$K$28*AD344</x:f>
        <x:v>21.599999999999998</x:v>
      </x:c>
      <x:c r="Y344" s="25" t="n">
        <x:f>('参数'!$B$28+'参数'!$B$29*(D344-1)/99)*'参数'!$K$28*AD344*IF(AE344=1,'参数'!$B$51,1)</x:f>
        <x:v>60</x:v>
      </x:c>
      <x:c r="Z344" s="21" t="n">
        <x:f>MIN('参数'!$B$36,U344/(U344+'参数'!$B$35))</x:f>
        <x:v>0.5925587069832965</x:v>
      </x:c>
      <x:c r="AA344" s="18" t="n">
        <x:f>T344*'参数'!$B$30/('参数'!$B$32*'参数'!$B$33)/(1-Z344)*AC344</x:f>
        <x:v>7254.266897269082</x:v>
      </x:c>
      <x:c r="AB344" s="18" t="n">
        <x:f>T344*'参数'!$B$31/'参数'!$B$34/(1-Z344)*AC344</x:f>
        <x:v>14508.533794538167</x:v>
      </x:c>
      <x:c r="AC344" s="15" t="n">
        <x:f>'参数'!$L$28*1</x:f>
        <x:v>1.1</x:v>
      </x:c>
      <x:c r="AD344" s="15" t="n">
        <x:f>1</x:f>
        <x:v>1</x:v>
      </x:c>
      <x:c r="AE344" s="18" t="n">
        <x:f>IF(MOD(B344,12)=0,1,0)</x:f>
        <x:v>0</x:v>
      </x:c>
    </x:row>
    <x:row r="345" ht="22" customHeight="1">
      <x:c r="A345" s="19" t="str">
        <x:v>噩梦</x:v>
      </x:c>
      <x:c r="B345" s="19" t="n">
        <x:v>100</x:v>
      </x:c>
      <x:c r="C345" s="19" t="n">
        <x:f>ROUNDUP(B345/12,0)</x:f>
        <x:v>9</x:v>
      </x:c>
      <x:c r="D345" s="19" t="n">
        <x:f>ROUND(MAX('参数'!$G$28,E345)+(IF(C345&lt;10,INDEX('参数'!$G$36:$P$36,1,MIN(10,C345+1)),'参数'!$H$28)-MAX('参数'!$G$28,E345))*MOD(B345-1,12)/11,0)</x:f>
        <x:v>100</x:v>
      </x:c>
      <x:c r="E345" s="19" t="n">
        <x:f>INDEX('参数'!$G$36:$P$36,1,C345)</x:f>
        <x:v>100</x:v>
      </x:c>
      <x:c r="F345" s="20" t="n">
        <x:f>'参数'!$I$28</x:f>
        <x:v>1.16</x:v>
      </x:c>
      <x:c r="G345" s="19" t="n">
        <x:f>ROUND(V345*X345/'参数'!$B$56,0)</x:f>
        <x:v>295459</x:v>
      </x:c>
      <x:c r="H345" s="19" t="n">
        <x:f>ROUND((AA345+SQRT(AA345^2+4*AA345*'参数'!$B$22*U345))/2,0)</x:f>
        <x:v>11745</x:v>
      </x:c>
      <x:c r="I345" s="19" t="n">
        <x:f>ROUND(Q345*'参数'!$B$23/'参数'!$B$22,0)</x:f>
        <x:v>1865</x:v>
      </x:c>
      <x:c r="J345" s="19" t="n">
        <x:f>ROUND(G345*'参数'!$B$50,0)</x:f>
        <x:v>886377</x:v>
      </x:c>
      <x:c r="K345" s="19" t="n">
        <x:f>ROUND(W345*Y345,0)</x:f>
        <x:v>2908316</x:v>
      </x:c>
      <x:c r="L345" s="19" t="n">
        <x:f>ROUND((AB345+SQRT(AB345^2+4*AB345*'参数'!$B$22*U345))/2,0)</x:f>
        <x:v>19829</x:v>
      </x:c>
      <x:c r="M345" s="19" t="n">
        <x:f>ROUND(I345*'参数'!$B$24,0)</x:f>
        <x:v>2331</x:v>
      </x:c>
      <x:c r="N345" s="19" t="n">
        <x:f>'参数'!$B$9*'参数'!$B$10^(D345-1)</x:f>
        <x:v>11195.319600498813</x:v>
      </x:c>
      <x:c r="O345" s="19" t="n">
        <x:f>'参数'!$B$18*'参数'!$B$19^(MIN(E345,MAX(1,5*INT(D345/5)))-1)*F345*'参数'!$J$28*P345</x:f>
        <x:v>1645.4365043728462</x:v>
      </x:c>
      <x:c r="P345" s="22" t="n">
        <x:f>MIN(1,(D345-1)/19)</x:f>
        <x:v>1</x:v>
      </x:c>
      <x:c r="Q345" s="19" t="n">
        <x:f>INDEX('角色成长'!$F$6:$F$105,D345)+O345*'参数'!$K$21</x:f>
        <x:v>9323.494037462613</x:v>
      </x:c>
      <x:c r="R345" s="19" t="n">
        <x:f>INDEX('角色成长'!$I$6:$I$105,D345)+O345*'参数'!$K$21</x:f>
        <x:v>8025.494037462612</x:v>
      </x:c>
      <x:c r="S345" s="19" t="n">
        <x:f>INDEX('角色成长'!$L$6:$L$105,D345)+O345*'参数'!$K$21</x:f>
        <x:v>7284.494037462612</x:v>
      </x:c>
      <x:c r="T345" s="19" t="n">
        <x:f>(INDEX('角色成长'!$J$6:$J$105,D345)+O345*'参数'!$L$21)*(1+'参数'!$B$40*P345)</x:f>
        <x:v>107479.55943678491</x:v>
      </x:c>
      <x:c r="U345" s="19" t="n">
        <x:f>(INDEX('角色成长'!$K$6:$K$105,D345)+O345*'参数'!$M$21)*(1+'参数'!$B$41*P345)</x:f>
        <x:v>5817.3652709177295</x:v>
      </x:c>
      <x:c r="V345" s="19" t="n">
        <x:f>(('参数'!$K$5*(((Q345*(1+'参数'!$B$39*P345))^2/((Q345*(1+'参数'!$B$39*P345))+'参数'!$B$22*(I345)))*(1+'参数'!$B$42*P345)/'参数'!$J$5+((Q345*'参数'!$B$43*(1+'参数'!$B$39*P345))^2/((Q345*'参数'!$B$43*(1+'参数'!$B$39*P345))+'参数'!$B$22*(I345)))/'参数'!$B$44))+(((R345*(1+'参数'!$B$39*P345))^2/((R345*(1+'参数'!$B$39*P345))+'参数'!$B$22*(I345)))*(1+'参数'!$B$42*P345)/'参数'!$J$6+((R345*'参数'!$B$45*(1+'参数'!$B$39*P345))^2/((R345*'参数'!$B$45*(1+'参数'!$B$39*P345))+'参数'!$B$22*(I345)))/'参数'!$B$46)+((S345*(1+'参数'!$B$39*P345))^2/((S345*(1+'参数'!$B$39*P345))+'参数'!$B$22*(I345)))*(1+'参数'!$B$42*P345)/'参数'!$J$7)*(1+'参数'!$B$37*('参数'!$B$38-1))*'参数'!$B$25</x:f>
        <x:v>62921.9115191509</x:v>
      </x:c>
      <x:c r="W345" s="19" t="n">
        <x:f>(('参数'!$K$5*(((Q345*(1+'参数'!$B$39*P345))^2/((Q345*(1+'参数'!$B$39*P345))+'参数'!$B$22*(M345)))*(1+'参数'!$B$42*P345)/'参数'!$J$5+((Q345*'参数'!$B$43*(1+'参数'!$B$39*P345))^2/((Q345*'参数'!$B$43*(1+'参数'!$B$39*P345))+'参数'!$B$22*(M345)))/'参数'!$B$44))+(((R345*(1+'参数'!$B$39*P345))^2/((R345*(1+'参数'!$B$39*P345))+'参数'!$B$22*(M345)))*(1+'参数'!$B$42*P345)/'参数'!$J$6+((R345*'参数'!$B$45*(1+'参数'!$B$39*P345))^2/((R345*'参数'!$B$45*(1+'参数'!$B$39*P345))+'参数'!$B$22*(M345)))/'参数'!$B$46)+((S345*(1+'参数'!$B$39*P345))^2/((S345*(1+'参数'!$B$39*P345))+'参数'!$B$22*(M345)))*(1+'参数'!$B$42*P345)/'参数'!$J$7)*(1+'参数'!$B$37*('参数'!$B$38-1))</x:f>
        <x:v>48471.92860891668</x:v>
      </x:c>
      <x:c r="X345" s="26" t="n">
        <x:f>('参数'!$B$26+'参数'!$B$27*(D345-1)/99)*'参数'!$K$28*AD345</x:f>
        <x:v>21.599999999999998</x:v>
      </x:c>
      <x:c r="Y345" s="26" t="n">
        <x:f>('参数'!$B$28+'参数'!$B$29*(D345-1)/99)*'参数'!$K$28*AD345*IF(AE345=1,'参数'!$B$51,1)</x:f>
        <x:v>60</x:v>
      </x:c>
      <x:c r="Z345" s="22" t="n">
        <x:f>MIN('参数'!$B$36,U345/(U345+'参数'!$B$35))</x:f>
        <x:v>0.5925587069832965</x:v>
      </x:c>
      <x:c r="AA345" s="19" t="n">
        <x:f>T345*'参数'!$B$30/('参数'!$B$32*'参数'!$B$33)/(1-Z345)*AC345</x:f>
        <x:v>7254.266897269082</x:v>
      </x:c>
      <x:c r="AB345" s="19" t="n">
        <x:f>T345*'参数'!$B$31/'参数'!$B$34/(1-Z345)*AC345</x:f>
        <x:v>14508.533794538167</x:v>
      </x:c>
      <x:c r="AC345" s="20" t="n">
        <x:f>'参数'!$L$28*1</x:f>
        <x:v>1.1</x:v>
      </x:c>
      <x:c r="AD345" s="20" t="n">
        <x:f>1</x:f>
        <x:v>1</x:v>
      </x:c>
      <x:c r="AE345" s="19" t="n">
        <x:f>IF(MOD(B345,12)=0,1,0)</x:f>
        <x:v>0</x:v>
      </x:c>
    </x:row>
    <x:row r="346" ht="22" customHeight="1">
      <x:c r="A346" s="18" t="str">
        <x:v>噩梦</x:v>
      </x:c>
      <x:c r="B346" s="18" t="n">
        <x:v>101</x:v>
      </x:c>
      <x:c r="C346" s="18" t="n">
        <x:f>ROUNDUP(B346/12,0)</x:f>
        <x:v>9</x:v>
      </x:c>
      <x:c r="D346" s="18" t="n">
        <x:f>ROUND(MAX('参数'!$G$28,E346)+(IF(C346&lt;10,INDEX('参数'!$G$36:$P$36,1,MIN(10,C346+1)),'参数'!$H$28)-MAX('参数'!$G$28,E346))*MOD(B346-1,12)/11,0)</x:f>
        <x:v>100</x:v>
      </x:c>
      <x:c r="E346" s="18" t="n">
        <x:f>INDEX('参数'!$G$36:$P$36,1,C346)</x:f>
        <x:v>100</x:v>
      </x:c>
      <x:c r="F346" s="15" t="n">
        <x:f>'参数'!$I$28</x:f>
        <x:v>1.16</x:v>
      </x:c>
      <x:c r="G346" s="18" t="n">
        <x:f>ROUND(V346*X346/'参数'!$B$56,0)</x:f>
        <x:v>295459</x:v>
      </x:c>
      <x:c r="H346" s="18" t="n">
        <x:f>ROUND((AA346+SQRT(AA346^2+4*AA346*'参数'!$B$22*U346))/2,0)</x:f>
        <x:v>11745</x:v>
      </x:c>
      <x:c r="I346" s="18" t="n">
        <x:f>ROUND(Q346*'参数'!$B$23/'参数'!$B$22,0)</x:f>
        <x:v>1865</x:v>
      </x:c>
      <x:c r="J346" s="18" t="n">
        <x:f>ROUND(G346*'参数'!$B$50,0)</x:f>
        <x:v>886377</x:v>
      </x:c>
      <x:c r="K346" s="18" t="n">
        <x:f>ROUND(W346*Y346,0)</x:f>
        <x:v>2908316</x:v>
      </x:c>
      <x:c r="L346" s="18" t="n">
        <x:f>ROUND((AB346+SQRT(AB346^2+4*AB346*'参数'!$B$22*U346))/2,0)</x:f>
        <x:v>19829</x:v>
      </x:c>
      <x:c r="M346" s="18" t="n">
        <x:f>ROUND(I346*'参数'!$B$24,0)</x:f>
        <x:v>2331</x:v>
      </x:c>
      <x:c r="N346" s="18" t="n">
        <x:f>'参数'!$B$9*'参数'!$B$10^(D346-1)</x:f>
        <x:v>11195.319600498813</x:v>
      </x:c>
      <x:c r="O346" s="18" t="n">
        <x:f>'参数'!$B$18*'参数'!$B$19^(MIN(E346,MAX(1,5*INT(D346/5)))-1)*F346*'参数'!$J$28*P346</x:f>
        <x:v>1645.4365043728462</x:v>
      </x:c>
      <x:c r="P346" s="21" t="n">
        <x:f>MIN(1,(D346-1)/19)</x:f>
        <x:v>1</x:v>
      </x:c>
      <x:c r="Q346" s="18" t="n">
        <x:f>INDEX('角色成长'!$F$6:$F$105,D346)+O346*'参数'!$K$21</x:f>
        <x:v>9323.494037462613</x:v>
      </x:c>
      <x:c r="R346" s="18" t="n">
        <x:f>INDEX('角色成长'!$I$6:$I$105,D346)+O346*'参数'!$K$21</x:f>
        <x:v>8025.494037462612</x:v>
      </x:c>
      <x:c r="S346" s="18" t="n">
        <x:f>INDEX('角色成长'!$L$6:$L$105,D346)+O346*'参数'!$K$21</x:f>
        <x:v>7284.494037462612</x:v>
      </x:c>
      <x:c r="T346" s="18" t="n">
        <x:f>(INDEX('角色成长'!$J$6:$J$105,D346)+O346*'参数'!$L$21)*(1+'参数'!$B$40*P346)</x:f>
        <x:v>107479.55943678491</x:v>
      </x:c>
      <x:c r="U346" s="18" t="n">
        <x:f>(INDEX('角色成长'!$K$6:$K$105,D346)+O346*'参数'!$M$21)*(1+'参数'!$B$41*P346)</x:f>
        <x:v>5817.3652709177295</x:v>
      </x:c>
      <x:c r="V346" s="18" t="n">
        <x:f>(('参数'!$K$5*(((Q346*(1+'参数'!$B$39*P346))^2/((Q346*(1+'参数'!$B$39*P346))+'参数'!$B$22*(I346)))*(1+'参数'!$B$42*P346)/'参数'!$J$5+((Q346*'参数'!$B$43*(1+'参数'!$B$39*P346))^2/((Q346*'参数'!$B$43*(1+'参数'!$B$39*P346))+'参数'!$B$22*(I346)))/'参数'!$B$44))+(((R346*(1+'参数'!$B$39*P346))^2/((R346*(1+'参数'!$B$39*P346))+'参数'!$B$22*(I346)))*(1+'参数'!$B$42*P346)/'参数'!$J$6+((R346*'参数'!$B$45*(1+'参数'!$B$39*P346))^2/((R346*'参数'!$B$45*(1+'参数'!$B$39*P346))+'参数'!$B$22*(I346)))/'参数'!$B$46)+((S346*(1+'参数'!$B$39*P346))^2/((S346*(1+'参数'!$B$39*P346))+'参数'!$B$22*(I346)))*(1+'参数'!$B$42*P346)/'参数'!$J$7)*(1+'参数'!$B$37*('参数'!$B$38-1))*'参数'!$B$25</x:f>
        <x:v>62921.9115191509</x:v>
      </x:c>
      <x:c r="W346" s="18" t="n">
        <x:f>(('参数'!$K$5*(((Q346*(1+'参数'!$B$39*P346))^2/((Q346*(1+'参数'!$B$39*P346))+'参数'!$B$22*(M346)))*(1+'参数'!$B$42*P346)/'参数'!$J$5+((Q346*'参数'!$B$43*(1+'参数'!$B$39*P346))^2/((Q346*'参数'!$B$43*(1+'参数'!$B$39*P346))+'参数'!$B$22*(M346)))/'参数'!$B$44))+(((R346*(1+'参数'!$B$39*P346))^2/((R346*(1+'参数'!$B$39*P346))+'参数'!$B$22*(M346)))*(1+'参数'!$B$42*P346)/'参数'!$J$6+((R346*'参数'!$B$45*(1+'参数'!$B$39*P346))^2/((R346*'参数'!$B$45*(1+'参数'!$B$39*P346))+'参数'!$B$22*(M346)))/'参数'!$B$46)+((S346*(1+'参数'!$B$39*P346))^2/((S346*(1+'参数'!$B$39*P346))+'参数'!$B$22*(M346)))*(1+'参数'!$B$42*P346)/'参数'!$J$7)*(1+'参数'!$B$37*('参数'!$B$38-1))</x:f>
        <x:v>48471.92860891668</x:v>
      </x:c>
      <x:c r="X346" s="25" t="n">
        <x:f>('参数'!$B$26+'参数'!$B$27*(D346-1)/99)*'参数'!$K$28*AD346</x:f>
        <x:v>21.599999999999998</x:v>
      </x:c>
      <x:c r="Y346" s="25" t="n">
        <x:f>('参数'!$B$28+'参数'!$B$29*(D346-1)/99)*'参数'!$K$28*AD346*IF(AE346=1,'参数'!$B$51,1)</x:f>
        <x:v>60</x:v>
      </x:c>
      <x:c r="Z346" s="21" t="n">
        <x:f>MIN('参数'!$B$36,U346/(U346+'参数'!$B$35))</x:f>
        <x:v>0.5925587069832965</x:v>
      </x:c>
      <x:c r="AA346" s="18" t="n">
        <x:f>T346*'参数'!$B$30/('参数'!$B$32*'参数'!$B$33)/(1-Z346)*AC346</x:f>
        <x:v>7254.266897269082</x:v>
      </x:c>
      <x:c r="AB346" s="18" t="n">
        <x:f>T346*'参数'!$B$31/'参数'!$B$34/(1-Z346)*AC346</x:f>
        <x:v>14508.533794538167</x:v>
      </x:c>
      <x:c r="AC346" s="15" t="n">
        <x:f>'参数'!$L$28*1</x:f>
        <x:v>1.1</x:v>
      </x:c>
      <x:c r="AD346" s="15" t="n">
        <x:f>1</x:f>
        <x:v>1</x:v>
      </x:c>
      <x:c r="AE346" s="18" t="n">
        <x:f>IF(MOD(B346,12)=0,1,0)</x:f>
        <x:v>0</x:v>
      </x:c>
    </x:row>
    <x:row r="347" ht="22" customHeight="1">
      <x:c r="A347" s="19" t="str">
        <x:v>噩梦</x:v>
      </x:c>
      <x:c r="B347" s="19" t="n">
        <x:v>102</x:v>
      </x:c>
      <x:c r="C347" s="19" t="n">
        <x:f>ROUNDUP(B347/12,0)</x:f>
        <x:v>9</x:v>
      </x:c>
      <x:c r="D347" s="19" t="n">
        <x:f>ROUND(MAX('参数'!$G$28,E347)+(IF(C347&lt;10,INDEX('参数'!$G$36:$P$36,1,MIN(10,C347+1)),'参数'!$H$28)-MAX('参数'!$G$28,E347))*MOD(B347-1,12)/11,0)</x:f>
        <x:v>100</x:v>
      </x:c>
      <x:c r="E347" s="19" t="n">
        <x:f>INDEX('参数'!$G$36:$P$36,1,C347)</x:f>
        <x:v>100</x:v>
      </x:c>
      <x:c r="F347" s="20" t="n">
        <x:f>'参数'!$I$28</x:f>
        <x:v>1.16</x:v>
      </x:c>
      <x:c r="G347" s="19" t="n">
        <x:f>ROUND(V347*X347/'参数'!$B$56,0)</x:f>
        <x:v>295459</x:v>
      </x:c>
      <x:c r="H347" s="19" t="n">
        <x:f>ROUND((AA347+SQRT(AA347^2+4*AA347*'参数'!$B$22*U347))/2,0)</x:f>
        <x:v>11745</x:v>
      </x:c>
      <x:c r="I347" s="19" t="n">
        <x:f>ROUND(Q347*'参数'!$B$23/'参数'!$B$22,0)</x:f>
        <x:v>1865</x:v>
      </x:c>
      <x:c r="J347" s="19" t="n">
        <x:f>ROUND(G347*'参数'!$B$50,0)</x:f>
        <x:v>886377</x:v>
      </x:c>
      <x:c r="K347" s="19" t="n">
        <x:f>ROUND(W347*Y347,0)</x:f>
        <x:v>2908316</x:v>
      </x:c>
      <x:c r="L347" s="19" t="n">
        <x:f>ROUND((AB347+SQRT(AB347^2+4*AB347*'参数'!$B$22*U347))/2,0)</x:f>
        <x:v>19829</x:v>
      </x:c>
      <x:c r="M347" s="19" t="n">
        <x:f>ROUND(I347*'参数'!$B$24,0)</x:f>
        <x:v>2331</x:v>
      </x:c>
      <x:c r="N347" s="19" t="n">
        <x:f>'参数'!$B$9*'参数'!$B$10^(D347-1)</x:f>
        <x:v>11195.319600498813</x:v>
      </x:c>
      <x:c r="O347" s="19" t="n">
        <x:f>'参数'!$B$18*'参数'!$B$19^(MIN(E347,MAX(1,5*INT(D347/5)))-1)*F347*'参数'!$J$28*P347</x:f>
        <x:v>1645.4365043728462</x:v>
      </x:c>
      <x:c r="P347" s="22" t="n">
        <x:f>MIN(1,(D347-1)/19)</x:f>
        <x:v>1</x:v>
      </x:c>
      <x:c r="Q347" s="19" t="n">
        <x:f>INDEX('角色成长'!$F$6:$F$105,D347)+O347*'参数'!$K$21</x:f>
        <x:v>9323.494037462613</x:v>
      </x:c>
      <x:c r="R347" s="19" t="n">
        <x:f>INDEX('角色成长'!$I$6:$I$105,D347)+O347*'参数'!$K$21</x:f>
        <x:v>8025.494037462612</x:v>
      </x:c>
      <x:c r="S347" s="19" t="n">
        <x:f>INDEX('角色成长'!$L$6:$L$105,D347)+O347*'参数'!$K$21</x:f>
        <x:v>7284.494037462612</x:v>
      </x:c>
      <x:c r="T347" s="19" t="n">
        <x:f>(INDEX('角色成长'!$J$6:$J$105,D347)+O347*'参数'!$L$21)*(1+'参数'!$B$40*P347)</x:f>
        <x:v>107479.55943678491</x:v>
      </x:c>
      <x:c r="U347" s="19" t="n">
        <x:f>(INDEX('角色成长'!$K$6:$K$105,D347)+O347*'参数'!$M$21)*(1+'参数'!$B$41*P347)</x:f>
        <x:v>5817.3652709177295</x:v>
      </x:c>
      <x:c r="V347" s="19" t="n">
        <x:f>(('参数'!$K$5*(((Q347*(1+'参数'!$B$39*P347))^2/((Q347*(1+'参数'!$B$39*P347))+'参数'!$B$22*(I347)))*(1+'参数'!$B$42*P347)/'参数'!$J$5+((Q347*'参数'!$B$43*(1+'参数'!$B$39*P347))^2/((Q347*'参数'!$B$43*(1+'参数'!$B$39*P347))+'参数'!$B$22*(I347)))/'参数'!$B$44))+(((R347*(1+'参数'!$B$39*P347))^2/((R347*(1+'参数'!$B$39*P347))+'参数'!$B$22*(I347)))*(1+'参数'!$B$42*P347)/'参数'!$J$6+((R347*'参数'!$B$45*(1+'参数'!$B$39*P347))^2/((R347*'参数'!$B$45*(1+'参数'!$B$39*P347))+'参数'!$B$22*(I347)))/'参数'!$B$46)+((S347*(1+'参数'!$B$39*P347))^2/((S347*(1+'参数'!$B$39*P347))+'参数'!$B$22*(I347)))*(1+'参数'!$B$42*P347)/'参数'!$J$7)*(1+'参数'!$B$37*('参数'!$B$38-1))*'参数'!$B$25</x:f>
        <x:v>62921.9115191509</x:v>
      </x:c>
      <x:c r="W347" s="19" t="n">
        <x:f>(('参数'!$K$5*(((Q347*(1+'参数'!$B$39*P347))^2/((Q347*(1+'参数'!$B$39*P347))+'参数'!$B$22*(M347)))*(1+'参数'!$B$42*P347)/'参数'!$J$5+((Q347*'参数'!$B$43*(1+'参数'!$B$39*P347))^2/((Q347*'参数'!$B$43*(1+'参数'!$B$39*P347))+'参数'!$B$22*(M347)))/'参数'!$B$44))+(((R347*(1+'参数'!$B$39*P347))^2/((R347*(1+'参数'!$B$39*P347))+'参数'!$B$22*(M347)))*(1+'参数'!$B$42*P347)/'参数'!$J$6+((R347*'参数'!$B$45*(1+'参数'!$B$39*P347))^2/((R347*'参数'!$B$45*(1+'参数'!$B$39*P347))+'参数'!$B$22*(M347)))/'参数'!$B$46)+((S347*(1+'参数'!$B$39*P347))^2/((S347*(1+'参数'!$B$39*P347))+'参数'!$B$22*(M347)))*(1+'参数'!$B$42*P347)/'参数'!$J$7)*(1+'参数'!$B$37*('参数'!$B$38-1))</x:f>
        <x:v>48471.92860891668</x:v>
      </x:c>
      <x:c r="X347" s="26" t="n">
        <x:f>('参数'!$B$26+'参数'!$B$27*(D347-1)/99)*'参数'!$K$28*AD347</x:f>
        <x:v>21.599999999999998</x:v>
      </x:c>
      <x:c r="Y347" s="26" t="n">
        <x:f>('参数'!$B$28+'参数'!$B$29*(D347-1)/99)*'参数'!$K$28*AD347*IF(AE347=1,'参数'!$B$51,1)</x:f>
        <x:v>60</x:v>
      </x:c>
      <x:c r="Z347" s="22" t="n">
        <x:f>MIN('参数'!$B$36,U347/(U347+'参数'!$B$35))</x:f>
        <x:v>0.5925587069832965</x:v>
      </x:c>
      <x:c r="AA347" s="19" t="n">
        <x:f>T347*'参数'!$B$30/('参数'!$B$32*'参数'!$B$33)/(1-Z347)*AC347</x:f>
        <x:v>7254.266897269082</x:v>
      </x:c>
      <x:c r="AB347" s="19" t="n">
        <x:f>T347*'参数'!$B$31/'参数'!$B$34/(1-Z347)*AC347</x:f>
        <x:v>14508.533794538167</x:v>
      </x:c>
      <x:c r="AC347" s="20" t="n">
        <x:f>'参数'!$L$28*1</x:f>
        <x:v>1.1</x:v>
      </x:c>
      <x:c r="AD347" s="20" t="n">
        <x:f>1</x:f>
        <x:v>1</x:v>
      </x:c>
      <x:c r="AE347" s="19" t="n">
        <x:f>IF(MOD(B347,12)=0,1,0)</x:f>
        <x:v>0</x:v>
      </x:c>
    </x:row>
    <x:row r="348" ht="22" customHeight="1">
      <x:c r="A348" s="18" t="str">
        <x:v>噩梦</x:v>
      </x:c>
      <x:c r="B348" s="18" t="n">
        <x:v>103</x:v>
      </x:c>
      <x:c r="C348" s="18" t="n">
        <x:f>ROUNDUP(B348/12,0)</x:f>
        <x:v>9</x:v>
      </x:c>
      <x:c r="D348" s="18" t="n">
        <x:f>ROUND(MAX('参数'!$G$28,E348)+(IF(C348&lt;10,INDEX('参数'!$G$36:$P$36,1,MIN(10,C348+1)),'参数'!$H$28)-MAX('参数'!$G$28,E348))*MOD(B348-1,12)/11,0)</x:f>
        <x:v>100</x:v>
      </x:c>
      <x:c r="E348" s="18" t="n">
        <x:f>INDEX('参数'!$G$36:$P$36,1,C348)</x:f>
        <x:v>100</x:v>
      </x:c>
      <x:c r="F348" s="15" t="n">
        <x:f>'参数'!$I$28</x:f>
        <x:v>1.16</x:v>
      </x:c>
      <x:c r="G348" s="18" t="n">
        <x:f>ROUND(V348*X348/'参数'!$B$56,0)</x:f>
        <x:v>295459</x:v>
      </x:c>
      <x:c r="H348" s="18" t="n">
        <x:f>ROUND((AA348+SQRT(AA348^2+4*AA348*'参数'!$B$22*U348))/2,0)</x:f>
        <x:v>11745</x:v>
      </x:c>
      <x:c r="I348" s="18" t="n">
        <x:f>ROUND(Q348*'参数'!$B$23/'参数'!$B$22,0)</x:f>
        <x:v>1865</x:v>
      </x:c>
      <x:c r="J348" s="18" t="n">
        <x:f>ROUND(G348*'参数'!$B$50,0)</x:f>
        <x:v>886377</x:v>
      </x:c>
      <x:c r="K348" s="18" t="n">
        <x:f>ROUND(W348*Y348,0)</x:f>
        <x:v>2908316</x:v>
      </x:c>
      <x:c r="L348" s="18" t="n">
        <x:f>ROUND((AB348+SQRT(AB348^2+4*AB348*'参数'!$B$22*U348))/2,0)</x:f>
        <x:v>19829</x:v>
      </x:c>
      <x:c r="M348" s="18" t="n">
        <x:f>ROUND(I348*'参数'!$B$24,0)</x:f>
        <x:v>2331</x:v>
      </x:c>
      <x:c r="N348" s="18" t="n">
        <x:f>'参数'!$B$9*'参数'!$B$10^(D348-1)</x:f>
        <x:v>11195.319600498813</x:v>
      </x:c>
      <x:c r="O348" s="18" t="n">
        <x:f>'参数'!$B$18*'参数'!$B$19^(MIN(E348,MAX(1,5*INT(D348/5)))-1)*F348*'参数'!$J$28*P348</x:f>
        <x:v>1645.4365043728462</x:v>
      </x:c>
      <x:c r="P348" s="21" t="n">
        <x:f>MIN(1,(D348-1)/19)</x:f>
        <x:v>1</x:v>
      </x:c>
      <x:c r="Q348" s="18" t="n">
        <x:f>INDEX('角色成长'!$F$6:$F$105,D348)+O348*'参数'!$K$21</x:f>
        <x:v>9323.494037462613</x:v>
      </x:c>
      <x:c r="R348" s="18" t="n">
        <x:f>INDEX('角色成长'!$I$6:$I$105,D348)+O348*'参数'!$K$21</x:f>
        <x:v>8025.494037462612</x:v>
      </x:c>
      <x:c r="S348" s="18" t="n">
        <x:f>INDEX('角色成长'!$L$6:$L$105,D348)+O348*'参数'!$K$21</x:f>
        <x:v>7284.494037462612</x:v>
      </x:c>
      <x:c r="T348" s="18" t="n">
        <x:f>(INDEX('角色成长'!$J$6:$J$105,D348)+O348*'参数'!$L$21)*(1+'参数'!$B$40*P348)</x:f>
        <x:v>107479.55943678491</x:v>
      </x:c>
      <x:c r="U348" s="18" t="n">
        <x:f>(INDEX('角色成长'!$K$6:$K$105,D348)+O348*'参数'!$M$21)*(1+'参数'!$B$41*P348)</x:f>
        <x:v>5817.3652709177295</x:v>
      </x:c>
      <x:c r="V348" s="18" t="n">
        <x:f>(('参数'!$K$5*(((Q348*(1+'参数'!$B$39*P348))^2/((Q348*(1+'参数'!$B$39*P348))+'参数'!$B$22*(I348)))*(1+'参数'!$B$42*P348)/'参数'!$J$5+((Q348*'参数'!$B$43*(1+'参数'!$B$39*P348))^2/((Q348*'参数'!$B$43*(1+'参数'!$B$39*P348))+'参数'!$B$22*(I348)))/'参数'!$B$44))+(((R348*(1+'参数'!$B$39*P348))^2/((R348*(1+'参数'!$B$39*P348))+'参数'!$B$22*(I348)))*(1+'参数'!$B$42*P348)/'参数'!$J$6+((R348*'参数'!$B$45*(1+'参数'!$B$39*P348))^2/((R348*'参数'!$B$45*(1+'参数'!$B$39*P348))+'参数'!$B$22*(I348)))/'参数'!$B$46)+((S348*(1+'参数'!$B$39*P348))^2/((S348*(1+'参数'!$B$39*P348))+'参数'!$B$22*(I348)))*(1+'参数'!$B$42*P348)/'参数'!$J$7)*(1+'参数'!$B$37*('参数'!$B$38-1))*'参数'!$B$25</x:f>
        <x:v>62921.9115191509</x:v>
      </x:c>
      <x:c r="W348" s="18" t="n">
        <x:f>(('参数'!$K$5*(((Q348*(1+'参数'!$B$39*P348))^2/((Q348*(1+'参数'!$B$39*P348))+'参数'!$B$22*(M348)))*(1+'参数'!$B$42*P348)/'参数'!$J$5+((Q348*'参数'!$B$43*(1+'参数'!$B$39*P348))^2/((Q348*'参数'!$B$43*(1+'参数'!$B$39*P348))+'参数'!$B$22*(M348)))/'参数'!$B$44))+(((R348*(1+'参数'!$B$39*P348))^2/((R348*(1+'参数'!$B$39*P348))+'参数'!$B$22*(M348)))*(1+'参数'!$B$42*P348)/'参数'!$J$6+((R348*'参数'!$B$45*(1+'参数'!$B$39*P348))^2/((R348*'参数'!$B$45*(1+'参数'!$B$39*P348))+'参数'!$B$22*(M348)))/'参数'!$B$46)+((S348*(1+'参数'!$B$39*P348))^2/((S348*(1+'参数'!$B$39*P348))+'参数'!$B$22*(M348)))*(1+'参数'!$B$42*P348)/'参数'!$J$7)*(1+'参数'!$B$37*('参数'!$B$38-1))</x:f>
        <x:v>48471.92860891668</x:v>
      </x:c>
      <x:c r="X348" s="25" t="n">
        <x:f>('参数'!$B$26+'参数'!$B$27*(D348-1)/99)*'参数'!$K$28*AD348</x:f>
        <x:v>21.599999999999998</x:v>
      </x:c>
      <x:c r="Y348" s="25" t="n">
        <x:f>('参数'!$B$28+'参数'!$B$29*(D348-1)/99)*'参数'!$K$28*AD348*IF(AE348=1,'参数'!$B$51,1)</x:f>
        <x:v>60</x:v>
      </x:c>
      <x:c r="Z348" s="21" t="n">
        <x:f>MIN('参数'!$B$36,U348/(U348+'参数'!$B$35))</x:f>
        <x:v>0.5925587069832965</x:v>
      </x:c>
      <x:c r="AA348" s="18" t="n">
        <x:f>T348*'参数'!$B$30/('参数'!$B$32*'参数'!$B$33)/(1-Z348)*AC348</x:f>
        <x:v>7254.266897269082</x:v>
      </x:c>
      <x:c r="AB348" s="18" t="n">
        <x:f>T348*'参数'!$B$31/'参数'!$B$34/(1-Z348)*AC348</x:f>
        <x:v>14508.533794538167</x:v>
      </x:c>
      <x:c r="AC348" s="15" t="n">
        <x:f>'参数'!$L$28*1</x:f>
        <x:v>1.1</x:v>
      </x:c>
      <x:c r="AD348" s="15" t="n">
        <x:f>1</x:f>
        <x:v>1</x:v>
      </x:c>
      <x:c r="AE348" s="18" t="n">
        <x:f>IF(MOD(B348,12)=0,1,0)</x:f>
        <x:v>0</x:v>
      </x:c>
    </x:row>
    <x:row r="349" ht="22" customHeight="1">
      <x:c r="A349" s="19" t="str">
        <x:v>噩梦</x:v>
      </x:c>
      <x:c r="B349" s="19" t="n">
        <x:v>104</x:v>
      </x:c>
      <x:c r="C349" s="19" t="n">
        <x:f>ROUNDUP(B349/12,0)</x:f>
        <x:v>9</x:v>
      </x:c>
      <x:c r="D349" s="19" t="n">
        <x:f>ROUND(MAX('参数'!$G$28,E349)+(IF(C349&lt;10,INDEX('参数'!$G$36:$P$36,1,MIN(10,C349+1)),'参数'!$H$28)-MAX('参数'!$G$28,E349))*MOD(B349-1,12)/11,0)</x:f>
        <x:v>100</x:v>
      </x:c>
      <x:c r="E349" s="19" t="n">
        <x:f>INDEX('参数'!$G$36:$P$36,1,C349)</x:f>
        <x:v>100</x:v>
      </x:c>
      <x:c r="F349" s="20" t="n">
        <x:f>'参数'!$I$28</x:f>
        <x:v>1.16</x:v>
      </x:c>
      <x:c r="G349" s="19" t="n">
        <x:f>ROUND(V349*X349/'参数'!$B$56,0)</x:f>
        <x:v>295459</x:v>
      </x:c>
      <x:c r="H349" s="19" t="n">
        <x:f>ROUND((AA349+SQRT(AA349^2+4*AA349*'参数'!$B$22*U349))/2,0)</x:f>
        <x:v>11745</x:v>
      </x:c>
      <x:c r="I349" s="19" t="n">
        <x:f>ROUND(Q349*'参数'!$B$23/'参数'!$B$22,0)</x:f>
        <x:v>1865</x:v>
      </x:c>
      <x:c r="J349" s="19" t="n">
        <x:f>ROUND(G349*'参数'!$B$50,0)</x:f>
        <x:v>886377</x:v>
      </x:c>
      <x:c r="K349" s="19" t="n">
        <x:f>ROUND(W349*Y349,0)</x:f>
        <x:v>2908316</x:v>
      </x:c>
      <x:c r="L349" s="19" t="n">
        <x:f>ROUND((AB349+SQRT(AB349^2+4*AB349*'参数'!$B$22*U349))/2,0)</x:f>
        <x:v>19829</x:v>
      </x:c>
      <x:c r="M349" s="19" t="n">
        <x:f>ROUND(I349*'参数'!$B$24,0)</x:f>
        <x:v>2331</x:v>
      </x:c>
      <x:c r="N349" s="19" t="n">
        <x:f>'参数'!$B$9*'参数'!$B$10^(D349-1)</x:f>
        <x:v>11195.319600498813</x:v>
      </x:c>
      <x:c r="O349" s="19" t="n">
        <x:f>'参数'!$B$18*'参数'!$B$19^(MIN(E349,MAX(1,5*INT(D349/5)))-1)*F349*'参数'!$J$28*P349</x:f>
        <x:v>1645.4365043728462</x:v>
      </x:c>
      <x:c r="P349" s="22" t="n">
        <x:f>MIN(1,(D349-1)/19)</x:f>
        <x:v>1</x:v>
      </x:c>
      <x:c r="Q349" s="19" t="n">
        <x:f>INDEX('角色成长'!$F$6:$F$105,D349)+O349*'参数'!$K$21</x:f>
        <x:v>9323.494037462613</x:v>
      </x:c>
      <x:c r="R349" s="19" t="n">
        <x:f>INDEX('角色成长'!$I$6:$I$105,D349)+O349*'参数'!$K$21</x:f>
        <x:v>8025.494037462612</x:v>
      </x:c>
      <x:c r="S349" s="19" t="n">
        <x:f>INDEX('角色成长'!$L$6:$L$105,D349)+O349*'参数'!$K$21</x:f>
        <x:v>7284.494037462612</x:v>
      </x:c>
      <x:c r="T349" s="19" t="n">
        <x:f>(INDEX('角色成长'!$J$6:$J$105,D349)+O349*'参数'!$L$21)*(1+'参数'!$B$40*P349)</x:f>
        <x:v>107479.55943678491</x:v>
      </x:c>
      <x:c r="U349" s="19" t="n">
        <x:f>(INDEX('角色成长'!$K$6:$K$105,D349)+O349*'参数'!$M$21)*(1+'参数'!$B$41*P349)</x:f>
        <x:v>5817.3652709177295</x:v>
      </x:c>
      <x:c r="V349" s="19" t="n">
        <x:f>(('参数'!$K$5*(((Q349*(1+'参数'!$B$39*P349))^2/((Q349*(1+'参数'!$B$39*P349))+'参数'!$B$22*(I349)))*(1+'参数'!$B$42*P349)/'参数'!$J$5+((Q349*'参数'!$B$43*(1+'参数'!$B$39*P349))^2/((Q349*'参数'!$B$43*(1+'参数'!$B$39*P349))+'参数'!$B$22*(I349)))/'参数'!$B$44))+(((R349*(1+'参数'!$B$39*P349))^2/((R349*(1+'参数'!$B$39*P349))+'参数'!$B$22*(I349)))*(1+'参数'!$B$42*P349)/'参数'!$J$6+((R349*'参数'!$B$45*(1+'参数'!$B$39*P349))^2/((R349*'参数'!$B$45*(1+'参数'!$B$39*P349))+'参数'!$B$22*(I349)))/'参数'!$B$46)+((S349*(1+'参数'!$B$39*P349))^2/((S349*(1+'参数'!$B$39*P349))+'参数'!$B$22*(I349)))*(1+'参数'!$B$42*P349)/'参数'!$J$7)*(1+'参数'!$B$37*('参数'!$B$38-1))*'参数'!$B$25</x:f>
        <x:v>62921.9115191509</x:v>
      </x:c>
      <x:c r="W349" s="19" t="n">
        <x:f>(('参数'!$K$5*(((Q349*(1+'参数'!$B$39*P349))^2/((Q349*(1+'参数'!$B$39*P349))+'参数'!$B$22*(M349)))*(1+'参数'!$B$42*P349)/'参数'!$J$5+((Q349*'参数'!$B$43*(1+'参数'!$B$39*P349))^2/((Q349*'参数'!$B$43*(1+'参数'!$B$39*P349))+'参数'!$B$22*(M349)))/'参数'!$B$44))+(((R349*(1+'参数'!$B$39*P349))^2/((R349*(1+'参数'!$B$39*P349))+'参数'!$B$22*(M349)))*(1+'参数'!$B$42*P349)/'参数'!$J$6+((R349*'参数'!$B$45*(1+'参数'!$B$39*P349))^2/((R349*'参数'!$B$45*(1+'参数'!$B$39*P349))+'参数'!$B$22*(M349)))/'参数'!$B$46)+((S349*(1+'参数'!$B$39*P349))^2/((S349*(1+'参数'!$B$39*P349))+'参数'!$B$22*(M349)))*(1+'参数'!$B$42*P349)/'参数'!$J$7)*(1+'参数'!$B$37*('参数'!$B$38-1))</x:f>
        <x:v>48471.92860891668</x:v>
      </x:c>
      <x:c r="X349" s="26" t="n">
        <x:f>('参数'!$B$26+'参数'!$B$27*(D349-1)/99)*'参数'!$K$28*AD349</x:f>
        <x:v>21.599999999999998</x:v>
      </x:c>
      <x:c r="Y349" s="26" t="n">
        <x:f>('参数'!$B$28+'参数'!$B$29*(D349-1)/99)*'参数'!$K$28*AD349*IF(AE349=1,'参数'!$B$51,1)</x:f>
        <x:v>60</x:v>
      </x:c>
      <x:c r="Z349" s="22" t="n">
        <x:f>MIN('参数'!$B$36,U349/(U349+'参数'!$B$35))</x:f>
        <x:v>0.5925587069832965</x:v>
      </x:c>
      <x:c r="AA349" s="19" t="n">
        <x:f>T349*'参数'!$B$30/('参数'!$B$32*'参数'!$B$33)/(1-Z349)*AC349</x:f>
        <x:v>7254.266897269082</x:v>
      </x:c>
      <x:c r="AB349" s="19" t="n">
        <x:f>T349*'参数'!$B$31/'参数'!$B$34/(1-Z349)*AC349</x:f>
        <x:v>14508.533794538167</x:v>
      </x:c>
      <x:c r="AC349" s="20" t="n">
        <x:f>'参数'!$L$28*1</x:f>
        <x:v>1.1</x:v>
      </x:c>
      <x:c r="AD349" s="20" t="n">
        <x:f>1</x:f>
        <x:v>1</x:v>
      </x:c>
      <x:c r="AE349" s="19" t="n">
        <x:f>IF(MOD(B349,12)=0,1,0)</x:f>
        <x:v>0</x:v>
      </x:c>
    </x:row>
    <x:row r="350" ht="22" customHeight="1">
      <x:c r="A350" s="18" t="str">
        <x:v>噩梦</x:v>
      </x:c>
      <x:c r="B350" s="18" t="n">
        <x:v>105</x:v>
      </x:c>
      <x:c r="C350" s="18" t="n">
        <x:f>ROUNDUP(B350/12,0)</x:f>
        <x:v>9</x:v>
      </x:c>
      <x:c r="D350" s="18" t="n">
        <x:f>ROUND(MAX('参数'!$G$28,E350)+(IF(C350&lt;10,INDEX('参数'!$G$36:$P$36,1,MIN(10,C350+1)),'参数'!$H$28)-MAX('参数'!$G$28,E350))*MOD(B350-1,12)/11,0)</x:f>
        <x:v>100</x:v>
      </x:c>
      <x:c r="E350" s="18" t="n">
        <x:f>INDEX('参数'!$G$36:$P$36,1,C350)</x:f>
        <x:v>100</x:v>
      </x:c>
      <x:c r="F350" s="15" t="n">
        <x:f>'参数'!$I$28</x:f>
        <x:v>1.16</x:v>
      </x:c>
      <x:c r="G350" s="18" t="n">
        <x:f>ROUND(V350*X350/'参数'!$B$56,0)</x:f>
        <x:v>295459</x:v>
      </x:c>
      <x:c r="H350" s="18" t="n">
        <x:f>ROUND((AA350+SQRT(AA350^2+4*AA350*'参数'!$B$22*U350))/2,0)</x:f>
        <x:v>11745</x:v>
      </x:c>
      <x:c r="I350" s="18" t="n">
        <x:f>ROUND(Q350*'参数'!$B$23/'参数'!$B$22,0)</x:f>
        <x:v>1865</x:v>
      </x:c>
      <x:c r="J350" s="18" t="n">
        <x:f>ROUND(G350*'参数'!$B$50,0)</x:f>
        <x:v>886377</x:v>
      </x:c>
      <x:c r="K350" s="18" t="n">
        <x:f>ROUND(W350*Y350,0)</x:f>
        <x:v>2908316</x:v>
      </x:c>
      <x:c r="L350" s="18" t="n">
        <x:f>ROUND((AB350+SQRT(AB350^2+4*AB350*'参数'!$B$22*U350))/2,0)</x:f>
        <x:v>19829</x:v>
      </x:c>
      <x:c r="M350" s="18" t="n">
        <x:f>ROUND(I350*'参数'!$B$24,0)</x:f>
        <x:v>2331</x:v>
      </x:c>
      <x:c r="N350" s="18" t="n">
        <x:f>'参数'!$B$9*'参数'!$B$10^(D350-1)</x:f>
        <x:v>11195.319600498813</x:v>
      </x:c>
      <x:c r="O350" s="18" t="n">
        <x:f>'参数'!$B$18*'参数'!$B$19^(MIN(E350,MAX(1,5*INT(D350/5)))-1)*F350*'参数'!$J$28*P350</x:f>
        <x:v>1645.4365043728462</x:v>
      </x:c>
      <x:c r="P350" s="21" t="n">
        <x:f>MIN(1,(D350-1)/19)</x:f>
        <x:v>1</x:v>
      </x:c>
      <x:c r="Q350" s="18" t="n">
        <x:f>INDEX('角色成长'!$F$6:$F$105,D350)+O350*'参数'!$K$21</x:f>
        <x:v>9323.494037462613</x:v>
      </x:c>
      <x:c r="R350" s="18" t="n">
        <x:f>INDEX('角色成长'!$I$6:$I$105,D350)+O350*'参数'!$K$21</x:f>
        <x:v>8025.494037462612</x:v>
      </x:c>
      <x:c r="S350" s="18" t="n">
        <x:f>INDEX('角色成长'!$L$6:$L$105,D350)+O350*'参数'!$K$21</x:f>
        <x:v>7284.494037462612</x:v>
      </x:c>
      <x:c r="T350" s="18" t="n">
        <x:f>(INDEX('角色成长'!$J$6:$J$105,D350)+O350*'参数'!$L$21)*(1+'参数'!$B$40*P350)</x:f>
        <x:v>107479.55943678491</x:v>
      </x:c>
      <x:c r="U350" s="18" t="n">
        <x:f>(INDEX('角色成长'!$K$6:$K$105,D350)+O350*'参数'!$M$21)*(1+'参数'!$B$41*P350)</x:f>
        <x:v>5817.3652709177295</x:v>
      </x:c>
      <x:c r="V350" s="18" t="n">
        <x:f>(('参数'!$K$5*(((Q350*(1+'参数'!$B$39*P350))^2/((Q350*(1+'参数'!$B$39*P350))+'参数'!$B$22*(I350)))*(1+'参数'!$B$42*P350)/'参数'!$J$5+((Q350*'参数'!$B$43*(1+'参数'!$B$39*P350))^2/((Q350*'参数'!$B$43*(1+'参数'!$B$39*P350))+'参数'!$B$22*(I350)))/'参数'!$B$44))+(((R350*(1+'参数'!$B$39*P350))^2/((R350*(1+'参数'!$B$39*P350))+'参数'!$B$22*(I350)))*(1+'参数'!$B$42*P350)/'参数'!$J$6+((R350*'参数'!$B$45*(1+'参数'!$B$39*P350))^2/((R350*'参数'!$B$45*(1+'参数'!$B$39*P350))+'参数'!$B$22*(I350)))/'参数'!$B$46)+((S350*(1+'参数'!$B$39*P350))^2/((S350*(1+'参数'!$B$39*P350))+'参数'!$B$22*(I350)))*(1+'参数'!$B$42*P350)/'参数'!$J$7)*(1+'参数'!$B$37*('参数'!$B$38-1))*'参数'!$B$25</x:f>
        <x:v>62921.9115191509</x:v>
      </x:c>
      <x:c r="W350" s="18" t="n">
        <x:f>(('参数'!$K$5*(((Q350*(1+'参数'!$B$39*P350))^2/((Q350*(1+'参数'!$B$39*P350))+'参数'!$B$22*(M350)))*(1+'参数'!$B$42*P350)/'参数'!$J$5+((Q350*'参数'!$B$43*(1+'参数'!$B$39*P350))^2/((Q350*'参数'!$B$43*(1+'参数'!$B$39*P350))+'参数'!$B$22*(M350)))/'参数'!$B$44))+(((R350*(1+'参数'!$B$39*P350))^2/((R350*(1+'参数'!$B$39*P350))+'参数'!$B$22*(M350)))*(1+'参数'!$B$42*P350)/'参数'!$J$6+((R350*'参数'!$B$45*(1+'参数'!$B$39*P350))^2/((R350*'参数'!$B$45*(1+'参数'!$B$39*P350))+'参数'!$B$22*(M350)))/'参数'!$B$46)+((S350*(1+'参数'!$B$39*P350))^2/((S350*(1+'参数'!$B$39*P350))+'参数'!$B$22*(M350)))*(1+'参数'!$B$42*P350)/'参数'!$J$7)*(1+'参数'!$B$37*('参数'!$B$38-1))</x:f>
        <x:v>48471.92860891668</x:v>
      </x:c>
      <x:c r="X350" s="25" t="n">
        <x:f>('参数'!$B$26+'参数'!$B$27*(D350-1)/99)*'参数'!$K$28*AD350</x:f>
        <x:v>21.599999999999998</x:v>
      </x:c>
      <x:c r="Y350" s="25" t="n">
        <x:f>('参数'!$B$28+'参数'!$B$29*(D350-1)/99)*'参数'!$K$28*AD350*IF(AE350=1,'参数'!$B$51,1)</x:f>
        <x:v>60</x:v>
      </x:c>
      <x:c r="Z350" s="21" t="n">
        <x:f>MIN('参数'!$B$36,U350/(U350+'参数'!$B$35))</x:f>
        <x:v>0.5925587069832965</x:v>
      </x:c>
      <x:c r="AA350" s="18" t="n">
        <x:f>T350*'参数'!$B$30/('参数'!$B$32*'参数'!$B$33)/(1-Z350)*AC350</x:f>
        <x:v>7254.266897269082</x:v>
      </x:c>
      <x:c r="AB350" s="18" t="n">
        <x:f>T350*'参数'!$B$31/'参数'!$B$34/(1-Z350)*AC350</x:f>
        <x:v>14508.533794538167</x:v>
      </x:c>
      <x:c r="AC350" s="15" t="n">
        <x:f>'参数'!$L$28*1</x:f>
        <x:v>1.1</x:v>
      </x:c>
      <x:c r="AD350" s="15" t="n">
        <x:f>1</x:f>
        <x:v>1</x:v>
      </x:c>
      <x:c r="AE350" s="18" t="n">
        <x:f>IF(MOD(B350,12)=0,1,0)</x:f>
        <x:v>0</x:v>
      </x:c>
    </x:row>
    <x:row r="351" ht="22" customHeight="1">
      <x:c r="A351" s="19" t="str">
        <x:v>噩梦</x:v>
      </x:c>
      <x:c r="B351" s="19" t="n">
        <x:v>106</x:v>
      </x:c>
      <x:c r="C351" s="19" t="n">
        <x:f>ROUNDUP(B351/12,0)</x:f>
        <x:v>9</x:v>
      </x:c>
      <x:c r="D351" s="19" t="n">
        <x:f>ROUND(MAX('参数'!$G$28,E351)+(IF(C351&lt;10,INDEX('参数'!$G$36:$P$36,1,MIN(10,C351+1)),'参数'!$H$28)-MAX('参数'!$G$28,E351))*MOD(B351-1,12)/11,0)</x:f>
        <x:v>100</x:v>
      </x:c>
      <x:c r="E351" s="19" t="n">
        <x:f>INDEX('参数'!$G$36:$P$36,1,C351)</x:f>
        <x:v>100</x:v>
      </x:c>
      <x:c r="F351" s="20" t="n">
        <x:f>'参数'!$I$28</x:f>
        <x:v>1.16</x:v>
      </x:c>
      <x:c r="G351" s="19" t="n">
        <x:f>ROUND(V351*X351/'参数'!$B$56,0)</x:f>
        <x:v>295459</x:v>
      </x:c>
      <x:c r="H351" s="19" t="n">
        <x:f>ROUND((AA351+SQRT(AA351^2+4*AA351*'参数'!$B$22*U351))/2,0)</x:f>
        <x:v>11745</x:v>
      </x:c>
      <x:c r="I351" s="19" t="n">
        <x:f>ROUND(Q351*'参数'!$B$23/'参数'!$B$22,0)</x:f>
        <x:v>1865</x:v>
      </x:c>
      <x:c r="J351" s="19" t="n">
        <x:f>ROUND(G351*'参数'!$B$50,0)</x:f>
        <x:v>886377</x:v>
      </x:c>
      <x:c r="K351" s="19" t="n">
        <x:f>ROUND(W351*Y351,0)</x:f>
        <x:v>2908316</x:v>
      </x:c>
      <x:c r="L351" s="19" t="n">
        <x:f>ROUND((AB351+SQRT(AB351^2+4*AB351*'参数'!$B$22*U351))/2,0)</x:f>
        <x:v>19829</x:v>
      </x:c>
      <x:c r="M351" s="19" t="n">
        <x:f>ROUND(I351*'参数'!$B$24,0)</x:f>
        <x:v>2331</x:v>
      </x:c>
      <x:c r="N351" s="19" t="n">
        <x:f>'参数'!$B$9*'参数'!$B$10^(D351-1)</x:f>
        <x:v>11195.319600498813</x:v>
      </x:c>
      <x:c r="O351" s="19" t="n">
        <x:f>'参数'!$B$18*'参数'!$B$19^(MIN(E351,MAX(1,5*INT(D351/5)))-1)*F351*'参数'!$J$28*P351</x:f>
        <x:v>1645.4365043728462</x:v>
      </x:c>
      <x:c r="P351" s="22" t="n">
        <x:f>MIN(1,(D351-1)/19)</x:f>
        <x:v>1</x:v>
      </x:c>
      <x:c r="Q351" s="19" t="n">
        <x:f>INDEX('角色成长'!$F$6:$F$105,D351)+O351*'参数'!$K$21</x:f>
        <x:v>9323.494037462613</x:v>
      </x:c>
      <x:c r="R351" s="19" t="n">
        <x:f>INDEX('角色成长'!$I$6:$I$105,D351)+O351*'参数'!$K$21</x:f>
        <x:v>8025.494037462612</x:v>
      </x:c>
      <x:c r="S351" s="19" t="n">
        <x:f>INDEX('角色成长'!$L$6:$L$105,D351)+O351*'参数'!$K$21</x:f>
        <x:v>7284.494037462612</x:v>
      </x:c>
      <x:c r="T351" s="19" t="n">
        <x:f>(INDEX('角色成长'!$J$6:$J$105,D351)+O351*'参数'!$L$21)*(1+'参数'!$B$40*P351)</x:f>
        <x:v>107479.55943678491</x:v>
      </x:c>
      <x:c r="U351" s="19" t="n">
        <x:f>(INDEX('角色成长'!$K$6:$K$105,D351)+O351*'参数'!$M$21)*(1+'参数'!$B$41*P351)</x:f>
        <x:v>5817.3652709177295</x:v>
      </x:c>
      <x:c r="V351" s="19" t="n">
        <x:f>(('参数'!$K$5*(((Q351*(1+'参数'!$B$39*P351))^2/((Q351*(1+'参数'!$B$39*P351))+'参数'!$B$22*(I351)))*(1+'参数'!$B$42*P351)/'参数'!$J$5+((Q351*'参数'!$B$43*(1+'参数'!$B$39*P351))^2/((Q351*'参数'!$B$43*(1+'参数'!$B$39*P351))+'参数'!$B$22*(I351)))/'参数'!$B$44))+(((R351*(1+'参数'!$B$39*P351))^2/((R351*(1+'参数'!$B$39*P351))+'参数'!$B$22*(I351)))*(1+'参数'!$B$42*P351)/'参数'!$J$6+((R351*'参数'!$B$45*(1+'参数'!$B$39*P351))^2/((R351*'参数'!$B$45*(1+'参数'!$B$39*P351))+'参数'!$B$22*(I351)))/'参数'!$B$46)+((S351*(1+'参数'!$B$39*P351))^2/((S351*(1+'参数'!$B$39*P351))+'参数'!$B$22*(I351)))*(1+'参数'!$B$42*P351)/'参数'!$J$7)*(1+'参数'!$B$37*('参数'!$B$38-1))*'参数'!$B$25</x:f>
        <x:v>62921.9115191509</x:v>
      </x:c>
      <x:c r="W351" s="19" t="n">
        <x:f>(('参数'!$K$5*(((Q351*(1+'参数'!$B$39*P351))^2/((Q351*(1+'参数'!$B$39*P351))+'参数'!$B$22*(M351)))*(1+'参数'!$B$42*P351)/'参数'!$J$5+((Q351*'参数'!$B$43*(1+'参数'!$B$39*P351))^2/((Q351*'参数'!$B$43*(1+'参数'!$B$39*P351))+'参数'!$B$22*(M351)))/'参数'!$B$44))+(((R351*(1+'参数'!$B$39*P351))^2/((R351*(1+'参数'!$B$39*P351))+'参数'!$B$22*(M351)))*(1+'参数'!$B$42*P351)/'参数'!$J$6+((R351*'参数'!$B$45*(1+'参数'!$B$39*P351))^2/((R351*'参数'!$B$45*(1+'参数'!$B$39*P351))+'参数'!$B$22*(M351)))/'参数'!$B$46)+((S351*(1+'参数'!$B$39*P351))^2/((S351*(1+'参数'!$B$39*P351))+'参数'!$B$22*(M351)))*(1+'参数'!$B$42*P351)/'参数'!$J$7)*(1+'参数'!$B$37*('参数'!$B$38-1))</x:f>
        <x:v>48471.92860891668</x:v>
      </x:c>
      <x:c r="X351" s="26" t="n">
        <x:f>('参数'!$B$26+'参数'!$B$27*(D351-1)/99)*'参数'!$K$28*AD351</x:f>
        <x:v>21.599999999999998</x:v>
      </x:c>
      <x:c r="Y351" s="26" t="n">
        <x:f>('参数'!$B$28+'参数'!$B$29*(D351-1)/99)*'参数'!$K$28*AD351*IF(AE351=1,'参数'!$B$51,1)</x:f>
        <x:v>60</x:v>
      </x:c>
      <x:c r="Z351" s="22" t="n">
        <x:f>MIN('参数'!$B$36,U351/(U351+'参数'!$B$35))</x:f>
        <x:v>0.5925587069832965</x:v>
      </x:c>
      <x:c r="AA351" s="19" t="n">
        <x:f>T351*'参数'!$B$30/('参数'!$B$32*'参数'!$B$33)/(1-Z351)*AC351</x:f>
        <x:v>7254.266897269082</x:v>
      </x:c>
      <x:c r="AB351" s="19" t="n">
        <x:f>T351*'参数'!$B$31/'参数'!$B$34/(1-Z351)*AC351</x:f>
        <x:v>14508.533794538167</x:v>
      </x:c>
      <x:c r="AC351" s="20" t="n">
        <x:f>'参数'!$L$28*1</x:f>
        <x:v>1.1</x:v>
      </x:c>
      <x:c r="AD351" s="20" t="n">
        <x:f>1</x:f>
        <x:v>1</x:v>
      </x:c>
      <x:c r="AE351" s="19" t="n">
        <x:f>IF(MOD(B351,12)=0,1,0)</x:f>
        <x:v>0</x:v>
      </x:c>
    </x:row>
    <x:row r="352" ht="22" customHeight="1">
      <x:c r="A352" s="18" t="str">
        <x:v>噩梦</x:v>
      </x:c>
      <x:c r="B352" s="18" t="n">
        <x:v>107</x:v>
      </x:c>
      <x:c r="C352" s="18" t="n">
        <x:f>ROUNDUP(B352/12,0)</x:f>
        <x:v>9</x:v>
      </x:c>
      <x:c r="D352" s="18" t="n">
        <x:f>ROUND(MAX('参数'!$G$28,E352)+(IF(C352&lt;10,INDEX('参数'!$G$36:$P$36,1,MIN(10,C352+1)),'参数'!$H$28)-MAX('参数'!$G$28,E352))*MOD(B352-1,12)/11,0)</x:f>
        <x:v>100</x:v>
      </x:c>
      <x:c r="E352" s="18" t="n">
        <x:f>INDEX('参数'!$G$36:$P$36,1,C352)</x:f>
        <x:v>100</x:v>
      </x:c>
      <x:c r="F352" s="15" t="n">
        <x:f>'参数'!$I$28</x:f>
        <x:v>1.16</x:v>
      </x:c>
      <x:c r="G352" s="18" t="n">
        <x:f>ROUND(V352*X352/'参数'!$B$56,0)</x:f>
        <x:v>295459</x:v>
      </x:c>
      <x:c r="H352" s="18" t="n">
        <x:f>ROUND((AA352+SQRT(AA352^2+4*AA352*'参数'!$B$22*U352))/2,0)</x:f>
        <x:v>11745</x:v>
      </x:c>
      <x:c r="I352" s="18" t="n">
        <x:f>ROUND(Q352*'参数'!$B$23/'参数'!$B$22,0)</x:f>
        <x:v>1865</x:v>
      </x:c>
      <x:c r="J352" s="18" t="n">
        <x:f>ROUND(G352*'参数'!$B$50,0)</x:f>
        <x:v>886377</x:v>
      </x:c>
      <x:c r="K352" s="18" t="n">
        <x:f>ROUND(W352*Y352,0)</x:f>
        <x:v>2908316</x:v>
      </x:c>
      <x:c r="L352" s="18" t="n">
        <x:f>ROUND((AB352+SQRT(AB352^2+4*AB352*'参数'!$B$22*U352))/2,0)</x:f>
        <x:v>19829</x:v>
      </x:c>
      <x:c r="M352" s="18" t="n">
        <x:f>ROUND(I352*'参数'!$B$24,0)</x:f>
        <x:v>2331</x:v>
      </x:c>
      <x:c r="N352" s="18" t="n">
        <x:f>'参数'!$B$9*'参数'!$B$10^(D352-1)</x:f>
        <x:v>11195.319600498813</x:v>
      </x:c>
      <x:c r="O352" s="18" t="n">
        <x:f>'参数'!$B$18*'参数'!$B$19^(MIN(E352,MAX(1,5*INT(D352/5)))-1)*F352*'参数'!$J$28*P352</x:f>
        <x:v>1645.4365043728462</x:v>
      </x:c>
      <x:c r="P352" s="21" t="n">
        <x:f>MIN(1,(D352-1)/19)</x:f>
        <x:v>1</x:v>
      </x:c>
      <x:c r="Q352" s="18" t="n">
        <x:f>INDEX('角色成长'!$F$6:$F$105,D352)+O352*'参数'!$K$21</x:f>
        <x:v>9323.494037462613</x:v>
      </x:c>
      <x:c r="R352" s="18" t="n">
        <x:f>INDEX('角色成长'!$I$6:$I$105,D352)+O352*'参数'!$K$21</x:f>
        <x:v>8025.494037462612</x:v>
      </x:c>
      <x:c r="S352" s="18" t="n">
        <x:f>INDEX('角色成长'!$L$6:$L$105,D352)+O352*'参数'!$K$21</x:f>
        <x:v>7284.494037462612</x:v>
      </x:c>
      <x:c r="T352" s="18" t="n">
        <x:f>(INDEX('角色成长'!$J$6:$J$105,D352)+O352*'参数'!$L$21)*(1+'参数'!$B$40*P352)</x:f>
        <x:v>107479.55943678491</x:v>
      </x:c>
      <x:c r="U352" s="18" t="n">
        <x:f>(INDEX('角色成长'!$K$6:$K$105,D352)+O352*'参数'!$M$21)*(1+'参数'!$B$41*P352)</x:f>
        <x:v>5817.3652709177295</x:v>
      </x:c>
      <x:c r="V352" s="18" t="n">
        <x:f>(('参数'!$K$5*(((Q352*(1+'参数'!$B$39*P352))^2/((Q352*(1+'参数'!$B$39*P352))+'参数'!$B$22*(I352)))*(1+'参数'!$B$42*P352)/'参数'!$J$5+((Q352*'参数'!$B$43*(1+'参数'!$B$39*P352))^2/((Q352*'参数'!$B$43*(1+'参数'!$B$39*P352))+'参数'!$B$22*(I352)))/'参数'!$B$44))+(((R352*(1+'参数'!$B$39*P352))^2/((R352*(1+'参数'!$B$39*P352))+'参数'!$B$22*(I352)))*(1+'参数'!$B$42*P352)/'参数'!$J$6+((R352*'参数'!$B$45*(1+'参数'!$B$39*P352))^2/((R352*'参数'!$B$45*(1+'参数'!$B$39*P352))+'参数'!$B$22*(I352)))/'参数'!$B$46)+((S352*(1+'参数'!$B$39*P352))^2/((S352*(1+'参数'!$B$39*P352))+'参数'!$B$22*(I352)))*(1+'参数'!$B$42*P352)/'参数'!$J$7)*(1+'参数'!$B$37*('参数'!$B$38-1))*'参数'!$B$25</x:f>
        <x:v>62921.9115191509</x:v>
      </x:c>
      <x:c r="W352" s="18" t="n">
        <x:f>(('参数'!$K$5*(((Q352*(1+'参数'!$B$39*P352))^2/((Q352*(1+'参数'!$B$39*P352))+'参数'!$B$22*(M352)))*(1+'参数'!$B$42*P352)/'参数'!$J$5+((Q352*'参数'!$B$43*(1+'参数'!$B$39*P352))^2/((Q352*'参数'!$B$43*(1+'参数'!$B$39*P352))+'参数'!$B$22*(M352)))/'参数'!$B$44))+(((R352*(1+'参数'!$B$39*P352))^2/((R352*(1+'参数'!$B$39*P352))+'参数'!$B$22*(M352)))*(1+'参数'!$B$42*P352)/'参数'!$J$6+((R352*'参数'!$B$45*(1+'参数'!$B$39*P352))^2/((R352*'参数'!$B$45*(1+'参数'!$B$39*P352))+'参数'!$B$22*(M352)))/'参数'!$B$46)+((S352*(1+'参数'!$B$39*P352))^2/((S352*(1+'参数'!$B$39*P352))+'参数'!$B$22*(M352)))*(1+'参数'!$B$42*P352)/'参数'!$J$7)*(1+'参数'!$B$37*('参数'!$B$38-1))</x:f>
        <x:v>48471.92860891668</x:v>
      </x:c>
      <x:c r="X352" s="25" t="n">
        <x:f>('参数'!$B$26+'参数'!$B$27*(D352-1)/99)*'参数'!$K$28*AD352</x:f>
        <x:v>21.599999999999998</x:v>
      </x:c>
      <x:c r="Y352" s="25" t="n">
        <x:f>('参数'!$B$28+'参数'!$B$29*(D352-1)/99)*'参数'!$K$28*AD352*IF(AE352=1,'参数'!$B$51,1)</x:f>
        <x:v>60</x:v>
      </x:c>
      <x:c r="Z352" s="21" t="n">
        <x:f>MIN('参数'!$B$36,U352/(U352+'参数'!$B$35))</x:f>
        <x:v>0.5925587069832965</x:v>
      </x:c>
      <x:c r="AA352" s="18" t="n">
        <x:f>T352*'参数'!$B$30/('参数'!$B$32*'参数'!$B$33)/(1-Z352)*AC352</x:f>
        <x:v>7254.266897269082</x:v>
      </x:c>
      <x:c r="AB352" s="18" t="n">
        <x:f>T352*'参数'!$B$31/'参数'!$B$34/(1-Z352)*AC352</x:f>
        <x:v>14508.533794538167</x:v>
      </x:c>
      <x:c r="AC352" s="15" t="n">
        <x:f>'参数'!$L$28*1</x:f>
        <x:v>1.1</x:v>
      </x:c>
      <x:c r="AD352" s="15" t="n">
        <x:f>1</x:f>
        <x:v>1</x:v>
      </x:c>
      <x:c r="AE352" s="18" t="n">
        <x:f>IF(MOD(B352,12)=0,1,0)</x:f>
        <x:v>0</x:v>
      </x:c>
    </x:row>
    <x:row r="353" ht="22" customHeight="1">
      <x:c r="A353" s="19" t="str">
        <x:v>噩梦</x:v>
      </x:c>
      <x:c r="B353" s="19" t="n">
        <x:v>108</x:v>
      </x:c>
      <x:c r="C353" s="19" t="n">
        <x:f>ROUNDUP(B353/12,0)</x:f>
        <x:v>9</x:v>
      </x:c>
      <x:c r="D353" s="19" t="n">
        <x:f>ROUND(MAX('参数'!$G$28,E353)+(IF(C353&lt;10,INDEX('参数'!$G$36:$P$36,1,MIN(10,C353+1)),'参数'!$H$28)-MAX('参数'!$G$28,E353))*MOD(B353-1,12)/11,0)</x:f>
        <x:v>100</x:v>
      </x:c>
      <x:c r="E353" s="19" t="n">
        <x:f>INDEX('参数'!$G$36:$P$36,1,C353)</x:f>
        <x:v>100</x:v>
      </x:c>
      <x:c r="F353" s="20" t="n">
        <x:f>'参数'!$I$28</x:f>
        <x:v>1.16</x:v>
      </x:c>
      <x:c r="G353" s="19" t="n">
        <x:f>ROUND(V353*X353/'参数'!$B$56,0)</x:f>
        <x:v>295459</x:v>
      </x:c>
      <x:c r="H353" s="19" t="n">
        <x:f>ROUND((AA353+SQRT(AA353^2+4*AA353*'参数'!$B$22*U353))/2,0)</x:f>
        <x:v>11745</x:v>
      </x:c>
      <x:c r="I353" s="19" t="n">
        <x:f>ROUND(Q353*'参数'!$B$23/'参数'!$B$22,0)</x:f>
        <x:v>1865</x:v>
      </x:c>
      <x:c r="J353" s="19" t="n">
        <x:f>ROUND(G353*'参数'!$B$50,0)</x:f>
        <x:v>886377</x:v>
      </x:c>
      <x:c r="K353" s="19" t="n">
        <x:f>ROUND(W353*Y353,0)</x:f>
        <x:v>3344563</x:v>
      </x:c>
      <x:c r="L353" s="19" t="n">
        <x:f>ROUND((AB353+SQRT(AB353^2+4*AB353*'参数'!$B$22*U353))/2,0)</x:f>
        <x:v>19829</x:v>
      </x:c>
      <x:c r="M353" s="19" t="n">
        <x:f>ROUND(I353*'参数'!$B$24,0)</x:f>
        <x:v>2331</x:v>
      </x:c>
      <x:c r="N353" s="19" t="n">
        <x:f>'参数'!$B$9*'参数'!$B$10^(D353-1)</x:f>
        <x:v>11195.319600498813</x:v>
      </x:c>
      <x:c r="O353" s="19" t="n">
        <x:f>'参数'!$B$18*'参数'!$B$19^(MIN(E353,MAX(1,5*INT(D353/5)))-1)*F353*'参数'!$J$28*P353</x:f>
        <x:v>1645.4365043728462</x:v>
      </x:c>
      <x:c r="P353" s="22" t="n">
        <x:f>MIN(1,(D353-1)/19)</x:f>
        <x:v>1</x:v>
      </x:c>
      <x:c r="Q353" s="19" t="n">
        <x:f>INDEX('角色成长'!$F$6:$F$105,D353)+O353*'参数'!$K$21</x:f>
        <x:v>9323.494037462613</x:v>
      </x:c>
      <x:c r="R353" s="19" t="n">
        <x:f>INDEX('角色成长'!$I$6:$I$105,D353)+O353*'参数'!$K$21</x:f>
        <x:v>8025.494037462612</x:v>
      </x:c>
      <x:c r="S353" s="19" t="n">
        <x:f>INDEX('角色成长'!$L$6:$L$105,D353)+O353*'参数'!$K$21</x:f>
        <x:v>7284.494037462612</x:v>
      </x:c>
      <x:c r="T353" s="19" t="n">
        <x:f>(INDEX('角色成长'!$J$6:$J$105,D353)+O353*'参数'!$L$21)*(1+'参数'!$B$40*P353)</x:f>
        <x:v>107479.55943678491</x:v>
      </x:c>
      <x:c r="U353" s="19" t="n">
        <x:f>(INDEX('角色成长'!$K$6:$K$105,D353)+O353*'参数'!$M$21)*(1+'参数'!$B$41*P353)</x:f>
        <x:v>5817.3652709177295</x:v>
      </x:c>
      <x:c r="V353" s="19" t="n">
        <x:f>(('参数'!$K$5*(((Q353*(1+'参数'!$B$39*P353))^2/((Q353*(1+'参数'!$B$39*P353))+'参数'!$B$22*(I353)))*(1+'参数'!$B$42*P353)/'参数'!$J$5+((Q353*'参数'!$B$43*(1+'参数'!$B$39*P353))^2/((Q353*'参数'!$B$43*(1+'参数'!$B$39*P353))+'参数'!$B$22*(I353)))/'参数'!$B$44))+(((R353*(1+'参数'!$B$39*P353))^2/((R353*(1+'参数'!$B$39*P353))+'参数'!$B$22*(I353)))*(1+'参数'!$B$42*P353)/'参数'!$J$6+((R353*'参数'!$B$45*(1+'参数'!$B$39*P353))^2/((R353*'参数'!$B$45*(1+'参数'!$B$39*P353))+'参数'!$B$22*(I353)))/'参数'!$B$46)+((S353*(1+'参数'!$B$39*P353))^2/((S353*(1+'参数'!$B$39*P353))+'参数'!$B$22*(I353)))*(1+'参数'!$B$42*P353)/'参数'!$J$7)*(1+'参数'!$B$37*('参数'!$B$38-1))*'参数'!$B$25</x:f>
        <x:v>62921.9115191509</x:v>
      </x:c>
      <x:c r="W353" s="19" t="n">
        <x:f>(('参数'!$K$5*(((Q353*(1+'参数'!$B$39*P353))^2/((Q353*(1+'参数'!$B$39*P353))+'参数'!$B$22*(M353)))*(1+'参数'!$B$42*P353)/'参数'!$J$5+((Q353*'参数'!$B$43*(1+'参数'!$B$39*P353))^2/((Q353*'参数'!$B$43*(1+'参数'!$B$39*P353))+'参数'!$B$22*(M353)))/'参数'!$B$44))+(((R353*(1+'参数'!$B$39*P353))^2/((R353*(1+'参数'!$B$39*P353))+'参数'!$B$22*(M353)))*(1+'参数'!$B$42*P353)/'参数'!$J$6+((R353*'参数'!$B$45*(1+'参数'!$B$39*P353))^2/((R353*'参数'!$B$45*(1+'参数'!$B$39*P353))+'参数'!$B$22*(M353)))/'参数'!$B$46)+((S353*(1+'参数'!$B$39*P353))^2/((S353*(1+'参数'!$B$39*P353))+'参数'!$B$22*(M353)))*(1+'参数'!$B$42*P353)/'参数'!$J$7)*(1+'参数'!$B$37*('参数'!$B$38-1))</x:f>
        <x:v>48471.92860891668</x:v>
      </x:c>
      <x:c r="X353" s="26" t="n">
        <x:f>('参数'!$B$26+'参数'!$B$27*(D353-1)/99)*'参数'!$K$28*AD353</x:f>
        <x:v>21.599999999999998</x:v>
      </x:c>
      <x:c r="Y353" s="26" t="n">
        <x:f>('参数'!$B$28+'参数'!$B$29*(D353-1)/99)*'参数'!$K$28*AD353*IF(AE353=1,'参数'!$B$51,1)</x:f>
        <x:v>69</x:v>
      </x:c>
      <x:c r="Z353" s="22" t="n">
        <x:f>MIN('参数'!$B$36,U353/(U353+'参数'!$B$35))</x:f>
        <x:v>0.5925587069832965</x:v>
      </x:c>
      <x:c r="AA353" s="19" t="n">
        <x:f>T353*'参数'!$B$30/('参数'!$B$32*'参数'!$B$33)/(1-Z353)*AC353</x:f>
        <x:v>7254.266897269082</x:v>
      </x:c>
      <x:c r="AB353" s="19" t="n">
        <x:f>T353*'参数'!$B$31/'参数'!$B$34/(1-Z353)*AC353</x:f>
        <x:v>14508.533794538167</x:v>
      </x:c>
      <x:c r="AC353" s="20" t="n">
        <x:f>'参数'!$L$28*1</x:f>
        <x:v>1.1</x:v>
      </x:c>
      <x:c r="AD353" s="20" t="n">
        <x:f>1</x:f>
        <x:v>1</x:v>
      </x:c>
      <x:c r="AE353" s="19" t="n">
        <x:f>IF(MOD(B353,12)=0,1,0)</x:f>
        <x:v>1</x:v>
      </x:c>
    </x:row>
    <x:row r="354" ht="22" customHeight="1">
      <x:c r="A354" s="18" t="str">
        <x:v>噩梦</x:v>
      </x:c>
      <x:c r="B354" s="18" t="n">
        <x:v>109</x:v>
      </x:c>
      <x:c r="C354" s="18" t="n">
        <x:f>ROUNDUP(B354/12,0)</x:f>
        <x:v>10</x:v>
      </x:c>
      <x:c r="D354" s="18" t="n">
        <x:f>ROUND(MAX('参数'!$G$28,E354)+(IF(C354&lt;10,INDEX('参数'!$G$36:$P$36,1,MIN(10,C354+1)),'参数'!$H$28)-MAX('参数'!$G$28,E354))*MOD(B354-1,12)/11,0)</x:f>
        <x:v>100</x:v>
      </x:c>
      <x:c r="E354" s="18" t="n">
        <x:f>INDEX('参数'!$G$36:$P$36,1,C354)</x:f>
        <x:v>100</x:v>
      </x:c>
      <x:c r="F354" s="15" t="n">
        <x:f>'参数'!$I$28</x:f>
        <x:v>1.16</x:v>
      </x:c>
      <x:c r="G354" s="18" t="n">
        <x:f>ROUND(V354*X354/'参数'!$B$56,0)</x:f>
        <x:v>295459</x:v>
      </x:c>
      <x:c r="H354" s="18" t="n">
        <x:f>ROUND((AA354+SQRT(AA354^2+4*AA354*'参数'!$B$22*U354))/2,0)</x:f>
        <x:v>11745</x:v>
      </x:c>
      <x:c r="I354" s="18" t="n">
        <x:f>ROUND(Q354*'参数'!$B$23/'参数'!$B$22,0)</x:f>
        <x:v>1865</x:v>
      </x:c>
      <x:c r="J354" s="18" t="n">
        <x:f>ROUND(G354*'参数'!$B$50,0)</x:f>
        <x:v>886377</x:v>
      </x:c>
      <x:c r="K354" s="18" t="n">
        <x:f>ROUND(W354*Y354,0)</x:f>
        <x:v>2908316</x:v>
      </x:c>
      <x:c r="L354" s="18" t="n">
        <x:f>ROUND((AB354+SQRT(AB354^2+4*AB354*'参数'!$B$22*U354))/2,0)</x:f>
        <x:v>19829</x:v>
      </x:c>
      <x:c r="M354" s="18" t="n">
        <x:f>ROUND(I354*'参数'!$B$24,0)</x:f>
        <x:v>2331</x:v>
      </x:c>
      <x:c r="N354" s="18" t="n">
        <x:f>'参数'!$B$9*'参数'!$B$10^(D354-1)</x:f>
        <x:v>11195.319600498813</x:v>
      </x:c>
      <x:c r="O354" s="18" t="n">
        <x:f>'参数'!$B$18*'参数'!$B$19^(MIN(E354,MAX(1,5*INT(D354/5)))-1)*F354*'参数'!$J$28*P354</x:f>
        <x:v>1645.4365043728462</x:v>
      </x:c>
      <x:c r="P354" s="21" t="n">
        <x:f>MIN(1,(D354-1)/19)</x:f>
        <x:v>1</x:v>
      </x:c>
      <x:c r="Q354" s="18" t="n">
        <x:f>INDEX('角色成长'!$F$6:$F$105,D354)+O354*'参数'!$K$21</x:f>
        <x:v>9323.494037462613</x:v>
      </x:c>
      <x:c r="R354" s="18" t="n">
        <x:f>INDEX('角色成长'!$I$6:$I$105,D354)+O354*'参数'!$K$21</x:f>
        <x:v>8025.494037462612</x:v>
      </x:c>
      <x:c r="S354" s="18" t="n">
        <x:f>INDEX('角色成长'!$L$6:$L$105,D354)+O354*'参数'!$K$21</x:f>
        <x:v>7284.494037462612</x:v>
      </x:c>
      <x:c r="T354" s="18" t="n">
        <x:f>(INDEX('角色成长'!$J$6:$J$105,D354)+O354*'参数'!$L$21)*(1+'参数'!$B$40*P354)</x:f>
        <x:v>107479.55943678491</x:v>
      </x:c>
      <x:c r="U354" s="18" t="n">
        <x:f>(INDEX('角色成长'!$K$6:$K$105,D354)+O354*'参数'!$M$21)*(1+'参数'!$B$41*P354)</x:f>
        <x:v>5817.3652709177295</x:v>
      </x:c>
      <x:c r="V354" s="18" t="n">
        <x:f>(('参数'!$K$5*(((Q354*(1+'参数'!$B$39*P354))^2/((Q354*(1+'参数'!$B$39*P354))+'参数'!$B$22*(I354)))*(1+'参数'!$B$42*P354)/'参数'!$J$5+((Q354*'参数'!$B$43*(1+'参数'!$B$39*P354))^2/((Q354*'参数'!$B$43*(1+'参数'!$B$39*P354))+'参数'!$B$22*(I354)))/'参数'!$B$44))+(((R354*(1+'参数'!$B$39*P354))^2/((R354*(1+'参数'!$B$39*P354))+'参数'!$B$22*(I354)))*(1+'参数'!$B$42*P354)/'参数'!$J$6+((R354*'参数'!$B$45*(1+'参数'!$B$39*P354))^2/((R354*'参数'!$B$45*(1+'参数'!$B$39*P354))+'参数'!$B$22*(I354)))/'参数'!$B$46)+((S354*(1+'参数'!$B$39*P354))^2/((S354*(1+'参数'!$B$39*P354))+'参数'!$B$22*(I354)))*(1+'参数'!$B$42*P354)/'参数'!$J$7)*(1+'参数'!$B$37*('参数'!$B$38-1))*'参数'!$B$25</x:f>
        <x:v>62921.9115191509</x:v>
      </x:c>
      <x:c r="W354" s="18" t="n">
        <x:f>(('参数'!$K$5*(((Q354*(1+'参数'!$B$39*P354))^2/((Q354*(1+'参数'!$B$39*P354))+'参数'!$B$22*(M354)))*(1+'参数'!$B$42*P354)/'参数'!$J$5+((Q354*'参数'!$B$43*(1+'参数'!$B$39*P354))^2/((Q354*'参数'!$B$43*(1+'参数'!$B$39*P354))+'参数'!$B$22*(M354)))/'参数'!$B$44))+(((R354*(1+'参数'!$B$39*P354))^2/((R354*(1+'参数'!$B$39*P354))+'参数'!$B$22*(M354)))*(1+'参数'!$B$42*P354)/'参数'!$J$6+((R354*'参数'!$B$45*(1+'参数'!$B$39*P354))^2/((R354*'参数'!$B$45*(1+'参数'!$B$39*P354))+'参数'!$B$22*(M354)))/'参数'!$B$46)+((S354*(1+'参数'!$B$39*P354))^2/((S354*(1+'参数'!$B$39*P354))+'参数'!$B$22*(M354)))*(1+'参数'!$B$42*P354)/'参数'!$J$7)*(1+'参数'!$B$37*('参数'!$B$38-1))</x:f>
        <x:v>48471.92860891668</x:v>
      </x:c>
      <x:c r="X354" s="25" t="n">
        <x:f>('参数'!$B$26+'参数'!$B$27*(D354-1)/99)*'参数'!$K$28*AD354</x:f>
        <x:v>21.599999999999998</x:v>
      </x:c>
      <x:c r="Y354" s="25" t="n">
        <x:f>('参数'!$B$28+'参数'!$B$29*(D354-1)/99)*'参数'!$K$28*AD354*IF(AE354=1,'参数'!$B$51,1)</x:f>
        <x:v>60</x:v>
      </x:c>
      <x:c r="Z354" s="21" t="n">
        <x:f>MIN('参数'!$B$36,U354/(U354+'参数'!$B$35))</x:f>
        <x:v>0.5925587069832965</x:v>
      </x:c>
      <x:c r="AA354" s="18" t="n">
        <x:f>T354*'参数'!$B$30/('参数'!$B$32*'参数'!$B$33)/(1-Z354)*AC354</x:f>
        <x:v>7254.266897269082</x:v>
      </x:c>
      <x:c r="AB354" s="18" t="n">
        <x:f>T354*'参数'!$B$31/'参数'!$B$34/(1-Z354)*AC354</x:f>
        <x:v>14508.533794538167</x:v>
      </x:c>
      <x:c r="AC354" s="15" t="n">
        <x:f>'参数'!$L$28*1</x:f>
        <x:v>1.1</x:v>
      </x:c>
      <x:c r="AD354" s="15" t="n">
        <x:f>1</x:f>
        <x:v>1</x:v>
      </x:c>
      <x:c r="AE354" s="18" t="n">
        <x:f>IF(MOD(B354,12)=0,1,0)</x:f>
        <x:v>0</x:v>
      </x:c>
    </x:row>
    <x:row r="355" ht="22" customHeight="1">
      <x:c r="A355" s="19" t="str">
        <x:v>噩梦</x:v>
      </x:c>
      <x:c r="B355" s="19" t="n">
        <x:v>110</x:v>
      </x:c>
      <x:c r="C355" s="19" t="n">
        <x:f>ROUNDUP(B355/12,0)</x:f>
        <x:v>10</x:v>
      </x:c>
      <x:c r="D355" s="19" t="n">
        <x:f>ROUND(MAX('参数'!$G$28,E355)+(IF(C355&lt;10,INDEX('参数'!$G$36:$P$36,1,MIN(10,C355+1)),'参数'!$H$28)-MAX('参数'!$G$28,E355))*MOD(B355-1,12)/11,0)</x:f>
        <x:v>100</x:v>
      </x:c>
      <x:c r="E355" s="19" t="n">
        <x:f>INDEX('参数'!$G$36:$P$36,1,C355)</x:f>
        <x:v>100</x:v>
      </x:c>
      <x:c r="F355" s="20" t="n">
        <x:f>'参数'!$I$28</x:f>
        <x:v>1.16</x:v>
      </x:c>
      <x:c r="G355" s="19" t="n">
        <x:f>ROUND(V355*X355/'参数'!$B$56,0)</x:f>
        <x:v>295459</x:v>
      </x:c>
      <x:c r="H355" s="19" t="n">
        <x:f>ROUND((AA355+SQRT(AA355^2+4*AA355*'参数'!$B$22*U355))/2,0)</x:f>
        <x:v>11745</x:v>
      </x:c>
      <x:c r="I355" s="19" t="n">
        <x:f>ROUND(Q355*'参数'!$B$23/'参数'!$B$22,0)</x:f>
        <x:v>1865</x:v>
      </x:c>
      <x:c r="J355" s="19" t="n">
        <x:f>ROUND(G355*'参数'!$B$50,0)</x:f>
        <x:v>886377</x:v>
      </x:c>
      <x:c r="K355" s="19" t="n">
        <x:f>ROUND(W355*Y355,0)</x:f>
        <x:v>2908316</x:v>
      </x:c>
      <x:c r="L355" s="19" t="n">
        <x:f>ROUND((AB355+SQRT(AB355^2+4*AB355*'参数'!$B$22*U355))/2,0)</x:f>
        <x:v>19829</x:v>
      </x:c>
      <x:c r="M355" s="19" t="n">
        <x:f>ROUND(I355*'参数'!$B$24,0)</x:f>
        <x:v>2331</x:v>
      </x:c>
      <x:c r="N355" s="19" t="n">
        <x:f>'参数'!$B$9*'参数'!$B$10^(D355-1)</x:f>
        <x:v>11195.319600498813</x:v>
      </x:c>
      <x:c r="O355" s="19" t="n">
        <x:f>'参数'!$B$18*'参数'!$B$19^(MIN(E355,MAX(1,5*INT(D355/5)))-1)*F355*'参数'!$J$28*P355</x:f>
        <x:v>1645.4365043728462</x:v>
      </x:c>
      <x:c r="P355" s="22" t="n">
        <x:f>MIN(1,(D355-1)/19)</x:f>
        <x:v>1</x:v>
      </x:c>
      <x:c r="Q355" s="19" t="n">
        <x:f>INDEX('角色成长'!$F$6:$F$105,D355)+O355*'参数'!$K$21</x:f>
        <x:v>9323.494037462613</x:v>
      </x:c>
      <x:c r="R355" s="19" t="n">
        <x:f>INDEX('角色成长'!$I$6:$I$105,D355)+O355*'参数'!$K$21</x:f>
        <x:v>8025.494037462612</x:v>
      </x:c>
      <x:c r="S355" s="19" t="n">
        <x:f>INDEX('角色成长'!$L$6:$L$105,D355)+O355*'参数'!$K$21</x:f>
        <x:v>7284.494037462612</x:v>
      </x:c>
      <x:c r="T355" s="19" t="n">
        <x:f>(INDEX('角色成长'!$J$6:$J$105,D355)+O355*'参数'!$L$21)*(1+'参数'!$B$40*P355)</x:f>
        <x:v>107479.55943678491</x:v>
      </x:c>
      <x:c r="U355" s="19" t="n">
        <x:f>(INDEX('角色成长'!$K$6:$K$105,D355)+O355*'参数'!$M$21)*(1+'参数'!$B$41*P355)</x:f>
        <x:v>5817.3652709177295</x:v>
      </x:c>
      <x:c r="V355" s="19" t="n">
        <x:f>(('参数'!$K$5*(((Q355*(1+'参数'!$B$39*P355))^2/((Q355*(1+'参数'!$B$39*P355))+'参数'!$B$22*(I355)))*(1+'参数'!$B$42*P355)/'参数'!$J$5+((Q355*'参数'!$B$43*(1+'参数'!$B$39*P355))^2/((Q355*'参数'!$B$43*(1+'参数'!$B$39*P355))+'参数'!$B$22*(I355)))/'参数'!$B$44))+(((R355*(1+'参数'!$B$39*P355))^2/((R355*(1+'参数'!$B$39*P355))+'参数'!$B$22*(I355)))*(1+'参数'!$B$42*P355)/'参数'!$J$6+((R355*'参数'!$B$45*(1+'参数'!$B$39*P355))^2/((R355*'参数'!$B$45*(1+'参数'!$B$39*P355))+'参数'!$B$22*(I355)))/'参数'!$B$46)+((S355*(1+'参数'!$B$39*P355))^2/((S355*(1+'参数'!$B$39*P355))+'参数'!$B$22*(I355)))*(1+'参数'!$B$42*P355)/'参数'!$J$7)*(1+'参数'!$B$37*('参数'!$B$38-1))*'参数'!$B$25</x:f>
        <x:v>62921.9115191509</x:v>
      </x:c>
      <x:c r="W355" s="19" t="n">
        <x:f>(('参数'!$K$5*(((Q355*(1+'参数'!$B$39*P355))^2/((Q355*(1+'参数'!$B$39*P355))+'参数'!$B$22*(M355)))*(1+'参数'!$B$42*P355)/'参数'!$J$5+((Q355*'参数'!$B$43*(1+'参数'!$B$39*P355))^2/((Q355*'参数'!$B$43*(1+'参数'!$B$39*P355))+'参数'!$B$22*(M355)))/'参数'!$B$44))+(((R355*(1+'参数'!$B$39*P355))^2/((R355*(1+'参数'!$B$39*P355))+'参数'!$B$22*(M355)))*(1+'参数'!$B$42*P355)/'参数'!$J$6+((R355*'参数'!$B$45*(1+'参数'!$B$39*P355))^2/((R355*'参数'!$B$45*(1+'参数'!$B$39*P355))+'参数'!$B$22*(M355)))/'参数'!$B$46)+((S355*(1+'参数'!$B$39*P355))^2/((S355*(1+'参数'!$B$39*P355))+'参数'!$B$22*(M355)))*(1+'参数'!$B$42*P355)/'参数'!$J$7)*(1+'参数'!$B$37*('参数'!$B$38-1))</x:f>
        <x:v>48471.92860891668</x:v>
      </x:c>
      <x:c r="X355" s="26" t="n">
        <x:f>('参数'!$B$26+'参数'!$B$27*(D355-1)/99)*'参数'!$K$28*AD355</x:f>
        <x:v>21.599999999999998</x:v>
      </x:c>
      <x:c r="Y355" s="26" t="n">
        <x:f>('参数'!$B$28+'参数'!$B$29*(D355-1)/99)*'参数'!$K$28*AD355*IF(AE355=1,'参数'!$B$51,1)</x:f>
        <x:v>60</x:v>
      </x:c>
      <x:c r="Z355" s="22" t="n">
        <x:f>MIN('参数'!$B$36,U355/(U355+'参数'!$B$35))</x:f>
        <x:v>0.5925587069832965</x:v>
      </x:c>
      <x:c r="AA355" s="19" t="n">
        <x:f>T355*'参数'!$B$30/('参数'!$B$32*'参数'!$B$33)/(1-Z355)*AC355</x:f>
        <x:v>7254.266897269082</x:v>
      </x:c>
      <x:c r="AB355" s="19" t="n">
        <x:f>T355*'参数'!$B$31/'参数'!$B$34/(1-Z355)*AC355</x:f>
        <x:v>14508.533794538167</x:v>
      </x:c>
      <x:c r="AC355" s="20" t="n">
        <x:f>'参数'!$L$28*1</x:f>
        <x:v>1.1</x:v>
      </x:c>
      <x:c r="AD355" s="20" t="n">
        <x:f>1</x:f>
        <x:v>1</x:v>
      </x:c>
      <x:c r="AE355" s="19" t="n">
        <x:f>IF(MOD(B355,12)=0,1,0)</x:f>
        <x:v>0</x:v>
      </x:c>
    </x:row>
    <x:row r="356" ht="22" customHeight="1">
      <x:c r="A356" s="18" t="str">
        <x:v>噩梦</x:v>
      </x:c>
      <x:c r="B356" s="18" t="n">
        <x:v>111</x:v>
      </x:c>
      <x:c r="C356" s="18" t="n">
        <x:f>ROUNDUP(B356/12,0)</x:f>
        <x:v>10</x:v>
      </x:c>
      <x:c r="D356" s="18" t="n">
        <x:f>ROUND(MAX('参数'!$G$28,E356)+(IF(C356&lt;10,INDEX('参数'!$G$36:$P$36,1,MIN(10,C356+1)),'参数'!$H$28)-MAX('参数'!$G$28,E356))*MOD(B356-1,12)/11,0)</x:f>
        <x:v>100</x:v>
      </x:c>
      <x:c r="E356" s="18" t="n">
        <x:f>INDEX('参数'!$G$36:$P$36,1,C356)</x:f>
        <x:v>100</x:v>
      </x:c>
      <x:c r="F356" s="15" t="n">
        <x:f>'参数'!$I$28</x:f>
        <x:v>1.16</x:v>
      </x:c>
      <x:c r="G356" s="18" t="n">
        <x:f>ROUND(V356*X356/'参数'!$B$56,0)</x:f>
        <x:v>295459</x:v>
      </x:c>
      <x:c r="H356" s="18" t="n">
        <x:f>ROUND((AA356+SQRT(AA356^2+4*AA356*'参数'!$B$22*U356))/2,0)</x:f>
        <x:v>11745</x:v>
      </x:c>
      <x:c r="I356" s="18" t="n">
        <x:f>ROUND(Q356*'参数'!$B$23/'参数'!$B$22,0)</x:f>
        <x:v>1865</x:v>
      </x:c>
      <x:c r="J356" s="18" t="n">
        <x:f>ROUND(G356*'参数'!$B$50,0)</x:f>
        <x:v>886377</x:v>
      </x:c>
      <x:c r="K356" s="18" t="n">
        <x:f>ROUND(W356*Y356,0)</x:f>
        <x:v>2908316</x:v>
      </x:c>
      <x:c r="L356" s="18" t="n">
        <x:f>ROUND((AB356+SQRT(AB356^2+4*AB356*'参数'!$B$22*U356))/2,0)</x:f>
        <x:v>19829</x:v>
      </x:c>
      <x:c r="M356" s="18" t="n">
        <x:f>ROUND(I356*'参数'!$B$24,0)</x:f>
        <x:v>2331</x:v>
      </x:c>
      <x:c r="N356" s="18" t="n">
        <x:f>'参数'!$B$9*'参数'!$B$10^(D356-1)</x:f>
        <x:v>11195.319600498813</x:v>
      </x:c>
      <x:c r="O356" s="18" t="n">
        <x:f>'参数'!$B$18*'参数'!$B$19^(MIN(E356,MAX(1,5*INT(D356/5)))-1)*F356*'参数'!$J$28*P356</x:f>
        <x:v>1645.4365043728462</x:v>
      </x:c>
      <x:c r="P356" s="21" t="n">
        <x:f>MIN(1,(D356-1)/19)</x:f>
        <x:v>1</x:v>
      </x:c>
      <x:c r="Q356" s="18" t="n">
        <x:f>INDEX('角色成长'!$F$6:$F$105,D356)+O356*'参数'!$K$21</x:f>
        <x:v>9323.494037462613</x:v>
      </x:c>
      <x:c r="R356" s="18" t="n">
        <x:f>INDEX('角色成长'!$I$6:$I$105,D356)+O356*'参数'!$K$21</x:f>
        <x:v>8025.494037462612</x:v>
      </x:c>
      <x:c r="S356" s="18" t="n">
        <x:f>INDEX('角色成长'!$L$6:$L$105,D356)+O356*'参数'!$K$21</x:f>
        <x:v>7284.494037462612</x:v>
      </x:c>
      <x:c r="T356" s="18" t="n">
        <x:f>(INDEX('角色成长'!$J$6:$J$105,D356)+O356*'参数'!$L$21)*(1+'参数'!$B$40*P356)</x:f>
        <x:v>107479.55943678491</x:v>
      </x:c>
      <x:c r="U356" s="18" t="n">
        <x:f>(INDEX('角色成长'!$K$6:$K$105,D356)+O356*'参数'!$M$21)*(1+'参数'!$B$41*P356)</x:f>
        <x:v>5817.3652709177295</x:v>
      </x:c>
      <x:c r="V356" s="18" t="n">
        <x:f>(('参数'!$K$5*(((Q356*(1+'参数'!$B$39*P356))^2/((Q356*(1+'参数'!$B$39*P356))+'参数'!$B$22*(I356)))*(1+'参数'!$B$42*P356)/'参数'!$J$5+((Q356*'参数'!$B$43*(1+'参数'!$B$39*P356))^2/((Q356*'参数'!$B$43*(1+'参数'!$B$39*P356))+'参数'!$B$22*(I356)))/'参数'!$B$44))+(((R356*(1+'参数'!$B$39*P356))^2/((R356*(1+'参数'!$B$39*P356))+'参数'!$B$22*(I356)))*(1+'参数'!$B$42*P356)/'参数'!$J$6+((R356*'参数'!$B$45*(1+'参数'!$B$39*P356))^2/((R356*'参数'!$B$45*(1+'参数'!$B$39*P356))+'参数'!$B$22*(I356)))/'参数'!$B$46)+((S356*(1+'参数'!$B$39*P356))^2/((S356*(1+'参数'!$B$39*P356))+'参数'!$B$22*(I356)))*(1+'参数'!$B$42*P356)/'参数'!$J$7)*(1+'参数'!$B$37*('参数'!$B$38-1))*'参数'!$B$25</x:f>
        <x:v>62921.9115191509</x:v>
      </x:c>
      <x:c r="W356" s="18" t="n">
        <x:f>(('参数'!$K$5*(((Q356*(1+'参数'!$B$39*P356))^2/((Q356*(1+'参数'!$B$39*P356))+'参数'!$B$22*(M356)))*(1+'参数'!$B$42*P356)/'参数'!$J$5+((Q356*'参数'!$B$43*(1+'参数'!$B$39*P356))^2/((Q356*'参数'!$B$43*(1+'参数'!$B$39*P356))+'参数'!$B$22*(M356)))/'参数'!$B$44))+(((R356*(1+'参数'!$B$39*P356))^2/((R356*(1+'参数'!$B$39*P356))+'参数'!$B$22*(M356)))*(1+'参数'!$B$42*P356)/'参数'!$J$6+((R356*'参数'!$B$45*(1+'参数'!$B$39*P356))^2/((R356*'参数'!$B$45*(1+'参数'!$B$39*P356))+'参数'!$B$22*(M356)))/'参数'!$B$46)+((S356*(1+'参数'!$B$39*P356))^2/((S356*(1+'参数'!$B$39*P356))+'参数'!$B$22*(M356)))*(1+'参数'!$B$42*P356)/'参数'!$J$7)*(1+'参数'!$B$37*('参数'!$B$38-1))</x:f>
        <x:v>48471.92860891668</x:v>
      </x:c>
      <x:c r="X356" s="25" t="n">
        <x:f>('参数'!$B$26+'参数'!$B$27*(D356-1)/99)*'参数'!$K$28*AD356</x:f>
        <x:v>21.599999999999998</x:v>
      </x:c>
      <x:c r="Y356" s="25" t="n">
        <x:f>('参数'!$B$28+'参数'!$B$29*(D356-1)/99)*'参数'!$K$28*AD356*IF(AE356=1,'参数'!$B$51,1)</x:f>
        <x:v>60</x:v>
      </x:c>
      <x:c r="Z356" s="21" t="n">
        <x:f>MIN('参数'!$B$36,U356/(U356+'参数'!$B$35))</x:f>
        <x:v>0.5925587069832965</x:v>
      </x:c>
      <x:c r="AA356" s="18" t="n">
        <x:f>T356*'参数'!$B$30/('参数'!$B$32*'参数'!$B$33)/(1-Z356)*AC356</x:f>
        <x:v>7254.266897269082</x:v>
      </x:c>
      <x:c r="AB356" s="18" t="n">
        <x:f>T356*'参数'!$B$31/'参数'!$B$34/(1-Z356)*AC356</x:f>
        <x:v>14508.533794538167</x:v>
      </x:c>
      <x:c r="AC356" s="15" t="n">
        <x:f>'参数'!$L$28*1</x:f>
        <x:v>1.1</x:v>
      </x:c>
      <x:c r="AD356" s="15" t="n">
        <x:f>1</x:f>
        <x:v>1</x:v>
      </x:c>
      <x:c r="AE356" s="18" t="n">
        <x:f>IF(MOD(B356,12)=0,1,0)</x:f>
        <x:v>0</x:v>
      </x:c>
    </x:row>
    <x:row r="357" ht="22" customHeight="1">
      <x:c r="A357" s="19" t="str">
        <x:v>噩梦</x:v>
      </x:c>
      <x:c r="B357" s="19" t="n">
        <x:v>112</x:v>
      </x:c>
      <x:c r="C357" s="19" t="n">
        <x:f>ROUNDUP(B357/12,0)</x:f>
        <x:v>10</x:v>
      </x:c>
      <x:c r="D357" s="19" t="n">
        <x:f>ROUND(MAX('参数'!$G$28,E357)+(IF(C357&lt;10,INDEX('参数'!$G$36:$P$36,1,MIN(10,C357+1)),'参数'!$H$28)-MAX('参数'!$G$28,E357))*MOD(B357-1,12)/11,0)</x:f>
        <x:v>100</x:v>
      </x:c>
      <x:c r="E357" s="19" t="n">
        <x:f>INDEX('参数'!$G$36:$P$36,1,C357)</x:f>
        <x:v>100</x:v>
      </x:c>
      <x:c r="F357" s="20" t="n">
        <x:f>'参数'!$I$28</x:f>
        <x:v>1.16</x:v>
      </x:c>
      <x:c r="G357" s="19" t="n">
        <x:f>ROUND(V357*X357/'参数'!$B$56,0)</x:f>
        <x:v>295459</x:v>
      </x:c>
      <x:c r="H357" s="19" t="n">
        <x:f>ROUND((AA357+SQRT(AA357^2+4*AA357*'参数'!$B$22*U357))/2,0)</x:f>
        <x:v>11745</x:v>
      </x:c>
      <x:c r="I357" s="19" t="n">
        <x:f>ROUND(Q357*'参数'!$B$23/'参数'!$B$22,0)</x:f>
        <x:v>1865</x:v>
      </x:c>
      <x:c r="J357" s="19" t="n">
        <x:f>ROUND(G357*'参数'!$B$50,0)</x:f>
        <x:v>886377</x:v>
      </x:c>
      <x:c r="K357" s="19" t="n">
        <x:f>ROUND(W357*Y357,0)</x:f>
        <x:v>2908316</x:v>
      </x:c>
      <x:c r="L357" s="19" t="n">
        <x:f>ROUND((AB357+SQRT(AB357^2+4*AB357*'参数'!$B$22*U357))/2,0)</x:f>
        <x:v>19829</x:v>
      </x:c>
      <x:c r="M357" s="19" t="n">
        <x:f>ROUND(I357*'参数'!$B$24,0)</x:f>
        <x:v>2331</x:v>
      </x:c>
      <x:c r="N357" s="19" t="n">
        <x:f>'参数'!$B$9*'参数'!$B$10^(D357-1)</x:f>
        <x:v>11195.319600498813</x:v>
      </x:c>
      <x:c r="O357" s="19" t="n">
        <x:f>'参数'!$B$18*'参数'!$B$19^(MIN(E357,MAX(1,5*INT(D357/5)))-1)*F357*'参数'!$J$28*P357</x:f>
        <x:v>1645.4365043728462</x:v>
      </x:c>
      <x:c r="P357" s="22" t="n">
        <x:f>MIN(1,(D357-1)/19)</x:f>
        <x:v>1</x:v>
      </x:c>
      <x:c r="Q357" s="19" t="n">
        <x:f>INDEX('角色成长'!$F$6:$F$105,D357)+O357*'参数'!$K$21</x:f>
        <x:v>9323.494037462613</x:v>
      </x:c>
      <x:c r="R357" s="19" t="n">
        <x:f>INDEX('角色成长'!$I$6:$I$105,D357)+O357*'参数'!$K$21</x:f>
        <x:v>8025.494037462612</x:v>
      </x:c>
      <x:c r="S357" s="19" t="n">
        <x:f>INDEX('角色成长'!$L$6:$L$105,D357)+O357*'参数'!$K$21</x:f>
        <x:v>7284.494037462612</x:v>
      </x:c>
      <x:c r="T357" s="19" t="n">
        <x:f>(INDEX('角色成长'!$J$6:$J$105,D357)+O357*'参数'!$L$21)*(1+'参数'!$B$40*P357)</x:f>
        <x:v>107479.55943678491</x:v>
      </x:c>
      <x:c r="U357" s="19" t="n">
        <x:f>(INDEX('角色成长'!$K$6:$K$105,D357)+O357*'参数'!$M$21)*(1+'参数'!$B$41*P357)</x:f>
        <x:v>5817.3652709177295</x:v>
      </x:c>
      <x:c r="V357" s="19" t="n">
        <x:f>(('参数'!$K$5*(((Q357*(1+'参数'!$B$39*P357))^2/((Q357*(1+'参数'!$B$39*P357))+'参数'!$B$22*(I357)))*(1+'参数'!$B$42*P357)/'参数'!$J$5+((Q357*'参数'!$B$43*(1+'参数'!$B$39*P357))^2/((Q357*'参数'!$B$43*(1+'参数'!$B$39*P357))+'参数'!$B$22*(I357)))/'参数'!$B$44))+(((R357*(1+'参数'!$B$39*P357))^2/((R357*(1+'参数'!$B$39*P357))+'参数'!$B$22*(I357)))*(1+'参数'!$B$42*P357)/'参数'!$J$6+((R357*'参数'!$B$45*(1+'参数'!$B$39*P357))^2/((R357*'参数'!$B$45*(1+'参数'!$B$39*P357))+'参数'!$B$22*(I357)))/'参数'!$B$46)+((S357*(1+'参数'!$B$39*P357))^2/((S357*(1+'参数'!$B$39*P357))+'参数'!$B$22*(I357)))*(1+'参数'!$B$42*P357)/'参数'!$J$7)*(1+'参数'!$B$37*('参数'!$B$38-1))*'参数'!$B$25</x:f>
        <x:v>62921.9115191509</x:v>
      </x:c>
      <x:c r="W357" s="19" t="n">
        <x:f>(('参数'!$K$5*(((Q357*(1+'参数'!$B$39*P357))^2/((Q357*(1+'参数'!$B$39*P357))+'参数'!$B$22*(M357)))*(1+'参数'!$B$42*P357)/'参数'!$J$5+((Q357*'参数'!$B$43*(1+'参数'!$B$39*P357))^2/((Q357*'参数'!$B$43*(1+'参数'!$B$39*P357))+'参数'!$B$22*(M357)))/'参数'!$B$44))+(((R357*(1+'参数'!$B$39*P357))^2/((R357*(1+'参数'!$B$39*P357))+'参数'!$B$22*(M357)))*(1+'参数'!$B$42*P357)/'参数'!$J$6+((R357*'参数'!$B$45*(1+'参数'!$B$39*P357))^2/((R357*'参数'!$B$45*(1+'参数'!$B$39*P357))+'参数'!$B$22*(M357)))/'参数'!$B$46)+((S357*(1+'参数'!$B$39*P357))^2/((S357*(1+'参数'!$B$39*P357))+'参数'!$B$22*(M357)))*(1+'参数'!$B$42*P357)/'参数'!$J$7)*(1+'参数'!$B$37*('参数'!$B$38-1))</x:f>
        <x:v>48471.92860891668</x:v>
      </x:c>
      <x:c r="X357" s="26" t="n">
        <x:f>('参数'!$B$26+'参数'!$B$27*(D357-1)/99)*'参数'!$K$28*AD357</x:f>
        <x:v>21.599999999999998</x:v>
      </x:c>
      <x:c r="Y357" s="26" t="n">
        <x:f>('参数'!$B$28+'参数'!$B$29*(D357-1)/99)*'参数'!$K$28*AD357*IF(AE357=1,'参数'!$B$51,1)</x:f>
        <x:v>60</x:v>
      </x:c>
      <x:c r="Z357" s="22" t="n">
        <x:f>MIN('参数'!$B$36,U357/(U357+'参数'!$B$35))</x:f>
        <x:v>0.5925587069832965</x:v>
      </x:c>
      <x:c r="AA357" s="19" t="n">
        <x:f>T357*'参数'!$B$30/('参数'!$B$32*'参数'!$B$33)/(1-Z357)*AC357</x:f>
        <x:v>7254.266897269082</x:v>
      </x:c>
      <x:c r="AB357" s="19" t="n">
        <x:f>T357*'参数'!$B$31/'参数'!$B$34/(1-Z357)*AC357</x:f>
        <x:v>14508.533794538167</x:v>
      </x:c>
      <x:c r="AC357" s="20" t="n">
        <x:f>'参数'!$L$28*1</x:f>
        <x:v>1.1</x:v>
      </x:c>
      <x:c r="AD357" s="20" t="n">
        <x:f>1</x:f>
        <x:v>1</x:v>
      </x:c>
      <x:c r="AE357" s="19" t="n">
        <x:f>IF(MOD(B357,12)=0,1,0)</x:f>
        <x:v>0</x:v>
      </x:c>
    </x:row>
    <x:row r="358" ht="22" customHeight="1">
      <x:c r="A358" s="18" t="str">
        <x:v>噩梦</x:v>
      </x:c>
      <x:c r="B358" s="18" t="n">
        <x:v>113</x:v>
      </x:c>
      <x:c r="C358" s="18" t="n">
        <x:f>ROUNDUP(B358/12,0)</x:f>
        <x:v>10</x:v>
      </x:c>
      <x:c r="D358" s="18" t="n">
        <x:f>ROUND(MAX('参数'!$G$28,E358)+(IF(C358&lt;10,INDEX('参数'!$G$36:$P$36,1,MIN(10,C358+1)),'参数'!$H$28)-MAX('参数'!$G$28,E358))*MOD(B358-1,12)/11,0)</x:f>
        <x:v>100</x:v>
      </x:c>
      <x:c r="E358" s="18" t="n">
        <x:f>INDEX('参数'!$G$36:$P$36,1,C358)</x:f>
        <x:v>100</x:v>
      </x:c>
      <x:c r="F358" s="15" t="n">
        <x:f>'参数'!$I$28</x:f>
        <x:v>1.16</x:v>
      </x:c>
      <x:c r="G358" s="18" t="n">
        <x:f>ROUND(V358*X358/'参数'!$B$56,0)</x:f>
        <x:v>295459</x:v>
      </x:c>
      <x:c r="H358" s="18" t="n">
        <x:f>ROUND((AA358+SQRT(AA358^2+4*AA358*'参数'!$B$22*U358))/2,0)</x:f>
        <x:v>11745</x:v>
      </x:c>
      <x:c r="I358" s="18" t="n">
        <x:f>ROUND(Q358*'参数'!$B$23/'参数'!$B$22,0)</x:f>
        <x:v>1865</x:v>
      </x:c>
      <x:c r="J358" s="18" t="n">
        <x:f>ROUND(G358*'参数'!$B$50,0)</x:f>
        <x:v>886377</x:v>
      </x:c>
      <x:c r="K358" s="18" t="n">
        <x:f>ROUND(W358*Y358,0)</x:f>
        <x:v>2908316</x:v>
      </x:c>
      <x:c r="L358" s="18" t="n">
        <x:f>ROUND((AB358+SQRT(AB358^2+4*AB358*'参数'!$B$22*U358))/2,0)</x:f>
        <x:v>19829</x:v>
      </x:c>
      <x:c r="M358" s="18" t="n">
        <x:f>ROUND(I358*'参数'!$B$24,0)</x:f>
        <x:v>2331</x:v>
      </x:c>
      <x:c r="N358" s="18" t="n">
        <x:f>'参数'!$B$9*'参数'!$B$10^(D358-1)</x:f>
        <x:v>11195.319600498813</x:v>
      </x:c>
      <x:c r="O358" s="18" t="n">
        <x:f>'参数'!$B$18*'参数'!$B$19^(MIN(E358,MAX(1,5*INT(D358/5)))-1)*F358*'参数'!$J$28*P358</x:f>
        <x:v>1645.4365043728462</x:v>
      </x:c>
      <x:c r="P358" s="21" t="n">
        <x:f>MIN(1,(D358-1)/19)</x:f>
        <x:v>1</x:v>
      </x:c>
      <x:c r="Q358" s="18" t="n">
        <x:f>INDEX('角色成长'!$F$6:$F$105,D358)+O358*'参数'!$K$21</x:f>
        <x:v>9323.494037462613</x:v>
      </x:c>
      <x:c r="R358" s="18" t="n">
        <x:f>INDEX('角色成长'!$I$6:$I$105,D358)+O358*'参数'!$K$21</x:f>
        <x:v>8025.494037462612</x:v>
      </x:c>
      <x:c r="S358" s="18" t="n">
        <x:f>INDEX('角色成长'!$L$6:$L$105,D358)+O358*'参数'!$K$21</x:f>
        <x:v>7284.494037462612</x:v>
      </x:c>
      <x:c r="T358" s="18" t="n">
        <x:f>(INDEX('角色成长'!$J$6:$J$105,D358)+O358*'参数'!$L$21)*(1+'参数'!$B$40*P358)</x:f>
        <x:v>107479.55943678491</x:v>
      </x:c>
      <x:c r="U358" s="18" t="n">
        <x:f>(INDEX('角色成长'!$K$6:$K$105,D358)+O358*'参数'!$M$21)*(1+'参数'!$B$41*P358)</x:f>
        <x:v>5817.3652709177295</x:v>
      </x:c>
      <x:c r="V358" s="18" t="n">
        <x:f>(('参数'!$K$5*(((Q358*(1+'参数'!$B$39*P358))^2/((Q358*(1+'参数'!$B$39*P358))+'参数'!$B$22*(I358)))*(1+'参数'!$B$42*P358)/'参数'!$J$5+((Q358*'参数'!$B$43*(1+'参数'!$B$39*P358))^2/((Q358*'参数'!$B$43*(1+'参数'!$B$39*P358))+'参数'!$B$22*(I358)))/'参数'!$B$44))+(((R358*(1+'参数'!$B$39*P358))^2/((R358*(1+'参数'!$B$39*P358))+'参数'!$B$22*(I358)))*(1+'参数'!$B$42*P358)/'参数'!$J$6+((R358*'参数'!$B$45*(1+'参数'!$B$39*P358))^2/((R358*'参数'!$B$45*(1+'参数'!$B$39*P358))+'参数'!$B$22*(I358)))/'参数'!$B$46)+((S358*(1+'参数'!$B$39*P358))^2/((S358*(1+'参数'!$B$39*P358))+'参数'!$B$22*(I358)))*(1+'参数'!$B$42*P358)/'参数'!$J$7)*(1+'参数'!$B$37*('参数'!$B$38-1))*'参数'!$B$25</x:f>
        <x:v>62921.9115191509</x:v>
      </x:c>
      <x:c r="W358" s="18" t="n">
        <x:f>(('参数'!$K$5*(((Q358*(1+'参数'!$B$39*P358))^2/((Q358*(1+'参数'!$B$39*P358))+'参数'!$B$22*(M358)))*(1+'参数'!$B$42*P358)/'参数'!$J$5+((Q358*'参数'!$B$43*(1+'参数'!$B$39*P358))^2/((Q358*'参数'!$B$43*(1+'参数'!$B$39*P358))+'参数'!$B$22*(M358)))/'参数'!$B$44))+(((R358*(1+'参数'!$B$39*P358))^2/((R358*(1+'参数'!$B$39*P358))+'参数'!$B$22*(M358)))*(1+'参数'!$B$42*P358)/'参数'!$J$6+((R358*'参数'!$B$45*(1+'参数'!$B$39*P358))^2/((R358*'参数'!$B$45*(1+'参数'!$B$39*P358))+'参数'!$B$22*(M358)))/'参数'!$B$46)+((S358*(1+'参数'!$B$39*P358))^2/((S358*(1+'参数'!$B$39*P358))+'参数'!$B$22*(M358)))*(1+'参数'!$B$42*P358)/'参数'!$J$7)*(1+'参数'!$B$37*('参数'!$B$38-1))</x:f>
        <x:v>48471.92860891668</x:v>
      </x:c>
      <x:c r="X358" s="25" t="n">
        <x:f>('参数'!$B$26+'参数'!$B$27*(D358-1)/99)*'参数'!$K$28*AD358</x:f>
        <x:v>21.599999999999998</x:v>
      </x:c>
      <x:c r="Y358" s="25" t="n">
        <x:f>('参数'!$B$28+'参数'!$B$29*(D358-1)/99)*'参数'!$K$28*AD358*IF(AE358=1,'参数'!$B$51,1)</x:f>
        <x:v>60</x:v>
      </x:c>
      <x:c r="Z358" s="21" t="n">
        <x:f>MIN('参数'!$B$36,U358/(U358+'参数'!$B$35))</x:f>
        <x:v>0.5925587069832965</x:v>
      </x:c>
      <x:c r="AA358" s="18" t="n">
        <x:f>T358*'参数'!$B$30/('参数'!$B$32*'参数'!$B$33)/(1-Z358)*AC358</x:f>
        <x:v>7254.266897269082</x:v>
      </x:c>
      <x:c r="AB358" s="18" t="n">
        <x:f>T358*'参数'!$B$31/'参数'!$B$34/(1-Z358)*AC358</x:f>
        <x:v>14508.533794538167</x:v>
      </x:c>
      <x:c r="AC358" s="15" t="n">
        <x:f>'参数'!$L$28*1</x:f>
        <x:v>1.1</x:v>
      </x:c>
      <x:c r="AD358" s="15" t="n">
        <x:f>1</x:f>
        <x:v>1</x:v>
      </x:c>
      <x:c r="AE358" s="18" t="n">
        <x:f>IF(MOD(B358,12)=0,1,0)</x:f>
        <x:v>0</x:v>
      </x:c>
    </x:row>
    <x:row r="359" ht="22" customHeight="1">
      <x:c r="A359" s="19" t="str">
        <x:v>噩梦</x:v>
      </x:c>
      <x:c r="B359" s="19" t="n">
        <x:v>114</x:v>
      </x:c>
      <x:c r="C359" s="19" t="n">
        <x:f>ROUNDUP(B359/12,0)</x:f>
        <x:v>10</x:v>
      </x:c>
      <x:c r="D359" s="19" t="n">
        <x:f>ROUND(MAX('参数'!$G$28,E359)+(IF(C359&lt;10,INDEX('参数'!$G$36:$P$36,1,MIN(10,C359+1)),'参数'!$H$28)-MAX('参数'!$G$28,E359))*MOD(B359-1,12)/11,0)</x:f>
        <x:v>100</x:v>
      </x:c>
      <x:c r="E359" s="19" t="n">
        <x:f>INDEX('参数'!$G$36:$P$36,1,C359)</x:f>
        <x:v>100</x:v>
      </x:c>
      <x:c r="F359" s="20" t="n">
        <x:f>'参数'!$I$28</x:f>
        <x:v>1.16</x:v>
      </x:c>
      <x:c r="G359" s="19" t="n">
        <x:f>ROUND(V359*X359/'参数'!$B$56,0)</x:f>
        <x:v>295459</x:v>
      </x:c>
      <x:c r="H359" s="19" t="n">
        <x:f>ROUND((AA359+SQRT(AA359^2+4*AA359*'参数'!$B$22*U359))/2,0)</x:f>
        <x:v>11745</x:v>
      </x:c>
      <x:c r="I359" s="19" t="n">
        <x:f>ROUND(Q359*'参数'!$B$23/'参数'!$B$22,0)</x:f>
        <x:v>1865</x:v>
      </x:c>
      <x:c r="J359" s="19" t="n">
        <x:f>ROUND(G359*'参数'!$B$50,0)</x:f>
        <x:v>886377</x:v>
      </x:c>
      <x:c r="K359" s="19" t="n">
        <x:f>ROUND(W359*Y359,0)</x:f>
        <x:v>2908316</x:v>
      </x:c>
      <x:c r="L359" s="19" t="n">
        <x:f>ROUND((AB359+SQRT(AB359^2+4*AB359*'参数'!$B$22*U359))/2,0)</x:f>
        <x:v>19829</x:v>
      </x:c>
      <x:c r="M359" s="19" t="n">
        <x:f>ROUND(I359*'参数'!$B$24,0)</x:f>
        <x:v>2331</x:v>
      </x:c>
      <x:c r="N359" s="19" t="n">
        <x:f>'参数'!$B$9*'参数'!$B$10^(D359-1)</x:f>
        <x:v>11195.319600498813</x:v>
      </x:c>
      <x:c r="O359" s="19" t="n">
        <x:f>'参数'!$B$18*'参数'!$B$19^(MIN(E359,MAX(1,5*INT(D359/5)))-1)*F359*'参数'!$J$28*P359</x:f>
        <x:v>1645.4365043728462</x:v>
      </x:c>
      <x:c r="P359" s="22" t="n">
        <x:f>MIN(1,(D359-1)/19)</x:f>
        <x:v>1</x:v>
      </x:c>
      <x:c r="Q359" s="19" t="n">
        <x:f>INDEX('角色成长'!$F$6:$F$105,D359)+O359*'参数'!$K$21</x:f>
        <x:v>9323.494037462613</x:v>
      </x:c>
      <x:c r="R359" s="19" t="n">
        <x:f>INDEX('角色成长'!$I$6:$I$105,D359)+O359*'参数'!$K$21</x:f>
        <x:v>8025.494037462612</x:v>
      </x:c>
      <x:c r="S359" s="19" t="n">
        <x:f>INDEX('角色成长'!$L$6:$L$105,D359)+O359*'参数'!$K$21</x:f>
        <x:v>7284.494037462612</x:v>
      </x:c>
      <x:c r="T359" s="19" t="n">
        <x:f>(INDEX('角色成长'!$J$6:$J$105,D359)+O359*'参数'!$L$21)*(1+'参数'!$B$40*P359)</x:f>
        <x:v>107479.55943678491</x:v>
      </x:c>
      <x:c r="U359" s="19" t="n">
        <x:f>(INDEX('角色成长'!$K$6:$K$105,D359)+O359*'参数'!$M$21)*(1+'参数'!$B$41*P359)</x:f>
        <x:v>5817.3652709177295</x:v>
      </x:c>
      <x:c r="V359" s="19" t="n">
        <x:f>(('参数'!$K$5*(((Q359*(1+'参数'!$B$39*P359))^2/((Q359*(1+'参数'!$B$39*P359))+'参数'!$B$22*(I359)))*(1+'参数'!$B$42*P359)/'参数'!$J$5+((Q359*'参数'!$B$43*(1+'参数'!$B$39*P359))^2/((Q359*'参数'!$B$43*(1+'参数'!$B$39*P359))+'参数'!$B$22*(I359)))/'参数'!$B$44))+(((R359*(1+'参数'!$B$39*P359))^2/((R359*(1+'参数'!$B$39*P359))+'参数'!$B$22*(I359)))*(1+'参数'!$B$42*P359)/'参数'!$J$6+((R359*'参数'!$B$45*(1+'参数'!$B$39*P359))^2/((R359*'参数'!$B$45*(1+'参数'!$B$39*P359))+'参数'!$B$22*(I359)))/'参数'!$B$46)+((S359*(1+'参数'!$B$39*P359))^2/((S359*(1+'参数'!$B$39*P359))+'参数'!$B$22*(I359)))*(1+'参数'!$B$42*P359)/'参数'!$J$7)*(1+'参数'!$B$37*('参数'!$B$38-1))*'参数'!$B$25</x:f>
        <x:v>62921.9115191509</x:v>
      </x:c>
      <x:c r="W359" s="19" t="n">
        <x:f>(('参数'!$K$5*(((Q359*(1+'参数'!$B$39*P359))^2/((Q359*(1+'参数'!$B$39*P359))+'参数'!$B$22*(M359)))*(1+'参数'!$B$42*P359)/'参数'!$J$5+((Q359*'参数'!$B$43*(1+'参数'!$B$39*P359))^2/((Q359*'参数'!$B$43*(1+'参数'!$B$39*P359))+'参数'!$B$22*(M359)))/'参数'!$B$44))+(((R359*(1+'参数'!$B$39*P359))^2/((R359*(1+'参数'!$B$39*P359))+'参数'!$B$22*(M359)))*(1+'参数'!$B$42*P359)/'参数'!$J$6+((R359*'参数'!$B$45*(1+'参数'!$B$39*P359))^2/((R359*'参数'!$B$45*(1+'参数'!$B$39*P359))+'参数'!$B$22*(M359)))/'参数'!$B$46)+((S359*(1+'参数'!$B$39*P359))^2/((S359*(1+'参数'!$B$39*P359))+'参数'!$B$22*(M359)))*(1+'参数'!$B$42*P359)/'参数'!$J$7)*(1+'参数'!$B$37*('参数'!$B$38-1))</x:f>
        <x:v>48471.92860891668</x:v>
      </x:c>
      <x:c r="X359" s="26" t="n">
        <x:f>('参数'!$B$26+'参数'!$B$27*(D359-1)/99)*'参数'!$K$28*AD359</x:f>
        <x:v>21.599999999999998</x:v>
      </x:c>
      <x:c r="Y359" s="26" t="n">
        <x:f>('参数'!$B$28+'参数'!$B$29*(D359-1)/99)*'参数'!$K$28*AD359*IF(AE359=1,'参数'!$B$51,1)</x:f>
        <x:v>60</x:v>
      </x:c>
      <x:c r="Z359" s="22" t="n">
        <x:f>MIN('参数'!$B$36,U359/(U359+'参数'!$B$35))</x:f>
        <x:v>0.5925587069832965</x:v>
      </x:c>
      <x:c r="AA359" s="19" t="n">
        <x:f>T359*'参数'!$B$30/('参数'!$B$32*'参数'!$B$33)/(1-Z359)*AC359</x:f>
        <x:v>7254.266897269082</x:v>
      </x:c>
      <x:c r="AB359" s="19" t="n">
        <x:f>T359*'参数'!$B$31/'参数'!$B$34/(1-Z359)*AC359</x:f>
        <x:v>14508.533794538167</x:v>
      </x:c>
      <x:c r="AC359" s="20" t="n">
        <x:f>'参数'!$L$28*1</x:f>
        <x:v>1.1</x:v>
      </x:c>
      <x:c r="AD359" s="20" t="n">
        <x:f>1</x:f>
        <x:v>1</x:v>
      </x:c>
      <x:c r="AE359" s="19" t="n">
        <x:f>IF(MOD(B359,12)=0,1,0)</x:f>
        <x:v>0</x:v>
      </x:c>
    </x:row>
    <x:row r="360" ht="22" customHeight="1">
      <x:c r="A360" s="18" t="str">
        <x:v>噩梦</x:v>
      </x:c>
      <x:c r="B360" s="18" t="n">
        <x:v>115</x:v>
      </x:c>
      <x:c r="C360" s="18" t="n">
        <x:f>ROUNDUP(B360/12,0)</x:f>
        <x:v>10</x:v>
      </x:c>
      <x:c r="D360" s="18" t="n">
        <x:f>ROUND(MAX('参数'!$G$28,E360)+(IF(C360&lt;10,INDEX('参数'!$G$36:$P$36,1,MIN(10,C360+1)),'参数'!$H$28)-MAX('参数'!$G$28,E360))*MOD(B360-1,12)/11,0)</x:f>
        <x:v>100</x:v>
      </x:c>
      <x:c r="E360" s="18" t="n">
        <x:f>INDEX('参数'!$G$36:$P$36,1,C360)</x:f>
        <x:v>100</x:v>
      </x:c>
      <x:c r="F360" s="15" t="n">
        <x:f>'参数'!$I$28</x:f>
        <x:v>1.16</x:v>
      </x:c>
      <x:c r="G360" s="18" t="n">
        <x:f>ROUND(V360*X360/'参数'!$B$56,0)</x:f>
        <x:v>295459</x:v>
      </x:c>
      <x:c r="H360" s="18" t="n">
        <x:f>ROUND((AA360+SQRT(AA360^2+4*AA360*'参数'!$B$22*U360))/2,0)</x:f>
        <x:v>11745</x:v>
      </x:c>
      <x:c r="I360" s="18" t="n">
        <x:f>ROUND(Q360*'参数'!$B$23/'参数'!$B$22,0)</x:f>
        <x:v>1865</x:v>
      </x:c>
      <x:c r="J360" s="18" t="n">
        <x:f>ROUND(G360*'参数'!$B$50,0)</x:f>
        <x:v>886377</x:v>
      </x:c>
      <x:c r="K360" s="18" t="n">
        <x:f>ROUND(W360*Y360,0)</x:f>
        <x:v>2908316</x:v>
      </x:c>
      <x:c r="L360" s="18" t="n">
        <x:f>ROUND((AB360+SQRT(AB360^2+4*AB360*'参数'!$B$22*U360))/2,0)</x:f>
        <x:v>19829</x:v>
      </x:c>
      <x:c r="M360" s="18" t="n">
        <x:f>ROUND(I360*'参数'!$B$24,0)</x:f>
        <x:v>2331</x:v>
      </x:c>
      <x:c r="N360" s="18" t="n">
        <x:f>'参数'!$B$9*'参数'!$B$10^(D360-1)</x:f>
        <x:v>11195.319600498813</x:v>
      </x:c>
      <x:c r="O360" s="18" t="n">
        <x:f>'参数'!$B$18*'参数'!$B$19^(MIN(E360,MAX(1,5*INT(D360/5)))-1)*F360*'参数'!$J$28*P360</x:f>
        <x:v>1645.4365043728462</x:v>
      </x:c>
      <x:c r="P360" s="21" t="n">
        <x:f>MIN(1,(D360-1)/19)</x:f>
        <x:v>1</x:v>
      </x:c>
      <x:c r="Q360" s="18" t="n">
        <x:f>INDEX('角色成长'!$F$6:$F$105,D360)+O360*'参数'!$K$21</x:f>
        <x:v>9323.494037462613</x:v>
      </x:c>
      <x:c r="R360" s="18" t="n">
        <x:f>INDEX('角色成长'!$I$6:$I$105,D360)+O360*'参数'!$K$21</x:f>
        <x:v>8025.494037462612</x:v>
      </x:c>
      <x:c r="S360" s="18" t="n">
        <x:f>INDEX('角色成长'!$L$6:$L$105,D360)+O360*'参数'!$K$21</x:f>
        <x:v>7284.494037462612</x:v>
      </x:c>
      <x:c r="T360" s="18" t="n">
        <x:f>(INDEX('角色成长'!$J$6:$J$105,D360)+O360*'参数'!$L$21)*(1+'参数'!$B$40*P360)</x:f>
        <x:v>107479.55943678491</x:v>
      </x:c>
      <x:c r="U360" s="18" t="n">
        <x:f>(INDEX('角色成长'!$K$6:$K$105,D360)+O360*'参数'!$M$21)*(1+'参数'!$B$41*P360)</x:f>
        <x:v>5817.3652709177295</x:v>
      </x:c>
      <x:c r="V360" s="18" t="n">
        <x:f>(('参数'!$K$5*(((Q360*(1+'参数'!$B$39*P360))^2/((Q360*(1+'参数'!$B$39*P360))+'参数'!$B$22*(I360)))*(1+'参数'!$B$42*P360)/'参数'!$J$5+((Q360*'参数'!$B$43*(1+'参数'!$B$39*P360))^2/((Q360*'参数'!$B$43*(1+'参数'!$B$39*P360))+'参数'!$B$22*(I360)))/'参数'!$B$44))+(((R360*(1+'参数'!$B$39*P360))^2/((R360*(1+'参数'!$B$39*P360))+'参数'!$B$22*(I360)))*(1+'参数'!$B$42*P360)/'参数'!$J$6+((R360*'参数'!$B$45*(1+'参数'!$B$39*P360))^2/((R360*'参数'!$B$45*(1+'参数'!$B$39*P360))+'参数'!$B$22*(I360)))/'参数'!$B$46)+((S360*(1+'参数'!$B$39*P360))^2/((S360*(1+'参数'!$B$39*P360))+'参数'!$B$22*(I360)))*(1+'参数'!$B$42*P360)/'参数'!$J$7)*(1+'参数'!$B$37*('参数'!$B$38-1))*'参数'!$B$25</x:f>
        <x:v>62921.9115191509</x:v>
      </x:c>
      <x:c r="W360" s="18" t="n">
        <x:f>(('参数'!$K$5*(((Q360*(1+'参数'!$B$39*P360))^2/((Q360*(1+'参数'!$B$39*P360))+'参数'!$B$22*(M360)))*(1+'参数'!$B$42*P360)/'参数'!$J$5+((Q360*'参数'!$B$43*(1+'参数'!$B$39*P360))^2/((Q360*'参数'!$B$43*(1+'参数'!$B$39*P360))+'参数'!$B$22*(M360)))/'参数'!$B$44))+(((R360*(1+'参数'!$B$39*P360))^2/((R360*(1+'参数'!$B$39*P360))+'参数'!$B$22*(M360)))*(1+'参数'!$B$42*P360)/'参数'!$J$6+((R360*'参数'!$B$45*(1+'参数'!$B$39*P360))^2/((R360*'参数'!$B$45*(1+'参数'!$B$39*P360))+'参数'!$B$22*(M360)))/'参数'!$B$46)+((S360*(1+'参数'!$B$39*P360))^2/((S360*(1+'参数'!$B$39*P360))+'参数'!$B$22*(M360)))*(1+'参数'!$B$42*P360)/'参数'!$J$7)*(1+'参数'!$B$37*('参数'!$B$38-1))</x:f>
        <x:v>48471.92860891668</x:v>
      </x:c>
      <x:c r="X360" s="25" t="n">
        <x:f>('参数'!$B$26+'参数'!$B$27*(D360-1)/99)*'参数'!$K$28*AD360</x:f>
        <x:v>21.599999999999998</x:v>
      </x:c>
      <x:c r="Y360" s="25" t="n">
        <x:f>('参数'!$B$28+'参数'!$B$29*(D360-1)/99)*'参数'!$K$28*AD360*IF(AE360=1,'参数'!$B$51,1)</x:f>
        <x:v>60</x:v>
      </x:c>
      <x:c r="Z360" s="21" t="n">
        <x:f>MIN('参数'!$B$36,U360/(U360+'参数'!$B$35))</x:f>
        <x:v>0.5925587069832965</x:v>
      </x:c>
      <x:c r="AA360" s="18" t="n">
        <x:f>T360*'参数'!$B$30/('参数'!$B$32*'参数'!$B$33)/(1-Z360)*AC360</x:f>
        <x:v>7254.266897269082</x:v>
      </x:c>
      <x:c r="AB360" s="18" t="n">
        <x:f>T360*'参数'!$B$31/'参数'!$B$34/(1-Z360)*AC360</x:f>
        <x:v>14508.533794538167</x:v>
      </x:c>
      <x:c r="AC360" s="15" t="n">
        <x:f>'参数'!$L$28*1</x:f>
        <x:v>1.1</x:v>
      </x:c>
      <x:c r="AD360" s="15" t="n">
        <x:f>1</x:f>
        <x:v>1</x:v>
      </x:c>
      <x:c r="AE360" s="18" t="n">
        <x:f>IF(MOD(B360,12)=0,1,0)</x:f>
        <x:v>0</x:v>
      </x:c>
    </x:row>
    <x:row r="361" ht="22" customHeight="1">
      <x:c r="A361" s="19" t="str">
        <x:v>噩梦</x:v>
      </x:c>
      <x:c r="B361" s="19" t="n">
        <x:v>116</x:v>
      </x:c>
      <x:c r="C361" s="19" t="n">
        <x:f>ROUNDUP(B361/12,0)</x:f>
        <x:v>10</x:v>
      </x:c>
      <x:c r="D361" s="19" t="n">
        <x:f>ROUND(MAX('参数'!$G$28,E361)+(IF(C361&lt;10,INDEX('参数'!$G$36:$P$36,1,MIN(10,C361+1)),'参数'!$H$28)-MAX('参数'!$G$28,E361))*MOD(B361-1,12)/11,0)</x:f>
        <x:v>100</x:v>
      </x:c>
      <x:c r="E361" s="19" t="n">
        <x:f>INDEX('参数'!$G$36:$P$36,1,C361)</x:f>
        <x:v>100</x:v>
      </x:c>
      <x:c r="F361" s="20" t="n">
        <x:f>'参数'!$I$28</x:f>
        <x:v>1.16</x:v>
      </x:c>
      <x:c r="G361" s="19" t="n">
        <x:f>ROUND(V361*X361/'参数'!$B$56,0)</x:f>
        <x:v>295459</x:v>
      </x:c>
      <x:c r="H361" s="19" t="n">
        <x:f>ROUND((AA361+SQRT(AA361^2+4*AA361*'参数'!$B$22*U361))/2,0)</x:f>
        <x:v>11745</x:v>
      </x:c>
      <x:c r="I361" s="19" t="n">
        <x:f>ROUND(Q361*'参数'!$B$23/'参数'!$B$22,0)</x:f>
        <x:v>1865</x:v>
      </x:c>
      <x:c r="J361" s="19" t="n">
        <x:f>ROUND(G361*'参数'!$B$50,0)</x:f>
        <x:v>886377</x:v>
      </x:c>
      <x:c r="K361" s="19" t="n">
        <x:f>ROUND(W361*Y361,0)</x:f>
        <x:v>2908316</x:v>
      </x:c>
      <x:c r="L361" s="19" t="n">
        <x:f>ROUND((AB361+SQRT(AB361^2+4*AB361*'参数'!$B$22*U361))/2,0)</x:f>
        <x:v>19829</x:v>
      </x:c>
      <x:c r="M361" s="19" t="n">
        <x:f>ROUND(I361*'参数'!$B$24,0)</x:f>
        <x:v>2331</x:v>
      </x:c>
      <x:c r="N361" s="19" t="n">
        <x:f>'参数'!$B$9*'参数'!$B$10^(D361-1)</x:f>
        <x:v>11195.319600498813</x:v>
      </x:c>
      <x:c r="O361" s="19" t="n">
        <x:f>'参数'!$B$18*'参数'!$B$19^(MIN(E361,MAX(1,5*INT(D361/5)))-1)*F361*'参数'!$J$28*P361</x:f>
        <x:v>1645.4365043728462</x:v>
      </x:c>
      <x:c r="P361" s="22" t="n">
        <x:f>MIN(1,(D361-1)/19)</x:f>
        <x:v>1</x:v>
      </x:c>
      <x:c r="Q361" s="19" t="n">
        <x:f>INDEX('角色成长'!$F$6:$F$105,D361)+O361*'参数'!$K$21</x:f>
        <x:v>9323.494037462613</x:v>
      </x:c>
      <x:c r="R361" s="19" t="n">
        <x:f>INDEX('角色成长'!$I$6:$I$105,D361)+O361*'参数'!$K$21</x:f>
        <x:v>8025.494037462612</x:v>
      </x:c>
      <x:c r="S361" s="19" t="n">
        <x:f>INDEX('角色成长'!$L$6:$L$105,D361)+O361*'参数'!$K$21</x:f>
        <x:v>7284.494037462612</x:v>
      </x:c>
      <x:c r="T361" s="19" t="n">
        <x:f>(INDEX('角色成长'!$J$6:$J$105,D361)+O361*'参数'!$L$21)*(1+'参数'!$B$40*P361)</x:f>
        <x:v>107479.55943678491</x:v>
      </x:c>
      <x:c r="U361" s="19" t="n">
        <x:f>(INDEX('角色成长'!$K$6:$K$105,D361)+O361*'参数'!$M$21)*(1+'参数'!$B$41*P361)</x:f>
        <x:v>5817.3652709177295</x:v>
      </x:c>
      <x:c r="V361" s="19" t="n">
        <x:f>(('参数'!$K$5*(((Q361*(1+'参数'!$B$39*P361))^2/((Q361*(1+'参数'!$B$39*P361))+'参数'!$B$22*(I361)))*(1+'参数'!$B$42*P361)/'参数'!$J$5+((Q361*'参数'!$B$43*(1+'参数'!$B$39*P361))^2/((Q361*'参数'!$B$43*(1+'参数'!$B$39*P361))+'参数'!$B$22*(I361)))/'参数'!$B$44))+(((R361*(1+'参数'!$B$39*P361))^2/((R361*(1+'参数'!$B$39*P361))+'参数'!$B$22*(I361)))*(1+'参数'!$B$42*P361)/'参数'!$J$6+((R361*'参数'!$B$45*(1+'参数'!$B$39*P361))^2/((R361*'参数'!$B$45*(1+'参数'!$B$39*P361))+'参数'!$B$22*(I361)))/'参数'!$B$46)+((S361*(1+'参数'!$B$39*P361))^2/((S361*(1+'参数'!$B$39*P361))+'参数'!$B$22*(I361)))*(1+'参数'!$B$42*P361)/'参数'!$J$7)*(1+'参数'!$B$37*('参数'!$B$38-1))*'参数'!$B$25</x:f>
        <x:v>62921.9115191509</x:v>
      </x:c>
      <x:c r="W361" s="19" t="n">
        <x:f>(('参数'!$K$5*(((Q361*(1+'参数'!$B$39*P361))^2/((Q361*(1+'参数'!$B$39*P361))+'参数'!$B$22*(M361)))*(1+'参数'!$B$42*P361)/'参数'!$J$5+((Q361*'参数'!$B$43*(1+'参数'!$B$39*P361))^2/((Q361*'参数'!$B$43*(1+'参数'!$B$39*P361))+'参数'!$B$22*(M361)))/'参数'!$B$44))+(((R361*(1+'参数'!$B$39*P361))^2/((R361*(1+'参数'!$B$39*P361))+'参数'!$B$22*(M361)))*(1+'参数'!$B$42*P361)/'参数'!$J$6+((R361*'参数'!$B$45*(1+'参数'!$B$39*P361))^2/((R361*'参数'!$B$45*(1+'参数'!$B$39*P361))+'参数'!$B$22*(M361)))/'参数'!$B$46)+((S361*(1+'参数'!$B$39*P361))^2/((S361*(1+'参数'!$B$39*P361))+'参数'!$B$22*(M361)))*(1+'参数'!$B$42*P361)/'参数'!$J$7)*(1+'参数'!$B$37*('参数'!$B$38-1))</x:f>
        <x:v>48471.92860891668</x:v>
      </x:c>
      <x:c r="X361" s="26" t="n">
        <x:f>('参数'!$B$26+'参数'!$B$27*(D361-1)/99)*'参数'!$K$28*AD361</x:f>
        <x:v>21.599999999999998</x:v>
      </x:c>
      <x:c r="Y361" s="26" t="n">
        <x:f>('参数'!$B$28+'参数'!$B$29*(D361-1)/99)*'参数'!$K$28*AD361*IF(AE361=1,'参数'!$B$51,1)</x:f>
        <x:v>60</x:v>
      </x:c>
      <x:c r="Z361" s="22" t="n">
        <x:f>MIN('参数'!$B$36,U361/(U361+'参数'!$B$35))</x:f>
        <x:v>0.5925587069832965</x:v>
      </x:c>
      <x:c r="AA361" s="19" t="n">
        <x:f>T361*'参数'!$B$30/('参数'!$B$32*'参数'!$B$33)/(1-Z361)*AC361</x:f>
        <x:v>7254.266897269082</x:v>
      </x:c>
      <x:c r="AB361" s="19" t="n">
        <x:f>T361*'参数'!$B$31/'参数'!$B$34/(1-Z361)*AC361</x:f>
        <x:v>14508.533794538167</x:v>
      </x:c>
      <x:c r="AC361" s="20" t="n">
        <x:f>'参数'!$L$28*1</x:f>
        <x:v>1.1</x:v>
      </x:c>
      <x:c r="AD361" s="20" t="n">
        <x:f>1</x:f>
        <x:v>1</x:v>
      </x:c>
      <x:c r="AE361" s="19" t="n">
        <x:f>IF(MOD(B361,12)=0,1,0)</x:f>
        <x:v>0</x:v>
      </x:c>
    </x:row>
    <x:row r="362" ht="22" customHeight="1">
      <x:c r="A362" s="18" t="str">
        <x:v>噩梦</x:v>
      </x:c>
      <x:c r="B362" s="18" t="n">
        <x:v>117</x:v>
      </x:c>
      <x:c r="C362" s="18" t="n">
        <x:f>ROUNDUP(B362/12,0)</x:f>
        <x:v>10</x:v>
      </x:c>
      <x:c r="D362" s="18" t="n">
        <x:f>ROUND(MAX('参数'!$G$28,E362)+(IF(C362&lt;10,INDEX('参数'!$G$36:$P$36,1,MIN(10,C362+1)),'参数'!$H$28)-MAX('参数'!$G$28,E362))*MOD(B362-1,12)/11,0)</x:f>
        <x:v>100</x:v>
      </x:c>
      <x:c r="E362" s="18" t="n">
        <x:f>INDEX('参数'!$G$36:$P$36,1,C362)</x:f>
        <x:v>100</x:v>
      </x:c>
      <x:c r="F362" s="15" t="n">
        <x:f>'参数'!$I$28</x:f>
        <x:v>1.16</x:v>
      </x:c>
      <x:c r="G362" s="18" t="n">
        <x:f>ROUND(V362*X362/'参数'!$B$56,0)</x:f>
        <x:v>295459</x:v>
      </x:c>
      <x:c r="H362" s="18" t="n">
        <x:f>ROUND((AA362+SQRT(AA362^2+4*AA362*'参数'!$B$22*U362))/2,0)</x:f>
        <x:v>11745</x:v>
      </x:c>
      <x:c r="I362" s="18" t="n">
        <x:f>ROUND(Q362*'参数'!$B$23/'参数'!$B$22,0)</x:f>
        <x:v>1865</x:v>
      </x:c>
      <x:c r="J362" s="18" t="n">
        <x:f>ROUND(G362*'参数'!$B$50,0)</x:f>
        <x:v>886377</x:v>
      </x:c>
      <x:c r="K362" s="18" t="n">
        <x:f>ROUND(W362*Y362,0)</x:f>
        <x:v>2908316</x:v>
      </x:c>
      <x:c r="L362" s="18" t="n">
        <x:f>ROUND((AB362+SQRT(AB362^2+4*AB362*'参数'!$B$22*U362))/2,0)</x:f>
        <x:v>19829</x:v>
      </x:c>
      <x:c r="M362" s="18" t="n">
        <x:f>ROUND(I362*'参数'!$B$24,0)</x:f>
        <x:v>2331</x:v>
      </x:c>
      <x:c r="N362" s="18" t="n">
        <x:f>'参数'!$B$9*'参数'!$B$10^(D362-1)</x:f>
        <x:v>11195.319600498813</x:v>
      </x:c>
      <x:c r="O362" s="18" t="n">
        <x:f>'参数'!$B$18*'参数'!$B$19^(MIN(E362,MAX(1,5*INT(D362/5)))-1)*F362*'参数'!$J$28*P362</x:f>
        <x:v>1645.4365043728462</x:v>
      </x:c>
      <x:c r="P362" s="21" t="n">
        <x:f>MIN(1,(D362-1)/19)</x:f>
        <x:v>1</x:v>
      </x:c>
      <x:c r="Q362" s="18" t="n">
        <x:f>INDEX('角色成长'!$F$6:$F$105,D362)+O362*'参数'!$K$21</x:f>
        <x:v>9323.494037462613</x:v>
      </x:c>
      <x:c r="R362" s="18" t="n">
        <x:f>INDEX('角色成长'!$I$6:$I$105,D362)+O362*'参数'!$K$21</x:f>
        <x:v>8025.494037462612</x:v>
      </x:c>
      <x:c r="S362" s="18" t="n">
        <x:f>INDEX('角色成长'!$L$6:$L$105,D362)+O362*'参数'!$K$21</x:f>
        <x:v>7284.494037462612</x:v>
      </x:c>
      <x:c r="T362" s="18" t="n">
        <x:f>(INDEX('角色成长'!$J$6:$J$105,D362)+O362*'参数'!$L$21)*(1+'参数'!$B$40*P362)</x:f>
        <x:v>107479.55943678491</x:v>
      </x:c>
      <x:c r="U362" s="18" t="n">
        <x:f>(INDEX('角色成长'!$K$6:$K$105,D362)+O362*'参数'!$M$21)*(1+'参数'!$B$41*P362)</x:f>
        <x:v>5817.3652709177295</x:v>
      </x:c>
      <x:c r="V362" s="18" t="n">
        <x:f>(('参数'!$K$5*(((Q362*(1+'参数'!$B$39*P362))^2/((Q362*(1+'参数'!$B$39*P362))+'参数'!$B$22*(I362)))*(1+'参数'!$B$42*P362)/'参数'!$J$5+((Q362*'参数'!$B$43*(1+'参数'!$B$39*P362))^2/((Q362*'参数'!$B$43*(1+'参数'!$B$39*P362))+'参数'!$B$22*(I362)))/'参数'!$B$44))+(((R362*(1+'参数'!$B$39*P362))^2/((R362*(1+'参数'!$B$39*P362))+'参数'!$B$22*(I362)))*(1+'参数'!$B$42*P362)/'参数'!$J$6+((R362*'参数'!$B$45*(1+'参数'!$B$39*P362))^2/((R362*'参数'!$B$45*(1+'参数'!$B$39*P362))+'参数'!$B$22*(I362)))/'参数'!$B$46)+((S362*(1+'参数'!$B$39*P362))^2/((S362*(1+'参数'!$B$39*P362))+'参数'!$B$22*(I362)))*(1+'参数'!$B$42*P362)/'参数'!$J$7)*(1+'参数'!$B$37*('参数'!$B$38-1))*'参数'!$B$25</x:f>
        <x:v>62921.9115191509</x:v>
      </x:c>
      <x:c r="W362" s="18" t="n">
        <x:f>(('参数'!$K$5*(((Q362*(1+'参数'!$B$39*P362))^2/((Q362*(1+'参数'!$B$39*P362))+'参数'!$B$22*(M362)))*(1+'参数'!$B$42*P362)/'参数'!$J$5+((Q362*'参数'!$B$43*(1+'参数'!$B$39*P362))^2/((Q362*'参数'!$B$43*(1+'参数'!$B$39*P362))+'参数'!$B$22*(M362)))/'参数'!$B$44))+(((R362*(1+'参数'!$B$39*P362))^2/((R362*(1+'参数'!$B$39*P362))+'参数'!$B$22*(M362)))*(1+'参数'!$B$42*P362)/'参数'!$J$6+((R362*'参数'!$B$45*(1+'参数'!$B$39*P362))^2/((R362*'参数'!$B$45*(1+'参数'!$B$39*P362))+'参数'!$B$22*(M362)))/'参数'!$B$46)+((S362*(1+'参数'!$B$39*P362))^2/((S362*(1+'参数'!$B$39*P362))+'参数'!$B$22*(M362)))*(1+'参数'!$B$42*P362)/'参数'!$J$7)*(1+'参数'!$B$37*('参数'!$B$38-1))</x:f>
        <x:v>48471.92860891668</x:v>
      </x:c>
      <x:c r="X362" s="25" t="n">
        <x:f>('参数'!$B$26+'参数'!$B$27*(D362-1)/99)*'参数'!$K$28*AD362</x:f>
        <x:v>21.599999999999998</x:v>
      </x:c>
      <x:c r="Y362" s="25" t="n">
        <x:f>('参数'!$B$28+'参数'!$B$29*(D362-1)/99)*'参数'!$K$28*AD362*IF(AE362=1,'参数'!$B$51,1)</x:f>
        <x:v>60</x:v>
      </x:c>
      <x:c r="Z362" s="21" t="n">
        <x:f>MIN('参数'!$B$36,U362/(U362+'参数'!$B$35))</x:f>
        <x:v>0.5925587069832965</x:v>
      </x:c>
      <x:c r="AA362" s="18" t="n">
        <x:f>T362*'参数'!$B$30/('参数'!$B$32*'参数'!$B$33)/(1-Z362)*AC362</x:f>
        <x:v>7254.266897269082</x:v>
      </x:c>
      <x:c r="AB362" s="18" t="n">
        <x:f>T362*'参数'!$B$31/'参数'!$B$34/(1-Z362)*AC362</x:f>
        <x:v>14508.533794538167</x:v>
      </x:c>
      <x:c r="AC362" s="15" t="n">
        <x:f>'参数'!$L$28*1</x:f>
        <x:v>1.1</x:v>
      </x:c>
      <x:c r="AD362" s="15" t="n">
        <x:f>1</x:f>
        <x:v>1</x:v>
      </x:c>
      <x:c r="AE362" s="18" t="n">
        <x:f>IF(MOD(B362,12)=0,1,0)</x:f>
        <x:v>0</x:v>
      </x:c>
    </x:row>
    <x:row r="363" ht="22" customHeight="1">
      <x:c r="A363" s="19" t="str">
        <x:v>噩梦</x:v>
      </x:c>
      <x:c r="B363" s="19" t="n">
        <x:v>118</x:v>
      </x:c>
      <x:c r="C363" s="19" t="n">
        <x:f>ROUNDUP(B363/12,0)</x:f>
        <x:v>10</x:v>
      </x:c>
      <x:c r="D363" s="19" t="n">
        <x:f>ROUND(MAX('参数'!$G$28,E363)+(IF(C363&lt;10,INDEX('参数'!$G$36:$P$36,1,MIN(10,C363+1)),'参数'!$H$28)-MAX('参数'!$G$28,E363))*MOD(B363-1,12)/11,0)</x:f>
        <x:v>100</x:v>
      </x:c>
      <x:c r="E363" s="19" t="n">
        <x:f>INDEX('参数'!$G$36:$P$36,1,C363)</x:f>
        <x:v>100</x:v>
      </x:c>
      <x:c r="F363" s="20" t="n">
        <x:f>'参数'!$I$28</x:f>
        <x:v>1.16</x:v>
      </x:c>
      <x:c r="G363" s="19" t="n">
        <x:f>ROUND(V363*X363/'参数'!$B$56,0)</x:f>
        <x:v>295459</x:v>
      </x:c>
      <x:c r="H363" s="19" t="n">
        <x:f>ROUND((AA363+SQRT(AA363^2+4*AA363*'参数'!$B$22*U363))/2,0)</x:f>
        <x:v>11745</x:v>
      </x:c>
      <x:c r="I363" s="19" t="n">
        <x:f>ROUND(Q363*'参数'!$B$23/'参数'!$B$22,0)</x:f>
        <x:v>1865</x:v>
      </x:c>
      <x:c r="J363" s="19" t="n">
        <x:f>ROUND(G363*'参数'!$B$50,0)</x:f>
        <x:v>886377</x:v>
      </x:c>
      <x:c r="K363" s="19" t="n">
        <x:f>ROUND(W363*Y363,0)</x:f>
        <x:v>2908316</x:v>
      </x:c>
      <x:c r="L363" s="19" t="n">
        <x:f>ROUND((AB363+SQRT(AB363^2+4*AB363*'参数'!$B$22*U363))/2,0)</x:f>
        <x:v>19829</x:v>
      </x:c>
      <x:c r="M363" s="19" t="n">
        <x:f>ROUND(I363*'参数'!$B$24,0)</x:f>
        <x:v>2331</x:v>
      </x:c>
      <x:c r="N363" s="19" t="n">
        <x:f>'参数'!$B$9*'参数'!$B$10^(D363-1)</x:f>
        <x:v>11195.319600498813</x:v>
      </x:c>
      <x:c r="O363" s="19" t="n">
        <x:f>'参数'!$B$18*'参数'!$B$19^(MIN(E363,MAX(1,5*INT(D363/5)))-1)*F363*'参数'!$J$28*P363</x:f>
        <x:v>1645.4365043728462</x:v>
      </x:c>
      <x:c r="P363" s="22" t="n">
        <x:f>MIN(1,(D363-1)/19)</x:f>
        <x:v>1</x:v>
      </x:c>
      <x:c r="Q363" s="19" t="n">
        <x:f>INDEX('角色成长'!$F$6:$F$105,D363)+O363*'参数'!$K$21</x:f>
        <x:v>9323.494037462613</x:v>
      </x:c>
      <x:c r="R363" s="19" t="n">
        <x:f>INDEX('角色成长'!$I$6:$I$105,D363)+O363*'参数'!$K$21</x:f>
        <x:v>8025.494037462612</x:v>
      </x:c>
      <x:c r="S363" s="19" t="n">
        <x:f>INDEX('角色成长'!$L$6:$L$105,D363)+O363*'参数'!$K$21</x:f>
        <x:v>7284.494037462612</x:v>
      </x:c>
      <x:c r="T363" s="19" t="n">
        <x:f>(INDEX('角色成长'!$J$6:$J$105,D363)+O363*'参数'!$L$21)*(1+'参数'!$B$40*P363)</x:f>
        <x:v>107479.55943678491</x:v>
      </x:c>
      <x:c r="U363" s="19" t="n">
        <x:f>(INDEX('角色成长'!$K$6:$K$105,D363)+O363*'参数'!$M$21)*(1+'参数'!$B$41*P363)</x:f>
        <x:v>5817.3652709177295</x:v>
      </x:c>
      <x:c r="V363" s="19" t="n">
        <x:f>(('参数'!$K$5*(((Q363*(1+'参数'!$B$39*P363))^2/((Q363*(1+'参数'!$B$39*P363))+'参数'!$B$22*(I363)))*(1+'参数'!$B$42*P363)/'参数'!$J$5+((Q363*'参数'!$B$43*(1+'参数'!$B$39*P363))^2/((Q363*'参数'!$B$43*(1+'参数'!$B$39*P363))+'参数'!$B$22*(I363)))/'参数'!$B$44))+(((R363*(1+'参数'!$B$39*P363))^2/((R363*(1+'参数'!$B$39*P363))+'参数'!$B$22*(I363)))*(1+'参数'!$B$42*P363)/'参数'!$J$6+((R363*'参数'!$B$45*(1+'参数'!$B$39*P363))^2/((R363*'参数'!$B$45*(1+'参数'!$B$39*P363))+'参数'!$B$22*(I363)))/'参数'!$B$46)+((S363*(1+'参数'!$B$39*P363))^2/((S363*(1+'参数'!$B$39*P363))+'参数'!$B$22*(I363)))*(1+'参数'!$B$42*P363)/'参数'!$J$7)*(1+'参数'!$B$37*('参数'!$B$38-1))*'参数'!$B$25</x:f>
        <x:v>62921.9115191509</x:v>
      </x:c>
      <x:c r="W363" s="19" t="n">
        <x:f>(('参数'!$K$5*(((Q363*(1+'参数'!$B$39*P363))^2/((Q363*(1+'参数'!$B$39*P363))+'参数'!$B$22*(M363)))*(1+'参数'!$B$42*P363)/'参数'!$J$5+((Q363*'参数'!$B$43*(1+'参数'!$B$39*P363))^2/((Q363*'参数'!$B$43*(1+'参数'!$B$39*P363))+'参数'!$B$22*(M363)))/'参数'!$B$44))+(((R363*(1+'参数'!$B$39*P363))^2/((R363*(1+'参数'!$B$39*P363))+'参数'!$B$22*(M363)))*(1+'参数'!$B$42*P363)/'参数'!$J$6+((R363*'参数'!$B$45*(1+'参数'!$B$39*P363))^2/((R363*'参数'!$B$45*(1+'参数'!$B$39*P363))+'参数'!$B$22*(M363)))/'参数'!$B$46)+((S363*(1+'参数'!$B$39*P363))^2/((S363*(1+'参数'!$B$39*P363))+'参数'!$B$22*(M363)))*(1+'参数'!$B$42*P363)/'参数'!$J$7)*(1+'参数'!$B$37*('参数'!$B$38-1))</x:f>
        <x:v>48471.92860891668</x:v>
      </x:c>
      <x:c r="X363" s="26" t="n">
        <x:f>('参数'!$B$26+'参数'!$B$27*(D363-1)/99)*'参数'!$K$28*AD363</x:f>
        <x:v>21.599999999999998</x:v>
      </x:c>
      <x:c r="Y363" s="26" t="n">
        <x:f>('参数'!$B$28+'参数'!$B$29*(D363-1)/99)*'参数'!$K$28*AD363*IF(AE363=1,'参数'!$B$51,1)</x:f>
        <x:v>60</x:v>
      </x:c>
      <x:c r="Z363" s="22" t="n">
        <x:f>MIN('参数'!$B$36,U363/(U363+'参数'!$B$35))</x:f>
        <x:v>0.5925587069832965</x:v>
      </x:c>
      <x:c r="AA363" s="19" t="n">
        <x:f>T363*'参数'!$B$30/('参数'!$B$32*'参数'!$B$33)/(1-Z363)*AC363</x:f>
        <x:v>7254.266897269082</x:v>
      </x:c>
      <x:c r="AB363" s="19" t="n">
        <x:f>T363*'参数'!$B$31/'参数'!$B$34/(1-Z363)*AC363</x:f>
        <x:v>14508.533794538167</x:v>
      </x:c>
      <x:c r="AC363" s="20" t="n">
        <x:f>'参数'!$L$28*1</x:f>
        <x:v>1.1</x:v>
      </x:c>
      <x:c r="AD363" s="20" t="n">
        <x:f>1</x:f>
        <x:v>1</x:v>
      </x:c>
      <x:c r="AE363" s="19" t="n">
        <x:f>IF(MOD(B363,12)=0,1,0)</x:f>
        <x:v>0</x:v>
      </x:c>
    </x:row>
    <x:row r="364" ht="22" customHeight="1">
      <x:c r="A364" s="18" t="str">
        <x:v>噩梦</x:v>
      </x:c>
      <x:c r="B364" s="18" t="n">
        <x:v>119</x:v>
      </x:c>
      <x:c r="C364" s="18" t="n">
        <x:f>ROUNDUP(B364/12,0)</x:f>
        <x:v>10</x:v>
      </x:c>
      <x:c r="D364" s="18" t="n">
        <x:f>ROUND(MAX('参数'!$G$28,E364)+(IF(C364&lt;10,INDEX('参数'!$G$36:$P$36,1,MIN(10,C364+1)),'参数'!$H$28)-MAX('参数'!$G$28,E364))*MOD(B364-1,12)/11,0)</x:f>
        <x:v>100</x:v>
      </x:c>
      <x:c r="E364" s="18" t="n">
        <x:f>INDEX('参数'!$G$36:$P$36,1,C364)</x:f>
        <x:v>100</x:v>
      </x:c>
      <x:c r="F364" s="15" t="n">
        <x:f>'参数'!$I$28</x:f>
        <x:v>1.16</x:v>
      </x:c>
      <x:c r="G364" s="18" t="n">
        <x:f>ROUND(V364*X364/'参数'!$B$56,0)</x:f>
        <x:v>295459</x:v>
      </x:c>
      <x:c r="H364" s="18" t="n">
        <x:f>ROUND((AA364+SQRT(AA364^2+4*AA364*'参数'!$B$22*U364))/2,0)</x:f>
        <x:v>11745</x:v>
      </x:c>
      <x:c r="I364" s="18" t="n">
        <x:f>ROUND(Q364*'参数'!$B$23/'参数'!$B$22,0)</x:f>
        <x:v>1865</x:v>
      </x:c>
      <x:c r="J364" s="18" t="n">
        <x:f>ROUND(G364*'参数'!$B$50,0)</x:f>
        <x:v>886377</x:v>
      </x:c>
      <x:c r="K364" s="18" t="n">
        <x:f>ROUND(W364*Y364,0)</x:f>
        <x:v>2908316</x:v>
      </x:c>
      <x:c r="L364" s="18" t="n">
        <x:f>ROUND((AB364+SQRT(AB364^2+4*AB364*'参数'!$B$22*U364))/2,0)</x:f>
        <x:v>19829</x:v>
      </x:c>
      <x:c r="M364" s="18" t="n">
        <x:f>ROUND(I364*'参数'!$B$24,0)</x:f>
        <x:v>2331</x:v>
      </x:c>
      <x:c r="N364" s="18" t="n">
        <x:f>'参数'!$B$9*'参数'!$B$10^(D364-1)</x:f>
        <x:v>11195.319600498813</x:v>
      </x:c>
      <x:c r="O364" s="18" t="n">
        <x:f>'参数'!$B$18*'参数'!$B$19^(MIN(E364,MAX(1,5*INT(D364/5)))-1)*F364*'参数'!$J$28*P364</x:f>
        <x:v>1645.4365043728462</x:v>
      </x:c>
      <x:c r="P364" s="21" t="n">
        <x:f>MIN(1,(D364-1)/19)</x:f>
        <x:v>1</x:v>
      </x:c>
      <x:c r="Q364" s="18" t="n">
        <x:f>INDEX('角色成长'!$F$6:$F$105,D364)+O364*'参数'!$K$21</x:f>
        <x:v>9323.494037462613</x:v>
      </x:c>
      <x:c r="R364" s="18" t="n">
        <x:f>INDEX('角色成长'!$I$6:$I$105,D364)+O364*'参数'!$K$21</x:f>
        <x:v>8025.494037462612</x:v>
      </x:c>
      <x:c r="S364" s="18" t="n">
        <x:f>INDEX('角色成长'!$L$6:$L$105,D364)+O364*'参数'!$K$21</x:f>
        <x:v>7284.494037462612</x:v>
      </x:c>
      <x:c r="T364" s="18" t="n">
        <x:f>(INDEX('角色成长'!$J$6:$J$105,D364)+O364*'参数'!$L$21)*(1+'参数'!$B$40*P364)</x:f>
        <x:v>107479.55943678491</x:v>
      </x:c>
      <x:c r="U364" s="18" t="n">
        <x:f>(INDEX('角色成长'!$K$6:$K$105,D364)+O364*'参数'!$M$21)*(1+'参数'!$B$41*P364)</x:f>
        <x:v>5817.3652709177295</x:v>
      </x:c>
      <x:c r="V364" s="18" t="n">
        <x:f>(('参数'!$K$5*(((Q364*(1+'参数'!$B$39*P364))^2/((Q364*(1+'参数'!$B$39*P364))+'参数'!$B$22*(I364)))*(1+'参数'!$B$42*P364)/'参数'!$J$5+((Q364*'参数'!$B$43*(1+'参数'!$B$39*P364))^2/((Q364*'参数'!$B$43*(1+'参数'!$B$39*P364))+'参数'!$B$22*(I364)))/'参数'!$B$44))+(((R364*(1+'参数'!$B$39*P364))^2/((R364*(1+'参数'!$B$39*P364))+'参数'!$B$22*(I364)))*(1+'参数'!$B$42*P364)/'参数'!$J$6+((R364*'参数'!$B$45*(1+'参数'!$B$39*P364))^2/((R364*'参数'!$B$45*(1+'参数'!$B$39*P364))+'参数'!$B$22*(I364)))/'参数'!$B$46)+((S364*(1+'参数'!$B$39*P364))^2/((S364*(1+'参数'!$B$39*P364))+'参数'!$B$22*(I364)))*(1+'参数'!$B$42*P364)/'参数'!$J$7)*(1+'参数'!$B$37*('参数'!$B$38-1))*'参数'!$B$25</x:f>
        <x:v>62921.9115191509</x:v>
      </x:c>
      <x:c r="W364" s="18" t="n">
        <x:f>(('参数'!$K$5*(((Q364*(1+'参数'!$B$39*P364))^2/((Q364*(1+'参数'!$B$39*P364))+'参数'!$B$22*(M364)))*(1+'参数'!$B$42*P364)/'参数'!$J$5+((Q364*'参数'!$B$43*(1+'参数'!$B$39*P364))^2/((Q364*'参数'!$B$43*(1+'参数'!$B$39*P364))+'参数'!$B$22*(M364)))/'参数'!$B$44))+(((R364*(1+'参数'!$B$39*P364))^2/((R364*(1+'参数'!$B$39*P364))+'参数'!$B$22*(M364)))*(1+'参数'!$B$42*P364)/'参数'!$J$6+((R364*'参数'!$B$45*(1+'参数'!$B$39*P364))^2/((R364*'参数'!$B$45*(1+'参数'!$B$39*P364))+'参数'!$B$22*(M364)))/'参数'!$B$46)+((S364*(1+'参数'!$B$39*P364))^2/((S364*(1+'参数'!$B$39*P364))+'参数'!$B$22*(M364)))*(1+'参数'!$B$42*P364)/'参数'!$J$7)*(1+'参数'!$B$37*('参数'!$B$38-1))</x:f>
        <x:v>48471.92860891668</x:v>
      </x:c>
      <x:c r="X364" s="25" t="n">
        <x:f>('参数'!$B$26+'参数'!$B$27*(D364-1)/99)*'参数'!$K$28*AD364</x:f>
        <x:v>21.599999999999998</x:v>
      </x:c>
      <x:c r="Y364" s="25" t="n">
        <x:f>('参数'!$B$28+'参数'!$B$29*(D364-1)/99)*'参数'!$K$28*AD364*IF(AE364=1,'参数'!$B$51,1)</x:f>
        <x:v>60</x:v>
      </x:c>
      <x:c r="Z364" s="21" t="n">
        <x:f>MIN('参数'!$B$36,U364/(U364+'参数'!$B$35))</x:f>
        <x:v>0.5925587069832965</x:v>
      </x:c>
      <x:c r="AA364" s="18" t="n">
        <x:f>T364*'参数'!$B$30/('参数'!$B$32*'参数'!$B$33)/(1-Z364)*AC364</x:f>
        <x:v>7254.266897269082</x:v>
      </x:c>
      <x:c r="AB364" s="18" t="n">
        <x:f>T364*'参数'!$B$31/'参数'!$B$34/(1-Z364)*AC364</x:f>
        <x:v>14508.533794538167</x:v>
      </x:c>
      <x:c r="AC364" s="15" t="n">
        <x:f>'参数'!$L$28*1</x:f>
        <x:v>1.1</x:v>
      </x:c>
      <x:c r="AD364" s="15" t="n">
        <x:f>1</x:f>
        <x:v>1</x:v>
      </x:c>
      <x:c r="AE364" s="18" t="n">
        <x:f>IF(MOD(B364,12)=0,1,0)</x:f>
        <x:v>0</x:v>
      </x:c>
    </x:row>
    <x:row r="365" ht="22" customHeight="1">
      <x:c r="A365" s="19" t="str">
        <x:v>噩梦</x:v>
      </x:c>
      <x:c r="B365" s="19" t="n">
        <x:v>120</x:v>
      </x:c>
      <x:c r="C365" s="19" t="n">
        <x:f>ROUNDUP(B365/12,0)</x:f>
        <x:v>10</x:v>
      </x:c>
      <x:c r="D365" s="19" t="n">
        <x:f>ROUND(MAX('参数'!$G$28,E365)+(IF(C365&lt;10,INDEX('参数'!$G$36:$P$36,1,MIN(10,C365+1)),'参数'!$H$28)-MAX('参数'!$G$28,E365))*MOD(B365-1,12)/11,0)</x:f>
        <x:v>100</x:v>
      </x:c>
      <x:c r="E365" s="19" t="n">
        <x:f>INDEX('参数'!$G$36:$P$36,1,C365)</x:f>
        <x:v>100</x:v>
      </x:c>
      <x:c r="F365" s="20" t="n">
        <x:f>'参数'!$I$28</x:f>
        <x:v>1.16</x:v>
      </x:c>
      <x:c r="G365" s="19" t="n">
        <x:f>ROUND(V365*X365/'参数'!$B$56,0)</x:f>
        <x:v>295459</x:v>
      </x:c>
      <x:c r="H365" s="19" t="n">
        <x:f>ROUND((AA365+SQRT(AA365^2+4*AA365*'参数'!$B$22*U365))/2,0)</x:f>
        <x:v>11745</x:v>
      </x:c>
      <x:c r="I365" s="19" t="n">
        <x:f>ROUND(Q365*'参数'!$B$23/'参数'!$B$22,0)</x:f>
        <x:v>1865</x:v>
      </x:c>
      <x:c r="J365" s="19" t="n">
        <x:f>ROUND(G365*'参数'!$B$50,0)</x:f>
        <x:v>886377</x:v>
      </x:c>
      <x:c r="K365" s="19" t="n">
        <x:f>ROUND(W365*Y365,0)</x:f>
        <x:v>3344563</x:v>
      </x:c>
      <x:c r="L365" s="19" t="n">
        <x:f>ROUND((AB365+SQRT(AB365^2+4*AB365*'参数'!$B$22*U365))/2,0)</x:f>
        <x:v>19829</x:v>
      </x:c>
      <x:c r="M365" s="19" t="n">
        <x:f>ROUND(I365*'参数'!$B$24,0)</x:f>
        <x:v>2331</x:v>
      </x:c>
      <x:c r="N365" s="19" t="n">
        <x:f>'参数'!$B$9*'参数'!$B$10^(D365-1)</x:f>
        <x:v>11195.319600498813</x:v>
      </x:c>
      <x:c r="O365" s="19" t="n">
        <x:f>'参数'!$B$18*'参数'!$B$19^(MIN(E365,MAX(1,5*INT(D365/5)))-1)*F365*'参数'!$J$28*P365</x:f>
        <x:v>1645.4365043728462</x:v>
      </x:c>
      <x:c r="P365" s="22" t="n">
        <x:f>MIN(1,(D365-1)/19)</x:f>
        <x:v>1</x:v>
      </x:c>
      <x:c r="Q365" s="19" t="n">
        <x:f>INDEX('角色成长'!$F$6:$F$105,D365)+O365*'参数'!$K$21</x:f>
        <x:v>9323.494037462613</x:v>
      </x:c>
      <x:c r="R365" s="19" t="n">
        <x:f>INDEX('角色成长'!$I$6:$I$105,D365)+O365*'参数'!$K$21</x:f>
        <x:v>8025.494037462612</x:v>
      </x:c>
      <x:c r="S365" s="19" t="n">
        <x:f>INDEX('角色成长'!$L$6:$L$105,D365)+O365*'参数'!$K$21</x:f>
        <x:v>7284.494037462612</x:v>
      </x:c>
      <x:c r="T365" s="19" t="n">
        <x:f>(INDEX('角色成长'!$J$6:$J$105,D365)+O365*'参数'!$L$21)*(1+'参数'!$B$40*P365)</x:f>
        <x:v>107479.55943678491</x:v>
      </x:c>
      <x:c r="U365" s="19" t="n">
        <x:f>(INDEX('角色成长'!$K$6:$K$105,D365)+O365*'参数'!$M$21)*(1+'参数'!$B$41*P365)</x:f>
        <x:v>5817.3652709177295</x:v>
      </x:c>
      <x:c r="V365" s="19" t="n">
        <x:f>(('参数'!$K$5*(((Q365*(1+'参数'!$B$39*P365))^2/((Q365*(1+'参数'!$B$39*P365))+'参数'!$B$22*(I365)))*(1+'参数'!$B$42*P365)/'参数'!$J$5+((Q365*'参数'!$B$43*(1+'参数'!$B$39*P365))^2/((Q365*'参数'!$B$43*(1+'参数'!$B$39*P365))+'参数'!$B$22*(I365)))/'参数'!$B$44))+(((R365*(1+'参数'!$B$39*P365))^2/((R365*(1+'参数'!$B$39*P365))+'参数'!$B$22*(I365)))*(1+'参数'!$B$42*P365)/'参数'!$J$6+((R365*'参数'!$B$45*(1+'参数'!$B$39*P365))^2/((R365*'参数'!$B$45*(1+'参数'!$B$39*P365))+'参数'!$B$22*(I365)))/'参数'!$B$46)+((S365*(1+'参数'!$B$39*P365))^2/((S365*(1+'参数'!$B$39*P365))+'参数'!$B$22*(I365)))*(1+'参数'!$B$42*P365)/'参数'!$J$7)*(1+'参数'!$B$37*('参数'!$B$38-1))*'参数'!$B$25</x:f>
        <x:v>62921.9115191509</x:v>
      </x:c>
      <x:c r="W365" s="19" t="n">
        <x:f>(('参数'!$K$5*(((Q365*(1+'参数'!$B$39*P365))^2/((Q365*(1+'参数'!$B$39*P365))+'参数'!$B$22*(M365)))*(1+'参数'!$B$42*P365)/'参数'!$J$5+((Q365*'参数'!$B$43*(1+'参数'!$B$39*P365))^2/((Q365*'参数'!$B$43*(1+'参数'!$B$39*P365))+'参数'!$B$22*(M365)))/'参数'!$B$44))+(((R365*(1+'参数'!$B$39*P365))^2/((R365*(1+'参数'!$B$39*P365))+'参数'!$B$22*(M365)))*(1+'参数'!$B$42*P365)/'参数'!$J$6+((R365*'参数'!$B$45*(1+'参数'!$B$39*P365))^2/((R365*'参数'!$B$45*(1+'参数'!$B$39*P365))+'参数'!$B$22*(M365)))/'参数'!$B$46)+((S365*(1+'参数'!$B$39*P365))^2/((S365*(1+'参数'!$B$39*P365))+'参数'!$B$22*(M365)))*(1+'参数'!$B$42*P365)/'参数'!$J$7)*(1+'参数'!$B$37*('参数'!$B$38-1))</x:f>
        <x:v>48471.92860891668</x:v>
      </x:c>
      <x:c r="X365" s="26" t="n">
        <x:f>('参数'!$B$26+'参数'!$B$27*(D365-1)/99)*'参数'!$K$28*AD365</x:f>
        <x:v>21.599999999999998</x:v>
      </x:c>
      <x:c r="Y365" s="26" t="n">
        <x:f>('参数'!$B$28+'参数'!$B$29*(D365-1)/99)*'参数'!$K$28*AD365*IF(AE365=1,'参数'!$B$51,1)</x:f>
        <x:v>69</x:v>
      </x:c>
      <x:c r="Z365" s="22" t="n">
        <x:f>MIN('参数'!$B$36,U365/(U365+'参数'!$B$35))</x:f>
        <x:v>0.5925587069832965</x:v>
      </x:c>
      <x:c r="AA365" s="19" t="n">
        <x:f>T365*'参数'!$B$30/('参数'!$B$32*'参数'!$B$33)/(1-Z365)*AC365</x:f>
        <x:v>7254.266897269082</x:v>
      </x:c>
      <x:c r="AB365" s="19" t="n">
        <x:f>T365*'参数'!$B$31/'参数'!$B$34/(1-Z365)*AC365</x:f>
        <x:v>14508.533794538167</x:v>
      </x:c>
      <x:c r="AC365" s="20" t="n">
        <x:f>'参数'!$L$28*1</x:f>
        <x:v>1.1</x:v>
      </x:c>
      <x:c r="AD365" s="20" t="n">
        <x:f>1</x:f>
        <x:v>1</x:v>
      </x:c>
      <x:c r="AE365" s="19" t="n">
        <x:f>IF(MOD(B365,12)=0,1,0)</x:f>
        <x:v>1</x:v>
      </x:c>
    </x:row>
    <x:row r="366" ht="22" customHeight="1">
      <x:c r="A366" s="18" t="str">
        <x:v>地狱</x:v>
      </x:c>
      <x:c r="B366" s="18" t="n">
        <x:v>1</x:v>
      </x:c>
      <x:c r="C366" s="18" t="n">
        <x:f>ROUNDUP(B366/12,0)</x:f>
        <x:v>1</x:v>
      </x:c>
      <x:c r="D366" s="18" t="n">
        <x:f>ROUND(MAX('参数'!$G$29,E366)+(IF(C366&lt;10,INDEX('参数'!$G$37:$P$37,1,MIN(10,C366+1)),'参数'!$H$29)-MAX('参数'!$G$29,E366))*MOD(B366-1,12)/11,0)</x:f>
        <x:v>100</x:v>
      </x:c>
      <x:c r="E366" s="18" t="n">
        <x:f>INDEX('参数'!$G$37:$P$37,1,C366)</x:f>
        <x:v>100</x:v>
      </x:c>
      <x:c r="F366" s="15" t="n">
        <x:f>'参数'!$I$29</x:f>
        <x:v>1.29</x:v>
      </x:c>
      <x:c r="G366" s="18" t="n">
        <x:f>ROUND(V366*X366/'参数'!$B$56,0)</x:f>
        <x:v>359612</x:v>
      </x:c>
      <x:c r="H366" s="18" t="n">
        <x:f>ROUND((AA366+SQRT(AA366^2+4*AA366*'参数'!$B$22*U366))/2,0)</x:f>
        <x:v>13796</x:v>
      </x:c>
      <x:c r="I366" s="18" t="n">
        <x:f>ROUND(Q366*'参数'!$B$23/'参数'!$B$22,0)</x:f>
        <x:v>2008</x:v>
      </x:c>
      <x:c r="J366" s="18" t="n">
        <x:f>ROUND(G366*'参数'!$B$50,0)</x:f>
        <x:v>1078836</x:v>
      </x:c>
      <x:c r="K366" s="18" t="n">
        <x:f>ROUND(W366*Y366,0)</x:f>
        <x:v>3540088</x:v>
      </x:c>
      <x:c r="L366" s="18" t="n">
        <x:f>ROUND((AB366+SQRT(AB366^2+4*AB366*'参数'!$B$22*U366))/2,0)</x:f>
        <x:v>23460</x:v>
      </x:c>
      <x:c r="M366" s="18" t="n">
        <x:f>ROUND(I366*'参数'!$B$24,0)</x:f>
        <x:v>2510</x:v>
      </x:c>
      <x:c r="N366" s="18" t="n">
        <x:f>'参数'!$B$9*'参数'!$B$10^(D366-1)</x:f>
        <x:v>11195.319600498813</x:v>
      </x:c>
      <x:c r="O366" s="18" t="n">
        <x:f>'参数'!$B$18*'参数'!$B$19^(MIN(E366,MAX(1,5*INT(D366/5)))-1)*F366*'参数'!$J$29*P366</x:f>
        <x:v>1897.6106812882254</x:v>
      </x:c>
      <x:c r="P366" s="21" t="n">
        <x:f>MIN(1,(D366-1)/19)</x:f>
        <x:v>1</x:v>
      </x:c>
      <x:c r="Q366" s="18" t="n">
        <x:f>INDEX('角色成长'!$F$6:$F$105,D366)+O366*'参数'!$K$21</x:f>
        <x:v>10042.190441671442</x:v>
      </x:c>
      <x:c r="R366" s="18" t="n">
        <x:f>INDEX('角色成长'!$I$6:$I$105,D366)+O366*'参数'!$K$21</x:f>
        <x:v>8744.190441671442</x:v>
      </x:c>
      <x:c r="S366" s="18" t="n">
        <x:f>INDEX('角色成长'!$L$6:$L$105,D366)+O366*'参数'!$K$21</x:f>
        <x:v>8003.190441671442</x:v>
      </x:c>
      <x:c r="T366" s="18" t="n">
        <x:f>(INDEX('角色成长'!$J$6:$J$105,D366)+O366*'参数'!$L$21)*(1+'参数'!$B$40*P366)</x:f>
        <x:v>113637.65283705847</x:v>
      </x:c>
      <x:c r="U366" s="18" t="n">
        <x:f>(INDEX('角色成长'!$K$6:$K$105,D366)+O366*'参数'!$M$21)*(1+'参数'!$B$41*P366)</x:f>
        <x:v>6302.800561479835</x:v>
      </x:c>
      <x:c r="V366" s="18" t="n">
        <x:f>(('参数'!$K$5*(((Q366*(1+'参数'!$B$39*P366))^2/((Q366*(1+'参数'!$B$39*P366))+'参数'!$B$22*(I366)))*(1+'参数'!$B$42*P366)/'参数'!$J$5+((Q366*'参数'!$B$43*(1+'参数'!$B$39*P366))^2/((Q366*'参数'!$B$43*(1+'参数'!$B$39*P366))+'参数'!$B$22*(I366)))/'参数'!$B$44))+(((R366*(1+'参数'!$B$39*P366))^2/((R366*(1+'参数'!$B$39*P366))+'参数'!$B$22*(I366)))*(1+'参数'!$B$42*P366)/'参数'!$J$6+((R366*'参数'!$B$45*(1+'参数'!$B$39*P366))^2/((R366*'参数'!$B$45*(1+'参数'!$B$39*P366))+'参数'!$B$22*(I366)))/'参数'!$B$46)+((S366*(1+'参数'!$B$39*P366))^2/((S366*(1+'参数'!$B$39*P366))+'参数'!$B$22*(I366)))*(1+'参数'!$B$42*P366)/'参数'!$J$7)*(1+'参数'!$B$37*('参数'!$B$38-1))*'参数'!$B$25</x:f>
        <x:v>68074.69622887956</x:v>
      </x:c>
      <x:c r="W366" s="18" t="n">
        <x:f>(('参数'!$K$5*(((Q366*(1+'参数'!$B$39*P366))^2/((Q366*(1+'参数'!$B$39*P366))+'参数'!$B$22*(M366)))*(1+'参数'!$B$42*P366)/'参数'!$J$5+((Q366*'参数'!$B$43*(1+'参数'!$B$39*P366))^2/((Q366*'参数'!$B$43*(1+'参数'!$B$39*P366))+'参数'!$B$22*(M366)))/'参数'!$B$44))+(((R366*(1+'参数'!$B$39*P366))^2/((R366*(1+'参数'!$B$39*P366))+'参数'!$B$22*(M366)))*(1+'参数'!$B$42*P366)/'参数'!$J$6+((R366*'参数'!$B$45*(1+'参数'!$B$39*P366))^2/((R366*'参数'!$B$45*(1+'参数'!$B$39*P366))+'参数'!$B$22*(M366)))/'参数'!$B$46)+((S366*(1+'参数'!$B$39*P366))^2/((S366*(1+'参数'!$B$39*P366))+'参数'!$B$22*(M366)))*(1+'参数'!$B$42*P366)/'参数'!$J$7)*(1+'参数'!$B$37*('参数'!$B$38-1))</x:f>
        <x:v>52445.746688054394</x:v>
      </x:c>
      <x:c r="X366" s="25" t="n">
        <x:f>('参数'!$B$26+'参数'!$B$27*(D366-1)/99)*'参数'!$K$29*AD366</x:f>
        <x:v>24.3</x:v>
      </x:c>
      <x:c r="Y366" s="25" t="n">
        <x:f>('参数'!$B$28+'参数'!$B$29*(D366-1)/99)*'参数'!$K$29*AD366*IF(AE366=1,'参数'!$B$51,1)</x:f>
        <x:v>67.5</x:v>
      </x:c>
      <x:c r="Z366" s="21" t="n">
        <x:f>MIN('参数'!$B$36,U366/(U366+'参数'!$B$35))</x:f>
        <x:v>0.6117560486461108</x:v>
      </x:c>
      <x:c r="AA366" s="18" t="n">
        <x:f>T366*'参数'!$B$30/('参数'!$B$32*'参数'!$B$33)/(1-Z366)*AC366</x:f>
        <x:v>8780.895550911724</x:v>
      </x:c>
      <x:c r="AB366" s="18" t="n">
        <x:f>T366*'参数'!$B$31/'参数'!$B$34/(1-Z366)*AC366</x:f>
        <x:v>17561.791101823448</x:v>
      </x:c>
      <x:c r="AC366" s="15" t="n">
        <x:f>'参数'!$L$29*(1+'参数'!$B$53*(B366-1)/119)</x:f>
        <x:v>1.2</x:v>
      </x:c>
      <x:c r="AD366" s="15" t="n">
        <x:f>1+'参数'!$B$52*(B366-1)/119</x:f>
        <x:v>1</x:v>
      </x:c>
      <x:c r="AE366" s="18" t="n">
        <x:f>IF(MOD(B366,12)=0,1,0)</x:f>
        <x:v>0</x:v>
      </x:c>
    </x:row>
    <x:row r="367" ht="22" customHeight="1">
      <x:c r="A367" s="19" t="str">
        <x:v>地狱</x:v>
      </x:c>
      <x:c r="B367" s="19" t="n">
        <x:v>2</x:v>
      </x:c>
      <x:c r="C367" s="19" t="n">
        <x:f>ROUNDUP(B367/12,0)</x:f>
        <x:v>1</x:v>
      </x:c>
      <x:c r="D367" s="19" t="n">
        <x:f>ROUND(MAX('参数'!$G$29,E367)+(IF(C367&lt;10,INDEX('参数'!$G$37:$P$37,1,MIN(10,C367+1)),'参数'!$H$29)-MAX('参数'!$G$29,E367))*MOD(B367-1,12)/11,0)</x:f>
        <x:v>100</x:v>
      </x:c>
      <x:c r="E367" s="19" t="n">
        <x:f>INDEX('参数'!$G$37:$P$37,1,C367)</x:f>
        <x:v>100</x:v>
      </x:c>
      <x:c r="F367" s="20" t="n">
        <x:f>'参数'!$I$29</x:f>
        <x:v>1.29</x:v>
      </x:c>
      <x:c r="G367" s="19" t="n">
        <x:f>ROUND(V367*X367/'参数'!$B$56,0)</x:f>
        <x:v>360065</x:v>
      </x:c>
      <x:c r="H367" s="19" t="n">
        <x:f>ROUND((AA367+SQRT(AA367^2+4*AA367*'参数'!$B$22*U367))/2,0)</x:f>
        <x:v>13802</x:v>
      </x:c>
      <x:c r="I367" s="19" t="n">
        <x:f>ROUND(Q367*'参数'!$B$23/'参数'!$B$22,0)</x:f>
        <x:v>2008</x:v>
      </x:c>
      <x:c r="J367" s="19" t="n">
        <x:f>ROUND(G367*'参数'!$B$50,0)</x:f>
        <x:v>1080195</x:v>
      </x:c>
      <x:c r="K367" s="19" t="n">
        <x:f>ROUND(W367*Y367,0)</x:f>
        <x:v>3544550</x:v>
      </x:c>
      <x:c r="L367" s="19" t="n">
        <x:f>ROUND((AB367+SQRT(AB367^2+4*AB367*'参数'!$B$22*U367))/2,0)</x:f>
        <x:v>23472</x:v>
      </x:c>
      <x:c r="M367" s="19" t="n">
        <x:f>ROUND(I367*'参数'!$B$24,0)</x:f>
        <x:v>2510</x:v>
      </x:c>
      <x:c r="N367" s="19" t="n">
        <x:f>'参数'!$B$9*'参数'!$B$10^(D367-1)</x:f>
        <x:v>11195.319600498813</x:v>
      </x:c>
      <x:c r="O367" s="19" t="n">
        <x:f>'参数'!$B$18*'参数'!$B$19^(MIN(E367,MAX(1,5*INT(D367/5)))-1)*F367*'参数'!$J$29*P367</x:f>
        <x:v>1897.6106812882254</x:v>
      </x:c>
      <x:c r="P367" s="22" t="n">
        <x:f>MIN(1,(D367-1)/19)</x:f>
        <x:v>1</x:v>
      </x:c>
      <x:c r="Q367" s="19" t="n">
        <x:f>INDEX('角色成长'!$F$6:$F$105,D367)+O367*'参数'!$K$21</x:f>
        <x:v>10042.190441671442</x:v>
      </x:c>
      <x:c r="R367" s="19" t="n">
        <x:f>INDEX('角色成长'!$I$6:$I$105,D367)+O367*'参数'!$K$21</x:f>
        <x:v>8744.190441671442</x:v>
      </x:c>
      <x:c r="S367" s="19" t="n">
        <x:f>INDEX('角色成长'!$L$6:$L$105,D367)+O367*'参数'!$K$21</x:f>
        <x:v>8003.190441671442</x:v>
      </x:c>
      <x:c r="T367" s="19" t="n">
        <x:f>(INDEX('角色成长'!$J$6:$J$105,D367)+O367*'参数'!$L$21)*(1+'参数'!$B$40*P367)</x:f>
        <x:v>113637.65283705847</x:v>
      </x:c>
      <x:c r="U367" s="19" t="n">
        <x:f>(INDEX('角色成长'!$K$6:$K$105,D367)+O367*'参数'!$M$21)*(1+'参数'!$B$41*P367)</x:f>
        <x:v>6302.800561479835</x:v>
      </x:c>
      <x:c r="V367" s="19" t="n">
        <x:f>(('参数'!$K$5*(((Q367*(1+'参数'!$B$39*P367))^2/((Q367*(1+'参数'!$B$39*P367))+'参数'!$B$22*(I367)))*(1+'参数'!$B$42*P367)/'参数'!$J$5+((Q367*'参数'!$B$43*(1+'参数'!$B$39*P367))^2/((Q367*'参数'!$B$43*(1+'参数'!$B$39*P367))+'参数'!$B$22*(I367)))/'参数'!$B$44))+(((R367*(1+'参数'!$B$39*P367))^2/((R367*(1+'参数'!$B$39*P367))+'参数'!$B$22*(I367)))*(1+'参数'!$B$42*P367)/'参数'!$J$6+((R367*'参数'!$B$45*(1+'参数'!$B$39*P367))^2/((R367*'参数'!$B$45*(1+'参数'!$B$39*P367))+'参数'!$B$22*(I367)))/'参数'!$B$46)+((S367*(1+'参数'!$B$39*P367))^2/((S367*(1+'参数'!$B$39*P367))+'参数'!$B$22*(I367)))*(1+'参数'!$B$42*P367)/'参数'!$J$7)*(1+'参数'!$B$37*('参数'!$B$38-1))*'参数'!$B$25</x:f>
        <x:v>68074.69622887956</x:v>
      </x:c>
      <x:c r="W367" s="19" t="n">
        <x:f>(('参数'!$K$5*(((Q367*(1+'参数'!$B$39*P367))^2/((Q367*(1+'参数'!$B$39*P367))+'参数'!$B$22*(M367)))*(1+'参数'!$B$42*P367)/'参数'!$J$5+((Q367*'参数'!$B$43*(1+'参数'!$B$39*P367))^2/((Q367*'参数'!$B$43*(1+'参数'!$B$39*P367))+'参数'!$B$22*(M367)))/'参数'!$B$44))+(((R367*(1+'参数'!$B$39*P367))^2/((R367*(1+'参数'!$B$39*P367))+'参数'!$B$22*(M367)))*(1+'参数'!$B$42*P367)/'参数'!$J$6+((R367*'参数'!$B$45*(1+'参数'!$B$39*P367))^2/((R367*'参数'!$B$45*(1+'参数'!$B$39*P367))+'参数'!$B$22*(M367)))/'参数'!$B$46)+((S367*(1+'参数'!$B$39*P367))^2/((S367*(1+'参数'!$B$39*P367))+'参数'!$B$22*(M367)))*(1+'参数'!$B$42*P367)/'参数'!$J$7)*(1+'参数'!$B$37*('参数'!$B$38-1))</x:f>
        <x:v>52445.746688054394</x:v>
      </x:c>
      <x:c r="X367" s="26" t="n">
        <x:f>('参数'!$B$26+'参数'!$B$27*(D367-1)/99)*'参数'!$K$29*AD367</x:f>
        <x:v>24.330630252100843</x:v>
      </x:c>
      <x:c r="Y367" s="26" t="n">
        <x:f>('参数'!$B$28+'参数'!$B$29*(D367-1)/99)*'参数'!$K$29*AD367*IF(AE367=1,'参数'!$B$51,1)</x:f>
        <x:v>67.58508403361344</x:v>
      </x:c>
      <x:c r="Z367" s="22" t="n">
        <x:f>MIN('参数'!$B$36,U367/(U367+'参数'!$B$35))</x:f>
        <x:v>0.6117560486461108</x:v>
      </x:c>
      <x:c r="AA367" s="19" t="n">
        <x:f>T367*'参数'!$B$30/('参数'!$B$32*'参数'!$B$33)/(1-Z367)*AC367</x:f>
        <x:v>8786.798673971163</x:v>
      </x:c>
      <x:c r="AB367" s="19" t="n">
        <x:f>T367*'参数'!$B$31/'参数'!$B$34/(1-Z367)*AC367</x:f>
        <x:v>17573.597347942326</x:v>
      </x:c>
      <x:c r="AC367" s="20" t="n">
        <x:f>'参数'!$L$29*(1+'参数'!$B$53*(B367-1)/119)</x:f>
        <x:v>1.2008067226890757</x:v>
      </x:c>
      <x:c r="AD367" s="20" t="n">
        <x:f>1+'参数'!$B$52*(B367-1)/119</x:f>
        <x:v>1.0012605042016807</x:v>
      </x:c>
      <x:c r="AE367" s="19" t="n">
        <x:f>IF(MOD(B367,12)=0,1,0)</x:f>
        <x:v>0</x:v>
      </x:c>
    </x:row>
    <x:row r="368" ht="22" customHeight="1">
      <x:c r="A368" s="18" t="str">
        <x:v>地狱</x:v>
      </x:c>
      <x:c r="B368" s="18" t="n">
        <x:v>3</x:v>
      </x:c>
      <x:c r="C368" s="18" t="n">
        <x:f>ROUNDUP(B368/12,0)</x:f>
        <x:v>1</x:v>
      </x:c>
      <x:c r="D368" s="18" t="n">
        <x:f>ROUND(MAX('参数'!$G$29,E368)+(IF(C368&lt;10,INDEX('参数'!$G$37:$P$37,1,MIN(10,C368+1)),'参数'!$H$29)-MAX('参数'!$G$29,E368))*MOD(B368-1,12)/11,0)</x:f>
        <x:v>100</x:v>
      </x:c>
      <x:c r="E368" s="18" t="n">
        <x:f>INDEX('参数'!$G$37:$P$37,1,C368)</x:f>
        <x:v>100</x:v>
      </x:c>
      <x:c r="F368" s="15" t="n">
        <x:f>'参数'!$I$29</x:f>
        <x:v>1.29</x:v>
      </x:c>
      <x:c r="G368" s="18" t="n">
        <x:f>ROUND(V368*X368/'参数'!$B$56,0)</x:f>
        <x:v>360519</x:v>
      </x:c>
      <x:c r="H368" s="18" t="n">
        <x:f>ROUND((AA368+SQRT(AA368^2+4*AA368*'参数'!$B$22*U368))/2,0)</x:f>
        <x:v>13809</x:v>
      </x:c>
      <x:c r="I368" s="18" t="n">
        <x:f>ROUND(Q368*'参数'!$B$23/'参数'!$B$22,0)</x:f>
        <x:v>2008</x:v>
      </x:c>
      <x:c r="J368" s="18" t="n">
        <x:f>ROUND(G368*'参数'!$B$50,0)</x:f>
        <x:v>1081557</x:v>
      </x:c>
      <x:c r="K368" s="18" t="n">
        <x:f>ROUND(W368*Y368,0)</x:f>
        <x:v>3549012</x:v>
      </x:c>
      <x:c r="L368" s="18" t="n">
        <x:f>ROUND((AB368+SQRT(AB368^2+4*AB368*'参数'!$B$22*U368))/2,0)</x:f>
        <x:v>23485</x:v>
      </x:c>
      <x:c r="M368" s="18" t="n">
        <x:f>ROUND(I368*'参数'!$B$24,0)</x:f>
        <x:v>2510</x:v>
      </x:c>
      <x:c r="N368" s="18" t="n">
        <x:f>'参数'!$B$9*'参数'!$B$10^(D368-1)</x:f>
        <x:v>11195.319600498813</x:v>
      </x:c>
      <x:c r="O368" s="18" t="n">
        <x:f>'参数'!$B$18*'参数'!$B$19^(MIN(E368,MAX(1,5*INT(D368/5)))-1)*F368*'参数'!$J$29*P368</x:f>
        <x:v>1897.6106812882254</x:v>
      </x:c>
      <x:c r="P368" s="21" t="n">
        <x:f>MIN(1,(D368-1)/19)</x:f>
        <x:v>1</x:v>
      </x:c>
      <x:c r="Q368" s="18" t="n">
        <x:f>INDEX('角色成长'!$F$6:$F$105,D368)+O368*'参数'!$K$21</x:f>
        <x:v>10042.190441671442</x:v>
      </x:c>
      <x:c r="R368" s="18" t="n">
        <x:f>INDEX('角色成长'!$I$6:$I$105,D368)+O368*'参数'!$K$21</x:f>
        <x:v>8744.190441671442</x:v>
      </x:c>
      <x:c r="S368" s="18" t="n">
        <x:f>INDEX('角色成长'!$L$6:$L$105,D368)+O368*'参数'!$K$21</x:f>
        <x:v>8003.190441671442</x:v>
      </x:c>
      <x:c r="T368" s="18" t="n">
        <x:f>(INDEX('角色成长'!$J$6:$J$105,D368)+O368*'参数'!$L$21)*(1+'参数'!$B$40*P368)</x:f>
        <x:v>113637.65283705847</x:v>
      </x:c>
      <x:c r="U368" s="18" t="n">
        <x:f>(INDEX('角色成长'!$K$6:$K$105,D368)+O368*'参数'!$M$21)*(1+'参数'!$B$41*P368)</x:f>
        <x:v>6302.800561479835</x:v>
      </x:c>
      <x:c r="V368" s="18" t="n">
        <x:f>(('参数'!$K$5*(((Q368*(1+'参数'!$B$39*P368))^2/((Q368*(1+'参数'!$B$39*P368))+'参数'!$B$22*(I368)))*(1+'参数'!$B$42*P368)/'参数'!$J$5+((Q368*'参数'!$B$43*(1+'参数'!$B$39*P368))^2/((Q368*'参数'!$B$43*(1+'参数'!$B$39*P368))+'参数'!$B$22*(I368)))/'参数'!$B$44))+(((R368*(1+'参数'!$B$39*P368))^2/((R368*(1+'参数'!$B$39*P368))+'参数'!$B$22*(I368)))*(1+'参数'!$B$42*P368)/'参数'!$J$6+((R368*'参数'!$B$45*(1+'参数'!$B$39*P368))^2/((R368*'参数'!$B$45*(1+'参数'!$B$39*P368))+'参数'!$B$22*(I368)))/'参数'!$B$46)+((S368*(1+'参数'!$B$39*P368))^2/((S368*(1+'参数'!$B$39*P368))+'参数'!$B$22*(I368)))*(1+'参数'!$B$42*P368)/'参数'!$J$7)*(1+'参数'!$B$37*('参数'!$B$38-1))*'参数'!$B$25</x:f>
        <x:v>68074.69622887956</x:v>
      </x:c>
      <x:c r="W368" s="18" t="n">
        <x:f>(('参数'!$K$5*(((Q368*(1+'参数'!$B$39*P368))^2/((Q368*(1+'参数'!$B$39*P368))+'参数'!$B$22*(M368)))*(1+'参数'!$B$42*P368)/'参数'!$J$5+((Q368*'参数'!$B$43*(1+'参数'!$B$39*P368))^2/((Q368*'参数'!$B$43*(1+'参数'!$B$39*P368))+'参数'!$B$22*(M368)))/'参数'!$B$44))+(((R368*(1+'参数'!$B$39*P368))^2/((R368*(1+'参数'!$B$39*P368))+'参数'!$B$22*(M368)))*(1+'参数'!$B$42*P368)/'参数'!$J$6+((R368*'参数'!$B$45*(1+'参数'!$B$39*P368))^2/((R368*'参数'!$B$45*(1+'参数'!$B$39*P368))+'参数'!$B$22*(M368)))/'参数'!$B$46)+((S368*(1+'参数'!$B$39*P368))^2/((S368*(1+'参数'!$B$39*P368))+'参数'!$B$22*(M368)))*(1+'参数'!$B$42*P368)/'参数'!$J$7)*(1+'参数'!$B$37*('参数'!$B$38-1))</x:f>
        <x:v>52445.746688054394</x:v>
      </x:c>
      <x:c r="X368" s="25" t="n">
        <x:f>('参数'!$B$26+'参数'!$B$27*(D368-1)/99)*'参数'!$K$29*AD368</x:f>
        <x:v>24.36126050420168</x:v>
      </x:c>
      <x:c r="Y368" s="25" t="n">
        <x:f>('参数'!$B$28+'参数'!$B$29*(D368-1)/99)*'参数'!$K$29*AD368*IF(AE368=1,'参数'!$B$51,1)</x:f>
        <x:v>67.6701680672269</x:v>
      </x:c>
      <x:c r="Z368" s="21" t="n">
        <x:f>MIN('参数'!$B$36,U368/(U368+'参数'!$B$35))</x:f>
        <x:v>0.6117560486461108</x:v>
      </x:c>
      <x:c r="AA368" s="18" t="n">
        <x:f>T368*'参数'!$B$30/('参数'!$B$32*'参数'!$B$33)/(1-Z368)*AC368</x:f>
        <x:v>8792.701797030597</x:v>
      </x:c>
      <x:c r="AB368" s="18" t="n">
        <x:f>T368*'参数'!$B$31/'参数'!$B$34/(1-Z368)*AC368</x:f>
        <x:v>17585.403594061194</x:v>
      </x:c>
      <x:c r="AC368" s="15" t="n">
        <x:f>'参数'!$L$29*(1+'参数'!$B$53*(B368-1)/119)</x:f>
        <x:v>1.201613445378151</x:v>
      </x:c>
      <x:c r="AD368" s="15" t="n">
        <x:f>1+'参数'!$B$52*(B368-1)/119</x:f>
        <x:v>1.0025210084033613</x:v>
      </x:c>
      <x:c r="AE368" s="18" t="n">
        <x:f>IF(MOD(B368,12)=0,1,0)</x:f>
        <x:v>0</x:v>
      </x:c>
    </x:row>
    <x:row r="369" ht="22" customHeight="1">
      <x:c r="A369" s="19" t="str">
        <x:v>地狱</x:v>
      </x:c>
      <x:c r="B369" s="19" t="n">
        <x:v>4</x:v>
      </x:c>
      <x:c r="C369" s="19" t="n">
        <x:f>ROUNDUP(B369/12,0)</x:f>
        <x:v>1</x:v>
      </x:c>
      <x:c r="D369" s="19" t="n">
        <x:f>ROUND(MAX('参数'!$G$29,E369)+(IF(C369&lt;10,INDEX('参数'!$G$37:$P$37,1,MIN(10,C369+1)),'参数'!$H$29)-MAX('参数'!$G$29,E369))*MOD(B369-1,12)/11,0)</x:f>
        <x:v>100</x:v>
      </x:c>
      <x:c r="E369" s="19" t="n">
        <x:f>INDEX('参数'!$G$37:$P$37,1,C369)</x:f>
        <x:v>100</x:v>
      </x:c>
      <x:c r="F369" s="20" t="n">
        <x:f>'参数'!$I$29</x:f>
        <x:v>1.29</x:v>
      </x:c>
      <x:c r="G369" s="19" t="n">
        <x:f>ROUND(V369*X369/'参数'!$B$56,0)</x:f>
        <x:v>360972</x:v>
      </x:c>
      <x:c r="H369" s="19" t="n">
        <x:f>ROUND((AA369+SQRT(AA369^2+4*AA369*'参数'!$B$22*U369))/2,0)</x:f>
        <x:v>13816</x:v>
      </x:c>
      <x:c r="I369" s="19" t="n">
        <x:f>ROUND(Q369*'参数'!$B$23/'参数'!$B$22,0)</x:f>
        <x:v>2008</x:v>
      </x:c>
      <x:c r="J369" s="19" t="n">
        <x:f>ROUND(G369*'参数'!$B$50,0)</x:f>
        <x:v>1082916</x:v>
      </x:c>
      <x:c r="K369" s="19" t="n">
        <x:f>ROUND(W369*Y369,0)</x:f>
        <x:v>3553475</x:v>
      </x:c>
      <x:c r="L369" s="19" t="n">
        <x:f>ROUND((AB369+SQRT(AB369^2+4*AB369*'参数'!$B$22*U369))/2,0)</x:f>
        <x:v>23497</x:v>
      </x:c>
      <x:c r="M369" s="19" t="n">
        <x:f>ROUND(I369*'参数'!$B$24,0)</x:f>
        <x:v>2510</x:v>
      </x:c>
      <x:c r="N369" s="19" t="n">
        <x:f>'参数'!$B$9*'参数'!$B$10^(D369-1)</x:f>
        <x:v>11195.319600498813</x:v>
      </x:c>
      <x:c r="O369" s="19" t="n">
        <x:f>'参数'!$B$18*'参数'!$B$19^(MIN(E369,MAX(1,5*INT(D369/5)))-1)*F369*'参数'!$J$29*P369</x:f>
        <x:v>1897.6106812882254</x:v>
      </x:c>
      <x:c r="P369" s="22" t="n">
        <x:f>MIN(1,(D369-1)/19)</x:f>
        <x:v>1</x:v>
      </x:c>
      <x:c r="Q369" s="19" t="n">
        <x:f>INDEX('角色成长'!$F$6:$F$105,D369)+O369*'参数'!$K$21</x:f>
        <x:v>10042.190441671442</x:v>
      </x:c>
      <x:c r="R369" s="19" t="n">
        <x:f>INDEX('角色成长'!$I$6:$I$105,D369)+O369*'参数'!$K$21</x:f>
        <x:v>8744.190441671442</x:v>
      </x:c>
      <x:c r="S369" s="19" t="n">
        <x:f>INDEX('角色成长'!$L$6:$L$105,D369)+O369*'参数'!$K$21</x:f>
        <x:v>8003.190441671442</x:v>
      </x:c>
      <x:c r="T369" s="19" t="n">
        <x:f>(INDEX('角色成长'!$J$6:$J$105,D369)+O369*'参数'!$L$21)*(1+'参数'!$B$40*P369)</x:f>
        <x:v>113637.65283705847</x:v>
      </x:c>
      <x:c r="U369" s="19" t="n">
        <x:f>(INDEX('角色成长'!$K$6:$K$105,D369)+O369*'参数'!$M$21)*(1+'参数'!$B$41*P369)</x:f>
        <x:v>6302.800561479835</x:v>
      </x:c>
      <x:c r="V369" s="19" t="n">
        <x:f>(('参数'!$K$5*(((Q369*(1+'参数'!$B$39*P369))^2/((Q369*(1+'参数'!$B$39*P369))+'参数'!$B$22*(I369)))*(1+'参数'!$B$42*P369)/'参数'!$J$5+((Q369*'参数'!$B$43*(1+'参数'!$B$39*P369))^2/((Q369*'参数'!$B$43*(1+'参数'!$B$39*P369))+'参数'!$B$22*(I369)))/'参数'!$B$44))+(((R369*(1+'参数'!$B$39*P369))^2/((R369*(1+'参数'!$B$39*P369))+'参数'!$B$22*(I369)))*(1+'参数'!$B$42*P369)/'参数'!$J$6+((R369*'参数'!$B$45*(1+'参数'!$B$39*P369))^2/((R369*'参数'!$B$45*(1+'参数'!$B$39*P369))+'参数'!$B$22*(I369)))/'参数'!$B$46)+((S369*(1+'参数'!$B$39*P369))^2/((S369*(1+'参数'!$B$39*P369))+'参数'!$B$22*(I369)))*(1+'参数'!$B$42*P369)/'参数'!$J$7)*(1+'参数'!$B$37*('参数'!$B$38-1))*'参数'!$B$25</x:f>
        <x:v>68074.69622887956</x:v>
      </x:c>
      <x:c r="W369" s="19" t="n">
        <x:f>(('参数'!$K$5*(((Q369*(1+'参数'!$B$39*P369))^2/((Q369*(1+'参数'!$B$39*P369))+'参数'!$B$22*(M369)))*(1+'参数'!$B$42*P369)/'参数'!$J$5+((Q369*'参数'!$B$43*(1+'参数'!$B$39*P369))^2/((Q369*'参数'!$B$43*(1+'参数'!$B$39*P369))+'参数'!$B$22*(M369)))/'参数'!$B$44))+(((R369*(1+'参数'!$B$39*P369))^2/((R369*(1+'参数'!$B$39*P369))+'参数'!$B$22*(M369)))*(1+'参数'!$B$42*P369)/'参数'!$J$6+((R369*'参数'!$B$45*(1+'参数'!$B$39*P369))^2/((R369*'参数'!$B$45*(1+'参数'!$B$39*P369))+'参数'!$B$22*(M369)))/'参数'!$B$46)+((S369*(1+'参数'!$B$39*P369))^2/((S369*(1+'参数'!$B$39*P369))+'参数'!$B$22*(M369)))*(1+'参数'!$B$42*P369)/'参数'!$J$7)*(1+'参数'!$B$37*('参数'!$B$38-1))</x:f>
        <x:v>52445.746688054394</x:v>
      </x:c>
      <x:c r="X369" s="26" t="n">
        <x:f>('参数'!$B$26+'参数'!$B$27*(D369-1)/99)*'参数'!$K$29*AD369</x:f>
        <x:v>24.391890756302523</x:v>
      </x:c>
      <x:c r="Y369" s="26" t="n">
        <x:f>('参数'!$B$28+'参数'!$B$29*(D369-1)/99)*'参数'!$K$29*AD369*IF(AE369=1,'参数'!$B$51,1)</x:f>
        <x:v>67.75525210084034</x:v>
      </x:c>
      <x:c r="Z369" s="22" t="n">
        <x:f>MIN('参数'!$B$36,U369/(U369+'参数'!$B$35))</x:f>
        <x:v>0.6117560486461108</x:v>
      </x:c>
      <x:c r="AA369" s="19" t="n">
        <x:f>T369*'参数'!$B$30/('参数'!$B$32*'参数'!$B$33)/(1-Z369)*AC369</x:f>
        <x:v>8798.604920090034</x:v>
      </x:c>
      <x:c r="AB369" s="19" t="n">
        <x:f>T369*'参数'!$B$31/'参数'!$B$34/(1-Z369)*AC369</x:f>
        <x:v>17597.20984018007</x:v>
      </x:c>
      <x:c r="AC369" s="20" t="n">
        <x:f>'参数'!$L$29*(1+'参数'!$B$53*(B369-1)/119)</x:f>
        <x:v>1.2024201680672268</x:v>
      </x:c>
      <x:c r="AD369" s="20" t="n">
        <x:f>1+'参数'!$B$52*(B369-1)/119</x:f>
        <x:v>1.003781512605042</x:v>
      </x:c>
      <x:c r="AE369" s="19" t="n">
        <x:f>IF(MOD(B369,12)=0,1,0)</x:f>
        <x:v>0</x:v>
      </x:c>
    </x:row>
    <x:row r="370" ht="22" customHeight="1">
      <x:c r="A370" s="18" t="str">
        <x:v>地狱</x:v>
      </x:c>
      <x:c r="B370" s="18" t="n">
        <x:v>5</x:v>
      </x:c>
      <x:c r="C370" s="18" t="n">
        <x:f>ROUNDUP(B370/12,0)</x:f>
        <x:v>1</x:v>
      </x:c>
      <x:c r="D370" s="18" t="n">
        <x:f>ROUND(MAX('参数'!$G$29,E370)+(IF(C370&lt;10,INDEX('参数'!$G$37:$P$37,1,MIN(10,C370+1)),'参数'!$H$29)-MAX('参数'!$G$29,E370))*MOD(B370-1,12)/11,0)</x:f>
        <x:v>100</x:v>
      </x:c>
      <x:c r="E370" s="18" t="n">
        <x:f>INDEX('参数'!$G$37:$P$37,1,C370)</x:f>
        <x:v>100</x:v>
      </x:c>
      <x:c r="F370" s="15" t="n">
        <x:f>'参数'!$I$29</x:f>
        <x:v>1.29</x:v>
      </x:c>
      <x:c r="G370" s="18" t="n">
        <x:f>ROUND(V370*X370/'参数'!$B$56,0)</x:f>
        <x:v>361425</x:v>
      </x:c>
      <x:c r="H370" s="18" t="n">
        <x:f>ROUND((AA370+SQRT(AA370^2+4*AA370*'参数'!$B$22*U370))/2,0)</x:f>
        <x:v>13823</x:v>
      </x:c>
      <x:c r="I370" s="18" t="n">
        <x:f>ROUND(Q370*'参数'!$B$23/'参数'!$B$22,0)</x:f>
        <x:v>2008</x:v>
      </x:c>
      <x:c r="J370" s="18" t="n">
        <x:f>ROUND(G370*'参数'!$B$50,0)</x:f>
        <x:v>1084275</x:v>
      </x:c>
      <x:c r="K370" s="18" t="n">
        <x:f>ROUND(W370*Y370,0)</x:f>
        <x:v>3557937</x:v>
      </x:c>
      <x:c r="L370" s="18" t="n">
        <x:f>ROUND((AB370+SQRT(AB370^2+4*AB370*'参数'!$B$22*U370))/2,0)</x:f>
        <x:v>23510</x:v>
      </x:c>
      <x:c r="M370" s="18" t="n">
        <x:f>ROUND(I370*'参数'!$B$24,0)</x:f>
        <x:v>2510</x:v>
      </x:c>
      <x:c r="N370" s="18" t="n">
        <x:f>'参数'!$B$9*'参数'!$B$10^(D370-1)</x:f>
        <x:v>11195.319600498813</x:v>
      </x:c>
      <x:c r="O370" s="18" t="n">
        <x:f>'参数'!$B$18*'参数'!$B$19^(MIN(E370,MAX(1,5*INT(D370/5)))-1)*F370*'参数'!$J$29*P370</x:f>
        <x:v>1897.6106812882254</x:v>
      </x:c>
      <x:c r="P370" s="21" t="n">
        <x:f>MIN(1,(D370-1)/19)</x:f>
        <x:v>1</x:v>
      </x:c>
      <x:c r="Q370" s="18" t="n">
        <x:f>INDEX('角色成长'!$F$6:$F$105,D370)+O370*'参数'!$K$21</x:f>
        <x:v>10042.190441671442</x:v>
      </x:c>
      <x:c r="R370" s="18" t="n">
        <x:f>INDEX('角色成长'!$I$6:$I$105,D370)+O370*'参数'!$K$21</x:f>
        <x:v>8744.190441671442</x:v>
      </x:c>
      <x:c r="S370" s="18" t="n">
        <x:f>INDEX('角色成长'!$L$6:$L$105,D370)+O370*'参数'!$K$21</x:f>
        <x:v>8003.190441671442</x:v>
      </x:c>
      <x:c r="T370" s="18" t="n">
        <x:f>(INDEX('角色成长'!$J$6:$J$105,D370)+O370*'参数'!$L$21)*(1+'参数'!$B$40*P370)</x:f>
        <x:v>113637.65283705847</x:v>
      </x:c>
      <x:c r="U370" s="18" t="n">
        <x:f>(INDEX('角色成长'!$K$6:$K$105,D370)+O370*'参数'!$M$21)*(1+'参数'!$B$41*P370)</x:f>
        <x:v>6302.800561479835</x:v>
      </x:c>
      <x:c r="V370" s="18" t="n">
        <x:f>(('参数'!$K$5*(((Q370*(1+'参数'!$B$39*P370))^2/((Q370*(1+'参数'!$B$39*P370))+'参数'!$B$22*(I370)))*(1+'参数'!$B$42*P370)/'参数'!$J$5+((Q370*'参数'!$B$43*(1+'参数'!$B$39*P370))^2/((Q370*'参数'!$B$43*(1+'参数'!$B$39*P370))+'参数'!$B$22*(I370)))/'参数'!$B$44))+(((R370*(1+'参数'!$B$39*P370))^2/((R370*(1+'参数'!$B$39*P370))+'参数'!$B$22*(I370)))*(1+'参数'!$B$42*P370)/'参数'!$J$6+((R370*'参数'!$B$45*(1+'参数'!$B$39*P370))^2/((R370*'参数'!$B$45*(1+'参数'!$B$39*P370))+'参数'!$B$22*(I370)))/'参数'!$B$46)+((S370*(1+'参数'!$B$39*P370))^2/((S370*(1+'参数'!$B$39*P370))+'参数'!$B$22*(I370)))*(1+'参数'!$B$42*P370)/'参数'!$J$7)*(1+'参数'!$B$37*('参数'!$B$38-1))*'参数'!$B$25</x:f>
        <x:v>68074.69622887956</x:v>
      </x:c>
      <x:c r="W370" s="18" t="n">
        <x:f>(('参数'!$K$5*(((Q370*(1+'参数'!$B$39*P370))^2/((Q370*(1+'参数'!$B$39*P370))+'参数'!$B$22*(M370)))*(1+'参数'!$B$42*P370)/'参数'!$J$5+((Q370*'参数'!$B$43*(1+'参数'!$B$39*P370))^2/((Q370*'参数'!$B$43*(1+'参数'!$B$39*P370))+'参数'!$B$22*(M370)))/'参数'!$B$44))+(((R370*(1+'参数'!$B$39*P370))^2/((R370*(1+'参数'!$B$39*P370))+'参数'!$B$22*(M370)))*(1+'参数'!$B$42*P370)/'参数'!$J$6+((R370*'参数'!$B$45*(1+'参数'!$B$39*P370))^2/((R370*'参数'!$B$45*(1+'参数'!$B$39*P370))+'参数'!$B$22*(M370)))/'参数'!$B$46)+((S370*(1+'参数'!$B$39*P370))^2/((S370*(1+'参数'!$B$39*P370))+'参数'!$B$22*(M370)))*(1+'参数'!$B$42*P370)/'参数'!$J$7)*(1+'参数'!$B$37*('参数'!$B$38-1))</x:f>
        <x:v>52445.746688054394</x:v>
      </x:c>
      <x:c r="X370" s="25" t="n">
        <x:f>('参数'!$B$26+'参数'!$B$27*(D370-1)/99)*'参数'!$K$29*AD370</x:f>
        <x:v>24.42252100840336</x:v>
      </x:c>
      <x:c r="Y370" s="25" t="n">
        <x:f>('参数'!$B$28+'参数'!$B$29*(D370-1)/99)*'参数'!$K$29*AD370*IF(AE370=1,'参数'!$B$51,1)</x:f>
        <x:v>67.84033613445378</x:v>
      </x:c>
      <x:c r="Z370" s="21" t="n">
        <x:f>MIN('参数'!$B$36,U370/(U370+'参数'!$B$35))</x:f>
        <x:v>0.6117560486461108</x:v>
      </x:c>
      <x:c r="AA370" s="18" t="n">
        <x:f>T370*'参数'!$B$30/('参数'!$B$32*'参数'!$B$33)/(1-Z370)*AC370</x:f>
        <x:v>8804.50804314947</x:v>
      </x:c>
      <x:c r="AB370" s="18" t="n">
        <x:f>T370*'参数'!$B$31/'参数'!$B$34/(1-Z370)*AC370</x:f>
        <x:v>17609.01608629894</x:v>
      </x:c>
      <x:c r="AC370" s="15" t="n">
        <x:f>'参数'!$L$29*(1+'参数'!$B$53*(B370-1)/119)</x:f>
        <x:v>1.2032268907563024</x:v>
      </x:c>
      <x:c r="AD370" s="15" t="n">
        <x:f>1+'参数'!$B$52*(B370-1)/119</x:f>
        <x:v>1.0050420168067227</x:v>
      </x:c>
      <x:c r="AE370" s="18" t="n">
        <x:f>IF(MOD(B370,12)=0,1,0)</x:f>
        <x:v>0</x:v>
      </x:c>
    </x:row>
    <x:row r="371" ht="22" customHeight="1">
      <x:c r="A371" s="19" t="str">
        <x:v>地狱</x:v>
      </x:c>
      <x:c r="B371" s="19" t="n">
        <x:v>6</x:v>
      </x:c>
      <x:c r="C371" s="19" t="n">
        <x:f>ROUNDUP(B371/12,0)</x:f>
        <x:v>1</x:v>
      </x:c>
      <x:c r="D371" s="19" t="n">
        <x:f>ROUND(MAX('参数'!$G$29,E371)+(IF(C371&lt;10,INDEX('参数'!$G$37:$P$37,1,MIN(10,C371+1)),'参数'!$H$29)-MAX('参数'!$G$29,E371))*MOD(B371-1,12)/11,0)</x:f>
        <x:v>100</x:v>
      </x:c>
      <x:c r="E371" s="19" t="n">
        <x:f>INDEX('参数'!$G$37:$P$37,1,C371)</x:f>
        <x:v>100</x:v>
      </x:c>
      <x:c r="F371" s="20" t="n">
        <x:f>'参数'!$I$29</x:f>
        <x:v>1.29</x:v>
      </x:c>
      <x:c r="G371" s="19" t="n">
        <x:f>ROUND(V371*X371/'参数'!$B$56,0)</x:f>
        <x:v>361878</x:v>
      </x:c>
      <x:c r="H371" s="19" t="n">
        <x:f>ROUND((AA371+SQRT(AA371^2+4*AA371*'参数'!$B$22*U371))/2,0)</x:f>
        <x:v>13830</x:v>
      </x:c>
      <x:c r="I371" s="19" t="n">
        <x:f>ROUND(Q371*'参数'!$B$23/'参数'!$B$22,0)</x:f>
        <x:v>2008</x:v>
      </x:c>
      <x:c r="J371" s="19" t="n">
        <x:f>ROUND(G371*'参数'!$B$50,0)</x:f>
        <x:v>1085634</x:v>
      </x:c>
      <x:c r="K371" s="19" t="n">
        <x:f>ROUND(W371*Y371,0)</x:f>
        <x:v>3562399</x:v>
      </x:c>
      <x:c r="L371" s="19" t="n">
        <x:f>ROUND((AB371+SQRT(AB371^2+4*AB371*'参数'!$B$22*U371))/2,0)</x:f>
        <x:v>23523</x:v>
      </x:c>
      <x:c r="M371" s="19" t="n">
        <x:f>ROUND(I371*'参数'!$B$24,0)</x:f>
        <x:v>2510</x:v>
      </x:c>
      <x:c r="N371" s="19" t="n">
        <x:f>'参数'!$B$9*'参数'!$B$10^(D371-1)</x:f>
        <x:v>11195.319600498813</x:v>
      </x:c>
      <x:c r="O371" s="19" t="n">
        <x:f>'参数'!$B$18*'参数'!$B$19^(MIN(E371,MAX(1,5*INT(D371/5)))-1)*F371*'参数'!$J$29*P371</x:f>
        <x:v>1897.6106812882254</x:v>
      </x:c>
      <x:c r="P371" s="22" t="n">
        <x:f>MIN(1,(D371-1)/19)</x:f>
        <x:v>1</x:v>
      </x:c>
      <x:c r="Q371" s="19" t="n">
        <x:f>INDEX('角色成长'!$F$6:$F$105,D371)+O371*'参数'!$K$21</x:f>
        <x:v>10042.190441671442</x:v>
      </x:c>
      <x:c r="R371" s="19" t="n">
        <x:f>INDEX('角色成长'!$I$6:$I$105,D371)+O371*'参数'!$K$21</x:f>
        <x:v>8744.190441671442</x:v>
      </x:c>
      <x:c r="S371" s="19" t="n">
        <x:f>INDEX('角色成长'!$L$6:$L$105,D371)+O371*'参数'!$K$21</x:f>
        <x:v>8003.190441671442</x:v>
      </x:c>
      <x:c r="T371" s="19" t="n">
        <x:f>(INDEX('角色成长'!$J$6:$J$105,D371)+O371*'参数'!$L$21)*(1+'参数'!$B$40*P371)</x:f>
        <x:v>113637.65283705847</x:v>
      </x:c>
      <x:c r="U371" s="19" t="n">
        <x:f>(INDEX('角色成长'!$K$6:$K$105,D371)+O371*'参数'!$M$21)*(1+'参数'!$B$41*P371)</x:f>
        <x:v>6302.800561479835</x:v>
      </x:c>
      <x:c r="V371" s="19" t="n">
        <x:f>(('参数'!$K$5*(((Q371*(1+'参数'!$B$39*P371))^2/((Q371*(1+'参数'!$B$39*P371))+'参数'!$B$22*(I371)))*(1+'参数'!$B$42*P371)/'参数'!$J$5+((Q371*'参数'!$B$43*(1+'参数'!$B$39*P371))^2/((Q371*'参数'!$B$43*(1+'参数'!$B$39*P371))+'参数'!$B$22*(I371)))/'参数'!$B$44))+(((R371*(1+'参数'!$B$39*P371))^2/((R371*(1+'参数'!$B$39*P371))+'参数'!$B$22*(I371)))*(1+'参数'!$B$42*P371)/'参数'!$J$6+((R371*'参数'!$B$45*(1+'参数'!$B$39*P371))^2/((R371*'参数'!$B$45*(1+'参数'!$B$39*P371))+'参数'!$B$22*(I371)))/'参数'!$B$46)+((S371*(1+'参数'!$B$39*P371))^2/((S371*(1+'参数'!$B$39*P371))+'参数'!$B$22*(I371)))*(1+'参数'!$B$42*P371)/'参数'!$J$7)*(1+'参数'!$B$37*('参数'!$B$38-1))*'参数'!$B$25</x:f>
        <x:v>68074.69622887956</x:v>
      </x:c>
      <x:c r="W371" s="19" t="n">
        <x:f>(('参数'!$K$5*(((Q371*(1+'参数'!$B$39*P371))^2/((Q371*(1+'参数'!$B$39*P371))+'参数'!$B$22*(M371)))*(1+'参数'!$B$42*P371)/'参数'!$J$5+((Q371*'参数'!$B$43*(1+'参数'!$B$39*P371))^2/((Q371*'参数'!$B$43*(1+'参数'!$B$39*P371))+'参数'!$B$22*(M371)))/'参数'!$B$44))+(((R371*(1+'参数'!$B$39*P371))^2/((R371*(1+'参数'!$B$39*P371))+'参数'!$B$22*(M371)))*(1+'参数'!$B$42*P371)/'参数'!$J$6+((R371*'参数'!$B$45*(1+'参数'!$B$39*P371))^2/((R371*'参数'!$B$45*(1+'参数'!$B$39*P371))+'参数'!$B$22*(M371)))/'参数'!$B$46)+((S371*(1+'参数'!$B$39*P371))^2/((S371*(1+'参数'!$B$39*P371))+'参数'!$B$22*(M371)))*(1+'参数'!$B$42*P371)/'参数'!$J$7)*(1+'参数'!$B$37*('参数'!$B$38-1))</x:f>
        <x:v>52445.746688054394</x:v>
      </x:c>
      <x:c r="X371" s="26" t="n">
        <x:f>('参数'!$B$26+'参数'!$B$27*(D371-1)/99)*'参数'!$K$29*AD371</x:f>
        <x:v>24.453151260504203</x:v>
      </x:c>
      <x:c r="Y371" s="26" t="n">
        <x:f>('参数'!$B$28+'参数'!$B$29*(D371-1)/99)*'参数'!$K$29*AD371*IF(AE371=1,'参数'!$B$51,1)</x:f>
        <x:v>67.92542016806722</x:v>
      </x:c>
      <x:c r="Z371" s="22" t="n">
        <x:f>MIN('参数'!$B$36,U371/(U371+'参数'!$B$35))</x:f>
        <x:v>0.6117560486461108</x:v>
      </x:c>
      <x:c r="AA371" s="19" t="n">
        <x:f>T371*'参数'!$B$30/('参数'!$B$32*'参数'!$B$33)/(1-Z371)*AC371</x:f>
        <x:v>8810.411166208907</x:v>
      </x:c>
      <x:c r="AB371" s="19" t="n">
        <x:f>T371*'参数'!$B$31/'参数'!$B$34/(1-Z371)*AC371</x:f>
        <x:v>17620.822332417814</x:v>
      </x:c>
      <x:c r="AC371" s="20" t="n">
        <x:f>'参数'!$L$29*(1+'参数'!$B$53*(B371-1)/119)</x:f>
        <x:v>1.2040336134453782</x:v>
      </x:c>
      <x:c r="AD371" s="20" t="n">
        <x:f>1+'参数'!$B$52*(B371-1)/119</x:f>
        <x:v>1.0063025210084033</x:v>
      </x:c>
      <x:c r="AE371" s="19" t="n">
        <x:f>IF(MOD(B371,12)=0,1,0)</x:f>
        <x:v>0</x:v>
      </x:c>
    </x:row>
    <x:row r="372" ht="22" customHeight="1">
      <x:c r="A372" s="18" t="str">
        <x:v>地狱</x:v>
      </x:c>
      <x:c r="B372" s="18" t="n">
        <x:v>7</x:v>
      </x:c>
      <x:c r="C372" s="18" t="n">
        <x:f>ROUNDUP(B372/12,0)</x:f>
        <x:v>1</x:v>
      </x:c>
      <x:c r="D372" s="18" t="n">
        <x:f>ROUND(MAX('参数'!$G$29,E372)+(IF(C372&lt;10,INDEX('参数'!$G$37:$P$37,1,MIN(10,C372+1)),'参数'!$H$29)-MAX('参数'!$G$29,E372))*MOD(B372-1,12)/11,0)</x:f>
        <x:v>100</x:v>
      </x:c>
      <x:c r="E372" s="18" t="n">
        <x:f>INDEX('参数'!$G$37:$P$37,1,C372)</x:f>
        <x:v>100</x:v>
      </x:c>
      <x:c r="F372" s="15" t="n">
        <x:f>'参数'!$I$29</x:f>
        <x:v>1.29</x:v>
      </x:c>
      <x:c r="G372" s="18" t="n">
        <x:f>ROUND(V372*X372/'参数'!$B$56,0)</x:f>
        <x:v>362332</x:v>
      </x:c>
      <x:c r="H372" s="18" t="n">
        <x:f>ROUND((AA372+SQRT(AA372^2+4*AA372*'参数'!$B$22*U372))/2,0)</x:f>
        <x:v>13836</x:v>
      </x:c>
      <x:c r="I372" s="18" t="n">
        <x:f>ROUND(Q372*'参数'!$B$23/'参数'!$B$22,0)</x:f>
        <x:v>2008</x:v>
      </x:c>
      <x:c r="J372" s="18" t="n">
        <x:f>ROUND(G372*'参数'!$B$50,0)</x:f>
        <x:v>1086996</x:v>
      </x:c>
      <x:c r="K372" s="18" t="n">
        <x:f>ROUND(W372*Y372,0)</x:f>
        <x:v>3566862</x:v>
      </x:c>
      <x:c r="L372" s="18" t="n">
        <x:f>ROUND((AB372+SQRT(AB372^2+4*AB372*'参数'!$B$22*U372))/2,0)</x:f>
        <x:v>23535</x:v>
      </x:c>
      <x:c r="M372" s="18" t="n">
        <x:f>ROUND(I372*'参数'!$B$24,0)</x:f>
        <x:v>2510</x:v>
      </x:c>
      <x:c r="N372" s="18" t="n">
        <x:f>'参数'!$B$9*'参数'!$B$10^(D372-1)</x:f>
        <x:v>11195.319600498813</x:v>
      </x:c>
      <x:c r="O372" s="18" t="n">
        <x:f>'参数'!$B$18*'参数'!$B$19^(MIN(E372,MAX(1,5*INT(D372/5)))-1)*F372*'参数'!$J$29*P372</x:f>
        <x:v>1897.6106812882254</x:v>
      </x:c>
      <x:c r="P372" s="21" t="n">
        <x:f>MIN(1,(D372-1)/19)</x:f>
        <x:v>1</x:v>
      </x:c>
      <x:c r="Q372" s="18" t="n">
        <x:f>INDEX('角色成长'!$F$6:$F$105,D372)+O372*'参数'!$K$21</x:f>
        <x:v>10042.190441671442</x:v>
      </x:c>
      <x:c r="R372" s="18" t="n">
        <x:f>INDEX('角色成长'!$I$6:$I$105,D372)+O372*'参数'!$K$21</x:f>
        <x:v>8744.190441671442</x:v>
      </x:c>
      <x:c r="S372" s="18" t="n">
        <x:f>INDEX('角色成长'!$L$6:$L$105,D372)+O372*'参数'!$K$21</x:f>
        <x:v>8003.190441671442</x:v>
      </x:c>
      <x:c r="T372" s="18" t="n">
        <x:f>(INDEX('角色成长'!$J$6:$J$105,D372)+O372*'参数'!$L$21)*(1+'参数'!$B$40*P372)</x:f>
        <x:v>113637.65283705847</x:v>
      </x:c>
      <x:c r="U372" s="18" t="n">
        <x:f>(INDEX('角色成长'!$K$6:$K$105,D372)+O372*'参数'!$M$21)*(1+'参数'!$B$41*P372)</x:f>
        <x:v>6302.800561479835</x:v>
      </x:c>
      <x:c r="V372" s="18" t="n">
        <x:f>(('参数'!$K$5*(((Q372*(1+'参数'!$B$39*P372))^2/((Q372*(1+'参数'!$B$39*P372))+'参数'!$B$22*(I372)))*(1+'参数'!$B$42*P372)/'参数'!$J$5+((Q372*'参数'!$B$43*(1+'参数'!$B$39*P372))^2/((Q372*'参数'!$B$43*(1+'参数'!$B$39*P372))+'参数'!$B$22*(I372)))/'参数'!$B$44))+(((R372*(1+'参数'!$B$39*P372))^2/((R372*(1+'参数'!$B$39*P372))+'参数'!$B$22*(I372)))*(1+'参数'!$B$42*P372)/'参数'!$J$6+((R372*'参数'!$B$45*(1+'参数'!$B$39*P372))^2/((R372*'参数'!$B$45*(1+'参数'!$B$39*P372))+'参数'!$B$22*(I372)))/'参数'!$B$46)+((S372*(1+'参数'!$B$39*P372))^2/((S372*(1+'参数'!$B$39*P372))+'参数'!$B$22*(I372)))*(1+'参数'!$B$42*P372)/'参数'!$J$7)*(1+'参数'!$B$37*('参数'!$B$38-1))*'参数'!$B$25</x:f>
        <x:v>68074.69622887956</x:v>
      </x:c>
      <x:c r="W372" s="18" t="n">
        <x:f>(('参数'!$K$5*(((Q372*(1+'参数'!$B$39*P372))^2/((Q372*(1+'参数'!$B$39*P372))+'参数'!$B$22*(M372)))*(1+'参数'!$B$42*P372)/'参数'!$J$5+((Q372*'参数'!$B$43*(1+'参数'!$B$39*P372))^2/((Q372*'参数'!$B$43*(1+'参数'!$B$39*P372))+'参数'!$B$22*(M372)))/'参数'!$B$44))+(((R372*(1+'参数'!$B$39*P372))^2/((R372*(1+'参数'!$B$39*P372))+'参数'!$B$22*(M372)))*(1+'参数'!$B$42*P372)/'参数'!$J$6+((R372*'参数'!$B$45*(1+'参数'!$B$39*P372))^2/((R372*'参数'!$B$45*(1+'参数'!$B$39*P372))+'参数'!$B$22*(M372)))/'参数'!$B$46)+((S372*(1+'参数'!$B$39*P372))^2/((S372*(1+'参数'!$B$39*P372))+'参数'!$B$22*(M372)))*(1+'参数'!$B$42*P372)/'参数'!$J$7)*(1+'参数'!$B$37*('参数'!$B$38-1))</x:f>
        <x:v>52445.746688054394</x:v>
      </x:c>
      <x:c r="X372" s="25" t="n">
        <x:f>('参数'!$B$26+'参数'!$B$27*(D372-1)/99)*'参数'!$K$29*AD372</x:f>
        <x:v>24.48378151260504</x:v>
      </x:c>
      <x:c r="Y372" s="25" t="n">
        <x:f>('参数'!$B$28+'参数'!$B$29*(D372-1)/99)*'参数'!$K$29*AD372*IF(AE372=1,'参数'!$B$51,1)</x:f>
        <x:v>68.01050420168067</x:v>
      </x:c>
      <x:c r="Z372" s="21" t="n">
        <x:f>MIN('参数'!$B$36,U372/(U372+'参数'!$B$35))</x:f>
        <x:v>0.6117560486461108</x:v>
      </x:c>
      <x:c r="AA372" s="18" t="n">
        <x:f>T372*'参数'!$B$30/('参数'!$B$32*'参数'!$B$33)/(1-Z372)*AC372</x:f>
        <x:v>8816.314289268343</x:v>
      </x:c>
      <x:c r="AB372" s="18" t="n">
        <x:f>T372*'参数'!$B$31/'参数'!$B$34/(1-Z372)*AC372</x:f>
        <x:v>17632.628578536685</x:v>
      </x:c>
      <x:c r="AC372" s="15" t="n">
        <x:f>'参数'!$L$29*(1+'参数'!$B$53*(B372-1)/119)</x:f>
        <x:v>1.2048403361344537</x:v>
      </x:c>
      <x:c r="AD372" s="15" t="n">
        <x:f>1+'参数'!$B$52*(B372-1)/119</x:f>
        <x:v>1.007563025210084</x:v>
      </x:c>
      <x:c r="AE372" s="18" t="n">
        <x:f>IF(MOD(B372,12)=0,1,0)</x:f>
        <x:v>0</x:v>
      </x:c>
    </x:row>
    <x:row r="373" ht="22" customHeight="1">
      <x:c r="A373" s="19" t="str">
        <x:v>地狱</x:v>
      </x:c>
      <x:c r="B373" s="19" t="n">
        <x:v>8</x:v>
      </x:c>
      <x:c r="C373" s="19" t="n">
        <x:f>ROUNDUP(B373/12,0)</x:f>
        <x:v>1</x:v>
      </x:c>
      <x:c r="D373" s="19" t="n">
        <x:f>ROUND(MAX('参数'!$G$29,E373)+(IF(C373&lt;10,INDEX('参数'!$G$37:$P$37,1,MIN(10,C373+1)),'参数'!$H$29)-MAX('参数'!$G$29,E373))*MOD(B373-1,12)/11,0)</x:f>
        <x:v>100</x:v>
      </x:c>
      <x:c r="E373" s="19" t="n">
        <x:f>INDEX('参数'!$G$37:$P$37,1,C373)</x:f>
        <x:v>100</x:v>
      </x:c>
      <x:c r="F373" s="20" t="n">
        <x:f>'参数'!$I$29</x:f>
        <x:v>1.29</x:v>
      </x:c>
      <x:c r="G373" s="19" t="n">
        <x:f>ROUND(V373*X373/'参数'!$B$56,0)</x:f>
        <x:v>362785</x:v>
      </x:c>
      <x:c r="H373" s="19" t="n">
        <x:f>ROUND((AA373+SQRT(AA373^2+4*AA373*'参数'!$B$22*U373))/2,0)</x:f>
        <x:v>13843</x:v>
      </x:c>
      <x:c r="I373" s="19" t="n">
        <x:f>ROUND(Q373*'参数'!$B$23/'参数'!$B$22,0)</x:f>
        <x:v>2008</x:v>
      </x:c>
      <x:c r="J373" s="19" t="n">
        <x:f>ROUND(G373*'参数'!$B$50,0)</x:f>
        <x:v>1088355</x:v>
      </x:c>
      <x:c r="K373" s="19" t="n">
        <x:f>ROUND(W373*Y373,0)</x:f>
        <x:v>3571324</x:v>
      </x:c>
      <x:c r="L373" s="19" t="n">
        <x:f>ROUND((AB373+SQRT(AB373^2+4*AB373*'参数'!$B$22*U373))/2,0)</x:f>
        <x:v>23548</x:v>
      </x:c>
      <x:c r="M373" s="19" t="n">
        <x:f>ROUND(I373*'参数'!$B$24,0)</x:f>
        <x:v>2510</x:v>
      </x:c>
      <x:c r="N373" s="19" t="n">
        <x:f>'参数'!$B$9*'参数'!$B$10^(D373-1)</x:f>
        <x:v>11195.319600498813</x:v>
      </x:c>
      <x:c r="O373" s="19" t="n">
        <x:f>'参数'!$B$18*'参数'!$B$19^(MIN(E373,MAX(1,5*INT(D373/5)))-1)*F373*'参数'!$J$29*P373</x:f>
        <x:v>1897.6106812882254</x:v>
      </x:c>
      <x:c r="P373" s="22" t="n">
        <x:f>MIN(1,(D373-1)/19)</x:f>
        <x:v>1</x:v>
      </x:c>
      <x:c r="Q373" s="19" t="n">
        <x:f>INDEX('角色成长'!$F$6:$F$105,D373)+O373*'参数'!$K$21</x:f>
        <x:v>10042.190441671442</x:v>
      </x:c>
      <x:c r="R373" s="19" t="n">
        <x:f>INDEX('角色成长'!$I$6:$I$105,D373)+O373*'参数'!$K$21</x:f>
        <x:v>8744.190441671442</x:v>
      </x:c>
      <x:c r="S373" s="19" t="n">
        <x:f>INDEX('角色成长'!$L$6:$L$105,D373)+O373*'参数'!$K$21</x:f>
        <x:v>8003.190441671442</x:v>
      </x:c>
      <x:c r="T373" s="19" t="n">
        <x:f>(INDEX('角色成长'!$J$6:$J$105,D373)+O373*'参数'!$L$21)*(1+'参数'!$B$40*P373)</x:f>
        <x:v>113637.65283705847</x:v>
      </x:c>
      <x:c r="U373" s="19" t="n">
        <x:f>(INDEX('角色成长'!$K$6:$K$105,D373)+O373*'参数'!$M$21)*(1+'参数'!$B$41*P373)</x:f>
        <x:v>6302.800561479835</x:v>
      </x:c>
      <x:c r="V373" s="19" t="n">
        <x:f>(('参数'!$K$5*(((Q373*(1+'参数'!$B$39*P373))^2/((Q373*(1+'参数'!$B$39*P373))+'参数'!$B$22*(I373)))*(1+'参数'!$B$42*P373)/'参数'!$J$5+((Q373*'参数'!$B$43*(1+'参数'!$B$39*P373))^2/((Q373*'参数'!$B$43*(1+'参数'!$B$39*P373))+'参数'!$B$22*(I373)))/'参数'!$B$44))+(((R373*(1+'参数'!$B$39*P373))^2/((R373*(1+'参数'!$B$39*P373))+'参数'!$B$22*(I373)))*(1+'参数'!$B$42*P373)/'参数'!$J$6+((R373*'参数'!$B$45*(1+'参数'!$B$39*P373))^2/((R373*'参数'!$B$45*(1+'参数'!$B$39*P373))+'参数'!$B$22*(I373)))/'参数'!$B$46)+((S373*(1+'参数'!$B$39*P373))^2/((S373*(1+'参数'!$B$39*P373))+'参数'!$B$22*(I373)))*(1+'参数'!$B$42*P373)/'参数'!$J$7)*(1+'参数'!$B$37*('参数'!$B$38-1))*'参数'!$B$25</x:f>
        <x:v>68074.69622887956</x:v>
      </x:c>
      <x:c r="W373" s="19" t="n">
        <x:f>(('参数'!$K$5*(((Q373*(1+'参数'!$B$39*P373))^2/((Q373*(1+'参数'!$B$39*P373))+'参数'!$B$22*(M373)))*(1+'参数'!$B$42*P373)/'参数'!$J$5+((Q373*'参数'!$B$43*(1+'参数'!$B$39*P373))^2/((Q373*'参数'!$B$43*(1+'参数'!$B$39*P373))+'参数'!$B$22*(M373)))/'参数'!$B$44))+(((R373*(1+'参数'!$B$39*P373))^2/((R373*(1+'参数'!$B$39*P373))+'参数'!$B$22*(M373)))*(1+'参数'!$B$42*P373)/'参数'!$J$6+((R373*'参数'!$B$45*(1+'参数'!$B$39*P373))^2/((R373*'参数'!$B$45*(1+'参数'!$B$39*P373))+'参数'!$B$22*(M373)))/'参数'!$B$46)+((S373*(1+'参数'!$B$39*P373))^2/((S373*(1+'参数'!$B$39*P373))+'参数'!$B$22*(M373)))*(1+'参数'!$B$42*P373)/'参数'!$J$7)*(1+'参数'!$B$37*('参数'!$B$38-1))</x:f>
        <x:v>52445.746688054394</x:v>
      </x:c>
      <x:c r="X373" s="26" t="n">
        <x:f>('参数'!$B$26+'参数'!$B$27*(D373-1)/99)*'参数'!$K$29*AD373</x:f>
        <x:v>24.514411764705883</x:v>
      </x:c>
      <x:c r="Y373" s="26" t="n">
        <x:f>('参数'!$B$28+'参数'!$B$29*(D373-1)/99)*'参数'!$K$29*AD373*IF(AE373=1,'参数'!$B$51,1)</x:f>
        <x:v>68.09558823529412</x:v>
      </x:c>
      <x:c r="Z373" s="22" t="n">
        <x:f>MIN('参数'!$B$36,U373/(U373+'参数'!$B$35))</x:f>
        <x:v>0.6117560486461108</x:v>
      </x:c>
      <x:c r="AA373" s="19" t="n">
        <x:f>T373*'参数'!$B$30/('参数'!$B$32*'参数'!$B$33)/(1-Z373)*AC373</x:f>
        <x:v>8822.21741232778</x:v>
      </x:c>
      <x:c r="AB373" s="19" t="n">
        <x:f>T373*'参数'!$B$31/'参数'!$B$34/(1-Z373)*AC373</x:f>
        <x:v>17644.43482465556</x:v>
      </x:c>
      <x:c r="AC373" s="20" t="n">
        <x:f>'参数'!$L$29*(1+'参数'!$B$53*(B373-1)/119)</x:f>
        <x:v>1.2056470588235293</x:v>
      </x:c>
      <x:c r="AD373" s="20" t="n">
        <x:f>1+'参数'!$B$52*(B373-1)/119</x:f>
        <x:v>1.0088235294117647</x:v>
      </x:c>
      <x:c r="AE373" s="19" t="n">
        <x:f>IF(MOD(B373,12)=0,1,0)</x:f>
        <x:v>0</x:v>
      </x:c>
    </x:row>
    <x:row r="374" ht="22" customHeight="1">
      <x:c r="A374" s="18" t="str">
        <x:v>地狱</x:v>
      </x:c>
      <x:c r="B374" s="18" t="n">
        <x:v>9</x:v>
      </x:c>
      <x:c r="C374" s="18" t="n">
        <x:f>ROUNDUP(B374/12,0)</x:f>
        <x:v>1</x:v>
      </x:c>
      <x:c r="D374" s="18" t="n">
        <x:f>ROUND(MAX('参数'!$G$29,E374)+(IF(C374&lt;10,INDEX('参数'!$G$37:$P$37,1,MIN(10,C374+1)),'参数'!$H$29)-MAX('参数'!$G$29,E374))*MOD(B374-1,12)/11,0)</x:f>
        <x:v>100</x:v>
      </x:c>
      <x:c r="E374" s="18" t="n">
        <x:f>INDEX('参数'!$G$37:$P$37,1,C374)</x:f>
        <x:v>100</x:v>
      </x:c>
      <x:c r="F374" s="15" t="n">
        <x:f>'参数'!$I$29</x:f>
        <x:v>1.29</x:v>
      </x:c>
      <x:c r="G374" s="18" t="n">
        <x:f>ROUND(V374*X374/'参数'!$B$56,0)</x:f>
        <x:v>363238</x:v>
      </x:c>
      <x:c r="H374" s="18" t="n">
        <x:f>ROUND((AA374+SQRT(AA374^2+4*AA374*'参数'!$B$22*U374))/2,0)</x:f>
        <x:v>13850</x:v>
      </x:c>
      <x:c r="I374" s="18" t="n">
        <x:f>ROUND(Q374*'参数'!$B$23/'参数'!$B$22,0)</x:f>
        <x:v>2008</x:v>
      </x:c>
      <x:c r="J374" s="18" t="n">
        <x:f>ROUND(G374*'参数'!$B$50,0)</x:f>
        <x:v>1089714</x:v>
      </x:c>
      <x:c r="K374" s="18" t="n">
        <x:f>ROUND(W374*Y374,0)</x:f>
        <x:v>3575786</x:v>
      </x:c>
      <x:c r="L374" s="18" t="n">
        <x:f>ROUND((AB374+SQRT(AB374^2+4*AB374*'参数'!$B$22*U374))/2,0)</x:f>
        <x:v>23560</x:v>
      </x:c>
      <x:c r="M374" s="18" t="n">
        <x:f>ROUND(I374*'参数'!$B$24,0)</x:f>
        <x:v>2510</x:v>
      </x:c>
      <x:c r="N374" s="18" t="n">
        <x:f>'参数'!$B$9*'参数'!$B$10^(D374-1)</x:f>
        <x:v>11195.319600498813</x:v>
      </x:c>
      <x:c r="O374" s="18" t="n">
        <x:f>'参数'!$B$18*'参数'!$B$19^(MIN(E374,MAX(1,5*INT(D374/5)))-1)*F374*'参数'!$J$29*P374</x:f>
        <x:v>1897.6106812882254</x:v>
      </x:c>
      <x:c r="P374" s="21" t="n">
        <x:f>MIN(1,(D374-1)/19)</x:f>
        <x:v>1</x:v>
      </x:c>
      <x:c r="Q374" s="18" t="n">
        <x:f>INDEX('角色成长'!$F$6:$F$105,D374)+O374*'参数'!$K$21</x:f>
        <x:v>10042.190441671442</x:v>
      </x:c>
      <x:c r="R374" s="18" t="n">
        <x:f>INDEX('角色成长'!$I$6:$I$105,D374)+O374*'参数'!$K$21</x:f>
        <x:v>8744.190441671442</x:v>
      </x:c>
      <x:c r="S374" s="18" t="n">
        <x:f>INDEX('角色成长'!$L$6:$L$105,D374)+O374*'参数'!$K$21</x:f>
        <x:v>8003.190441671442</x:v>
      </x:c>
      <x:c r="T374" s="18" t="n">
        <x:f>(INDEX('角色成长'!$J$6:$J$105,D374)+O374*'参数'!$L$21)*(1+'参数'!$B$40*P374)</x:f>
        <x:v>113637.65283705847</x:v>
      </x:c>
      <x:c r="U374" s="18" t="n">
        <x:f>(INDEX('角色成长'!$K$6:$K$105,D374)+O374*'参数'!$M$21)*(1+'参数'!$B$41*P374)</x:f>
        <x:v>6302.800561479835</x:v>
      </x:c>
      <x:c r="V374" s="18" t="n">
        <x:f>(('参数'!$K$5*(((Q374*(1+'参数'!$B$39*P374))^2/((Q374*(1+'参数'!$B$39*P374))+'参数'!$B$22*(I374)))*(1+'参数'!$B$42*P374)/'参数'!$J$5+((Q374*'参数'!$B$43*(1+'参数'!$B$39*P374))^2/((Q374*'参数'!$B$43*(1+'参数'!$B$39*P374))+'参数'!$B$22*(I374)))/'参数'!$B$44))+(((R374*(1+'参数'!$B$39*P374))^2/((R374*(1+'参数'!$B$39*P374))+'参数'!$B$22*(I374)))*(1+'参数'!$B$42*P374)/'参数'!$J$6+((R374*'参数'!$B$45*(1+'参数'!$B$39*P374))^2/((R374*'参数'!$B$45*(1+'参数'!$B$39*P374))+'参数'!$B$22*(I374)))/'参数'!$B$46)+((S374*(1+'参数'!$B$39*P374))^2/((S374*(1+'参数'!$B$39*P374))+'参数'!$B$22*(I374)))*(1+'参数'!$B$42*P374)/'参数'!$J$7)*(1+'参数'!$B$37*('参数'!$B$38-1))*'参数'!$B$25</x:f>
        <x:v>68074.69622887956</x:v>
      </x:c>
      <x:c r="W374" s="18" t="n">
        <x:f>(('参数'!$K$5*(((Q374*(1+'参数'!$B$39*P374))^2/((Q374*(1+'参数'!$B$39*P374))+'参数'!$B$22*(M374)))*(1+'参数'!$B$42*P374)/'参数'!$J$5+((Q374*'参数'!$B$43*(1+'参数'!$B$39*P374))^2/((Q374*'参数'!$B$43*(1+'参数'!$B$39*P374))+'参数'!$B$22*(M374)))/'参数'!$B$44))+(((R374*(1+'参数'!$B$39*P374))^2/((R374*(1+'参数'!$B$39*P374))+'参数'!$B$22*(M374)))*(1+'参数'!$B$42*P374)/'参数'!$J$6+((R374*'参数'!$B$45*(1+'参数'!$B$39*P374))^2/((R374*'参数'!$B$45*(1+'参数'!$B$39*P374))+'参数'!$B$22*(M374)))/'参数'!$B$46)+((S374*(1+'参数'!$B$39*P374))^2/((S374*(1+'参数'!$B$39*P374))+'参数'!$B$22*(M374)))*(1+'参数'!$B$42*P374)/'参数'!$J$7)*(1+'参数'!$B$37*('参数'!$B$38-1))</x:f>
        <x:v>52445.746688054394</x:v>
      </x:c>
      <x:c r="X374" s="25" t="n">
        <x:f>('参数'!$B$26+'参数'!$B$27*(D374-1)/99)*'参数'!$K$29*AD374</x:f>
        <x:v>24.545042016806722</x:v>
      </x:c>
      <x:c r="Y374" s="25" t="n">
        <x:f>('参数'!$B$28+'参数'!$B$29*(D374-1)/99)*'参数'!$K$29*AD374*IF(AE374=1,'参数'!$B$51,1)</x:f>
        <x:v>68.18067226890756</x:v>
      </x:c>
      <x:c r="Z374" s="21" t="n">
        <x:f>MIN('参数'!$B$36,U374/(U374+'参数'!$B$35))</x:f>
        <x:v>0.6117560486461108</x:v>
      </x:c>
      <x:c r="AA374" s="18" t="n">
        <x:f>T374*'参数'!$B$30/('参数'!$B$32*'参数'!$B$33)/(1-Z374)*AC374</x:f>
        <x:v>8828.120535387217</x:v>
      </x:c>
      <x:c r="AB374" s="18" t="n">
        <x:f>T374*'参数'!$B$31/'参数'!$B$34/(1-Z374)*AC374</x:f>
        <x:v>17656.241070774435</x:v>
      </x:c>
      <x:c r="AC374" s="15" t="n">
        <x:f>'参数'!$L$29*(1+'参数'!$B$53*(B374-1)/119)</x:f>
        <x:v>1.206453781512605</x:v>
      </x:c>
      <x:c r="AD374" s="15" t="n">
        <x:f>1+'参数'!$B$52*(B374-1)/119</x:f>
        <x:v>1.0100840336134453</x:v>
      </x:c>
      <x:c r="AE374" s="18" t="n">
        <x:f>IF(MOD(B374,12)=0,1,0)</x:f>
        <x:v>0</x:v>
      </x:c>
    </x:row>
    <x:row r="375" ht="22" customHeight="1">
      <x:c r="A375" s="19" t="str">
        <x:v>地狱</x:v>
      </x:c>
      <x:c r="B375" s="19" t="n">
        <x:v>10</x:v>
      </x:c>
      <x:c r="C375" s="19" t="n">
        <x:f>ROUNDUP(B375/12,0)</x:f>
        <x:v>1</x:v>
      </x:c>
      <x:c r="D375" s="19" t="n">
        <x:f>ROUND(MAX('参数'!$G$29,E375)+(IF(C375&lt;10,INDEX('参数'!$G$37:$P$37,1,MIN(10,C375+1)),'参数'!$H$29)-MAX('参数'!$G$29,E375))*MOD(B375-1,12)/11,0)</x:f>
        <x:v>100</x:v>
      </x:c>
      <x:c r="E375" s="19" t="n">
        <x:f>INDEX('参数'!$G$37:$P$37,1,C375)</x:f>
        <x:v>100</x:v>
      </x:c>
      <x:c r="F375" s="20" t="n">
        <x:f>'参数'!$I$29</x:f>
        <x:v>1.29</x:v>
      </x:c>
      <x:c r="G375" s="19" t="n">
        <x:f>ROUND(V375*X375/'参数'!$B$56,0)</x:f>
        <x:v>363692</x:v>
      </x:c>
      <x:c r="H375" s="19" t="n">
        <x:f>ROUND((AA375+SQRT(AA375^2+4*AA375*'参数'!$B$22*U375))/2,0)</x:f>
        <x:v>13857</x:v>
      </x:c>
      <x:c r="I375" s="19" t="n">
        <x:f>ROUND(Q375*'参数'!$B$23/'参数'!$B$22,0)</x:f>
        <x:v>2008</x:v>
      </x:c>
      <x:c r="J375" s="19" t="n">
        <x:f>ROUND(G375*'参数'!$B$50,0)</x:f>
        <x:v>1091076</x:v>
      </x:c>
      <x:c r="K375" s="19" t="n">
        <x:f>ROUND(W375*Y375,0)</x:f>
        <x:v>3580249</x:v>
      </x:c>
      <x:c r="L375" s="19" t="n">
        <x:f>ROUND((AB375+SQRT(AB375^2+4*AB375*'参数'!$B$22*U375))/2,0)</x:f>
        <x:v>23573</x:v>
      </x:c>
      <x:c r="M375" s="19" t="n">
        <x:f>ROUND(I375*'参数'!$B$24,0)</x:f>
        <x:v>2510</x:v>
      </x:c>
      <x:c r="N375" s="19" t="n">
        <x:f>'参数'!$B$9*'参数'!$B$10^(D375-1)</x:f>
        <x:v>11195.319600498813</x:v>
      </x:c>
      <x:c r="O375" s="19" t="n">
        <x:f>'参数'!$B$18*'参数'!$B$19^(MIN(E375,MAX(1,5*INT(D375/5)))-1)*F375*'参数'!$J$29*P375</x:f>
        <x:v>1897.6106812882254</x:v>
      </x:c>
      <x:c r="P375" s="22" t="n">
        <x:f>MIN(1,(D375-1)/19)</x:f>
        <x:v>1</x:v>
      </x:c>
      <x:c r="Q375" s="19" t="n">
        <x:f>INDEX('角色成长'!$F$6:$F$105,D375)+O375*'参数'!$K$21</x:f>
        <x:v>10042.190441671442</x:v>
      </x:c>
      <x:c r="R375" s="19" t="n">
        <x:f>INDEX('角色成长'!$I$6:$I$105,D375)+O375*'参数'!$K$21</x:f>
        <x:v>8744.190441671442</x:v>
      </x:c>
      <x:c r="S375" s="19" t="n">
        <x:f>INDEX('角色成长'!$L$6:$L$105,D375)+O375*'参数'!$K$21</x:f>
        <x:v>8003.190441671442</x:v>
      </x:c>
      <x:c r="T375" s="19" t="n">
        <x:f>(INDEX('角色成长'!$J$6:$J$105,D375)+O375*'参数'!$L$21)*(1+'参数'!$B$40*P375)</x:f>
        <x:v>113637.65283705847</x:v>
      </x:c>
      <x:c r="U375" s="19" t="n">
        <x:f>(INDEX('角色成长'!$K$6:$K$105,D375)+O375*'参数'!$M$21)*(1+'参数'!$B$41*P375)</x:f>
        <x:v>6302.800561479835</x:v>
      </x:c>
      <x:c r="V375" s="19" t="n">
        <x:f>(('参数'!$K$5*(((Q375*(1+'参数'!$B$39*P375))^2/((Q375*(1+'参数'!$B$39*P375))+'参数'!$B$22*(I375)))*(1+'参数'!$B$42*P375)/'参数'!$J$5+((Q375*'参数'!$B$43*(1+'参数'!$B$39*P375))^2/((Q375*'参数'!$B$43*(1+'参数'!$B$39*P375))+'参数'!$B$22*(I375)))/'参数'!$B$44))+(((R375*(1+'参数'!$B$39*P375))^2/((R375*(1+'参数'!$B$39*P375))+'参数'!$B$22*(I375)))*(1+'参数'!$B$42*P375)/'参数'!$J$6+((R375*'参数'!$B$45*(1+'参数'!$B$39*P375))^2/((R375*'参数'!$B$45*(1+'参数'!$B$39*P375))+'参数'!$B$22*(I375)))/'参数'!$B$46)+((S375*(1+'参数'!$B$39*P375))^2/((S375*(1+'参数'!$B$39*P375))+'参数'!$B$22*(I375)))*(1+'参数'!$B$42*P375)/'参数'!$J$7)*(1+'参数'!$B$37*('参数'!$B$38-1))*'参数'!$B$25</x:f>
        <x:v>68074.69622887956</x:v>
      </x:c>
      <x:c r="W375" s="19" t="n">
        <x:f>(('参数'!$K$5*(((Q375*(1+'参数'!$B$39*P375))^2/((Q375*(1+'参数'!$B$39*P375))+'参数'!$B$22*(M375)))*(1+'参数'!$B$42*P375)/'参数'!$J$5+((Q375*'参数'!$B$43*(1+'参数'!$B$39*P375))^2/((Q375*'参数'!$B$43*(1+'参数'!$B$39*P375))+'参数'!$B$22*(M375)))/'参数'!$B$44))+(((R375*(1+'参数'!$B$39*P375))^2/((R375*(1+'参数'!$B$39*P375))+'参数'!$B$22*(M375)))*(1+'参数'!$B$42*P375)/'参数'!$J$6+((R375*'参数'!$B$45*(1+'参数'!$B$39*P375))^2/((R375*'参数'!$B$45*(1+'参数'!$B$39*P375))+'参数'!$B$22*(M375)))/'参数'!$B$46)+((S375*(1+'参数'!$B$39*P375))^2/((S375*(1+'参数'!$B$39*P375))+'参数'!$B$22*(M375)))*(1+'参数'!$B$42*P375)/'参数'!$J$7)*(1+'参数'!$B$37*('参数'!$B$38-1))</x:f>
        <x:v>52445.746688054394</x:v>
      </x:c>
      <x:c r="X375" s="26" t="n">
        <x:f>('参数'!$B$26+'参数'!$B$27*(D375-1)/99)*'参数'!$K$29*AD375</x:f>
        <x:v>24.575672268907564</x:v>
      </x:c>
      <x:c r="Y375" s="26" t="n">
        <x:f>('参数'!$B$28+'参数'!$B$29*(D375-1)/99)*'参数'!$K$29*AD375*IF(AE375=1,'参数'!$B$51,1)</x:f>
        <x:v>68.26575630252101</x:v>
      </x:c>
      <x:c r="Z375" s="22" t="n">
        <x:f>MIN('参数'!$B$36,U375/(U375+'参数'!$B$35))</x:f>
        <x:v>0.6117560486461108</x:v>
      </x:c>
      <x:c r="AA375" s="19" t="n">
        <x:f>T375*'参数'!$B$30/('参数'!$B$32*'参数'!$B$33)/(1-Z375)*AC375</x:f>
        <x:v>8834.023658446651</x:v>
      </x:c>
      <x:c r="AB375" s="19" t="n">
        <x:f>T375*'参数'!$B$31/'参数'!$B$34/(1-Z375)*AC375</x:f>
        <x:v>17668.047316893302</x:v>
      </x:c>
      <x:c r="AC375" s="20" t="n">
        <x:f>'参数'!$L$29*(1+'参数'!$B$53*(B375-1)/119)</x:f>
        <x:v>1.2072605042016804</x:v>
      </x:c>
      <x:c r="AD375" s="20" t="n">
        <x:f>1+'参数'!$B$52*(B375-1)/119</x:f>
        <x:v>1.011344537815126</x:v>
      </x:c>
      <x:c r="AE375" s="19" t="n">
        <x:f>IF(MOD(B375,12)=0,1,0)</x:f>
        <x:v>0</x:v>
      </x:c>
    </x:row>
    <x:row r="376" ht="22" customHeight="1">
      <x:c r="A376" s="18" t="str">
        <x:v>地狱</x:v>
      </x:c>
      <x:c r="B376" s="18" t="n">
        <x:v>11</x:v>
      </x:c>
      <x:c r="C376" s="18" t="n">
        <x:f>ROUNDUP(B376/12,0)</x:f>
        <x:v>1</x:v>
      </x:c>
      <x:c r="D376" s="18" t="n">
        <x:f>ROUND(MAX('参数'!$G$29,E376)+(IF(C376&lt;10,INDEX('参数'!$G$37:$P$37,1,MIN(10,C376+1)),'参数'!$H$29)-MAX('参数'!$G$29,E376))*MOD(B376-1,12)/11,0)</x:f>
        <x:v>100</x:v>
      </x:c>
      <x:c r="E376" s="18" t="n">
        <x:f>INDEX('参数'!$G$37:$P$37,1,C376)</x:f>
        <x:v>100</x:v>
      </x:c>
      <x:c r="F376" s="15" t="n">
        <x:f>'参数'!$I$29</x:f>
        <x:v>1.29</x:v>
      </x:c>
      <x:c r="G376" s="18" t="n">
        <x:f>ROUND(V376*X376/'参数'!$B$56,0)</x:f>
        <x:v>364145</x:v>
      </x:c>
      <x:c r="H376" s="18" t="n">
        <x:f>ROUND((AA376+SQRT(AA376^2+4*AA376*'参数'!$B$22*U376))/2,0)</x:f>
        <x:v>13864</x:v>
      </x:c>
      <x:c r="I376" s="18" t="n">
        <x:f>ROUND(Q376*'参数'!$B$23/'参数'!$B$22,0)</x:f>
        <x:v>2008</x:v>
      </x:c>
      <x:c r="J376" s="18" t="n">
        <x:f>ROUND(G376*'参数'!$B$50,0)</x:f>
        <x:v>1092435</x:v>
      </x:c>
      <x:c r="K376" s="18" t="n">
        <x:f>ROUND(W376*Y376,0)</x:f>
        <x:v>3584711</x:v>
      </x:c>
      <x:c r="L376" s="18" t="n">
        <x:f>ROUND((AB376+SQRT(AB376^2+4*AB376*'参数'!$B$22*U376))/2,0)</x:f>
        <x:v>23586</x:v>
      </x:c>
      <x:c r="M376" s="18" t="n">
        <x:f>ROUND(I376*'参数'!$B$24,0)</x:f>
        <x:v>2510</x:v>
      </x:c>
      <x:c r="N376" s="18" t="n">
        <x:f>'参数'!$B$9*'参数'!$B$10^(D376-1)</x:f>
        <x:v>11195.319600498813</x:v>
      </x:c>
      <x:c r="O376" s="18" t="n">
        <x:f>'参数'!$B$18*'参数'!$B$19^(MIN(E376,MAX(1,5*INT(D376/5)))-1)*F376*'参数'!$J$29*P376</x:f>
        <x:v>1897.6106812882254</x:v>
      </x:c>
      <x:c r="P376" s="21" t="n">
        <x:f>MIN(1,(D376-1)/19)</x:f>
        <x:v>1</x:v>
      </x:c>
      <x:c r="Q376" s="18" t="n">
        <x:f>INDEX('角色成长'!$F$6:$F$105,D376)+O376*'参数'!$K$21</x:f>
        <x:v>10042.190441671442</x:v>
      </x:c>
      <x:c r="R376" s="18" t="n">
        <x:f>INDEX('角色成长'!$I$6:$I$105,D376)+O376*'参数'!$K$21</x:f>
        <x:v>8744.190441671442</x:v>
      </x:c>
      <x:c r="S376" s="18" t="n">
        <x:f>INDEX('角色成长'!$L$6:$L$105,D376)+O376*'参数'!$K$21</x:f>
        <x:v>8003.190441671442</x:v>
      </x:c>
      <x:c r="T376" s="18" t="n">
        <x:f>(INDEX('角色成长'!$J$6:$J$105,D376)+O376*'参数'!$L$21)*(1+'参数'!$B$40*P376)</x:f>
        <x:v>113637.65283705847</x:v>
      </x:c>
      <x:c r="U376" s="18" t="n">
        <x:f>(INDEX('角色成长'!$K$6:$K$105,D376)+O376*'参数'!$M$21)*(1+'参数'!$B$41*P376)</x:f>
        <x:v>6302.800561479835</x:v>
      </x:c>
      <x:c r="V376" s="18" t="n">
        <x:f>(('参数'!$K$5*(((Q376*(1+'参数'!$B$39*P376))^2/((Q376*(1+'参数'!$B$39*P376))+'参数'!$B$22*(I376)))*(1+'参数'!$B$42*P376)/'参数'!$J$5+((Q376*'参数'!$B$43*(1+'参数'!$B$39*P376))^2/((Q376*'参数'!$B$43*(1+'参数'!$B$39*P376))+'参数'!$B$22*(I376)))/'参数'!$B$44))+(((R376*(1+'参数'!$B$39*P376))^2/((R376*(1+'参数'!$B$39*P376))+'参数'!$B$22*(I376)))*(1+'参数'!$B$42*P376)/'参数'!$J$6+((R376*'参数'!$B$45*(1+'参数'!$B$39*P376))^2/((R376*'参数'!$B$45*(1+'参数'!$B$39*P376))+'参数'!$B$22*(I376)))/'参数'!$B$46)+((S376*(1+'参数'!$B$39*P376))^2/((S376*(1+'参数'!$B$39*P376))+'参数'!$B$22*(I376)))*(1+'参数'!$B$42*P376)/'参数'!$J$7)*(1+'参数'!$B$37*('参数'!$B$38-1))*'参数'!$B$25</x:f>
        <x:v>68074.69622887956</x:v>
      </x:c>
      <x:c r="W376" s="18" t="n">
        <x:f>(('参数'!$K$5*(((Q376*(1+'参数'!$B$39*P376))^2/((Q376*(1+'参数'!$B$39*P376))+'参数'!$B$22*(M376)))*(1+'参数'!$B$42*P376)/'参数'!$J$5+((Q376*'参数'!$B$43*(1+'参数'!$B$39*P376))^2/((Q376*'参数'!$B$43*(1+'参数'!$B$39*P376))+'参数'!$B$22*(M376)))/'参数'!$B$44))+(((R376*(1+'参数'!$B$39*P376))^2/((R376*(1+'参数'!$B$39*P376))+'参数'!$B$22*(M376)))*(1+'参数'!$B$42*P376)/'参数'!$J$6+((R376*'参数'!$B$45*(1+'参数'!$B$39*P376))^2/((R376*'参数'!$B$45*(1+'参数'!$B$39*P376))+'参数'!$B$22*(M376)))/'参数'!$B$46)+((S376*(1+'参数'!$B$39*P376))^2/((S376*(1+'参数'!$B$39*P376))+'参数'!$B$22*(M376)))*(1+'参数'!$B$42*P376)/'参数'!$J$7)*(1+'参数'!$B$37*('参数'!$B$38-1))</x:f>
        <x:v>52445.746688054394</x:v>
      </x:c>
      <x:c r="X376" s="25" t="n">
        <x:f>('参数'!$B$26+'参数'!$B$27*(D376-1)/99)*'参数'!$K$29*AD376</x:f>
        <x:v>24.606302521008402</x:v>
      </x:c>
      <x:c r="Y376" s="25" t="n">
        <x:f>('参数'!$B$28+'参数'!$B$29*(D376-1)/99)*'参数'!$K$29*AD376*IF(AE376=1,'参数'!$B$51,1)</x:f>
        <x:v>68.35084033613445</x:v>
      </x:c>
      <x:c r="Z376" s="21" t="n">
        <x:f>MIN('参数'!$B$36,U376/(U376+'参数'!$B$35))</x:f>
        <x:v>0.6117560486461108</x:v>
      </x:c>
      <x:c r="AA376" s="18" t="n">
        <x:f>T376*'参数'!$B$30/('参数'!$B$32*'参数'!$B$33)/(1-Z376)*AC376</x:f>
        <x:v>8839.926781506088</x:v>
      </x:c>
      <x:c r="AB376" s="18" t="n">
        <x:f>T376*'参数'!$B$31/'参数'!$B$34/(1-Z376)*AC376</x:f>
        <x:v>17679.853563012177</x:v>
      </x:c>
      <x:c r="AC376" s="15" t="n">
        <x:f>'参数'!$L$29*(1+'参数'!$B$53*(B376-1)/119)</x:f>
        <x:v>1.2080672268907562</x:v>
      </x:c>
      <x:c r="AD376" s="15" t="n">
        <x:f>1+'参数'!$B$52*(B376-1)/119</x:f>
        <x:v>1.0126050420168067</x:v>
      </x:c>
      <x:c r="AE376" s="18" t="n">
        <x:f>IF(MOD(B376,12)=0,1,0)</x:f>
        <x:v>0</x:v>
      </x:c>
    </x:row>
    <x:row r="377" ht="22" customHeight="1">
      <x:c r="A377" s="19" t="str">
        <x:v>地狱</x:v>
      </x:c>
      <x:c r="B377" s="19" t="n">
        <x:v>12</x:v>
      </x:c>
      <x:c r="C377" s="19" t="n">
        <x:f>ROUNDUP(B377/12,0)</x:f>
        <x:v>1</x:v>
      </x:c>
      <x:c r="D377" s="19" t="n">
        <x:f>ROUND(MAX('参数'!$G$29,E377)+(IF(C377&lt;10,INDEX('参数'!$G$37:$P$37,1,MIN(10,C377+1)),'参数'!$H$29)-MAX('参数'!$G$29,E377))*MOD(B377-1,12)/11,0)</x:f>
        <x:v>100</x:v>
      </x:c>
      <x:c r="E377" s="19" t="n">
        <x:f>INDEX('参数'!$G$37:$P$37,1,C377)</x:f>
        <x:v>100</x:v>
      </x:c>
      <x:c r="F377" s="20" t="n">
        <x:f>'参数'!$I$29</x:f>
        <x:v>1.29</x:v>
      </x:c>
      <x:c r="G377" s="19" t="n">
        <x:f>ROUND(V377*X377/'参数'!$B$56,0)</x:f>
        <x:v>364598</x:v>
      </x:c>
      <x:c r="H377" s="19" t="n">
        <x:f>ROUND((AA377+SQRT(AA377^2+4*AA377*'参数'!$B$22*U377))/2,0)</x:f>
        <x:v>13870</x:v>
      </x:c>
      <x:c r="I377" s="19" t="n">
        <x:f>ROUND(Q377*'参数'!$B$23/'参数'!$B$22,0)</x:f>
        <x:v>2008</x:v>
      </x:c>
      <x:c r="J377" s="19" t="n">
        <x:f>ROUND(G377*'参数'!$B$50,0)</x:f>
        <x:v>1093794</x:v>
      </x:c>
      <x:c r="K377" s="19" t="n">
        <x:f>ROUND(W377*Y377,0)</x:f>
        <x:v>4127549</x:v>
      </x:c>
      <x:c r="L377" s="19" t="n">
        <x:f>ROUND((AB377+SQRT(AB377^2+4*AB377*'参数'!$B$22*U377))/2,0)</x:f>
        <x:v>23598</x:v>
      </x:c>
      <x:c r="M377" s="19" t="n">
        <x:f>ROUND(I377*'参数'!$B$24,0)</x:f>
        <x:v>2510</x:v>
      </x:c>
      <x:c r="N377" s="19" t="n">
        <x:f>'参数'!$B$9*'参数'!$B$10^(D377-1)</x:f>
        <x:v>11195.319600498813</x:v>
      </x:c>
      <x:c r="O377" s="19" t="n">
        <x:f>'参数'!$B$18*'参数'!$B$19^(MIN(E377,MAX(1,5*INT(D377/5)))-1)*F377*'参数'!$J$29*P377</x:f>
        <x:v>1897.6106812882254</x:v>
      </x:c>
      <x:c r="P377" s="22" t="n">
        <x:f>MIN(1,(D377-1)/19)</x:f>
        <x:v>1</x:v>
      </x:c>
      <x:c r="Q377" s="19" t="n">
        <x:f>INDEX('角色成长'!$F$6:$F$105,D377)+O377*'参数'!$K$21</x:f>
        <x:v>10042.190441671442</x:v>
      </x:c>
      <x:c r="R377" s="19" t="n">
        <x:f>INDEX('角色成长'!$I$6:$I$105,D377)+O377*'参数'!$K$21</x:f>
        <x:v>8744.190441671442</x:v>
      </x:c>
      <x:c r="S377" s="19" t="n">
        <x:f>INDEX('角色成长'!$L$6:$L$105,D377)+O377*'参数'!$K$21</x:f>
        <x:v>8003.190441671442</x:v>
      </x:c>
      <x:c r="T377" s="19" t="n">
        <x:f>(INDEX('角色成长'!$J$6:$J$105,D377)+O377*'参数'!$L$21)*(1+'参数'!$B$40*P377)</x:f>
        <x:v>113637.65283705847</x:v>
      </x:c>
      <x:c r="U377" s="19" t="n">
        <x:f>(INDEX('角色成长'!$K$6:$K$105,D377)+O377*'参数'!$M$21)*(1+'参数'!$B$41*P377)</x:f>
        <x:v>6302.800561479835</x:v>
      </x:c>
      <x:c r="V377" s="19" t="n">
        <x:f>(('参数'!$K$5*(((Q377*(1+'参数'!$B$39*P377))^2/((Q377*(1+'参数'!$B$39*P377))+'参数'!$B$22*(I377)))*(1+'参数'!$B$42*P377)/'参数'!$J$5+((Q377*'参数'!$B$43*(1+'参数'!$B$39*P377))^2/((Q377*'参数'!$B$43*(1+'参数'!$B$39*P377))+'参数'!$B$22*(I377)))/'参数'!$B$44))+(((R377*(1+'参数'!$B$39*P377))^2/((R377*(1+'参数'!$B$39*P377))+'参数'!$B$22*(I377)))*(1+'参数'!$B$42*P377)/'参数'!$J$6+((R377*'参数'!$B$45*(1+'参数'!$B$39*P377))^2/((R377*'参数'!$B$45*(1+'参数'!$B$39*P377))+'参数'!$B$22*(I377)))/'参数'!$B$46)+((S377*(1+'参数'!$B$39*P377))^2/((S377*(1+'参数'!$B$39*P377))+'参数'!$B$22*(I377)))*(1+'参数'!$B$42*P377)/'参数'!$J$7)*(1+'参数'!$B$37*('参数'!$B$38-1))*'参数'!$B$25</x:f>
        <x:v>68074.69622887956</x:v>
      </x:c>
      <x:c r="W377" s="19" t="n">
        <x:f>(('参数'!$K$5*(((Q377*(1+'参数'!$B$39*P377))^2/((Q377*(1+'参数'!$B$39*P377))+'参数'!$B$22*(M377)))*(1+'参数'!$B$42*P377)/'参数'!$J$5+((Q377*'参数'!$B$43*(1+'参数'!$B$39*P377))^2/((Q377*'参数'!$B$43*(1+'参数'!$B$39*P377))+'参数'!$B$22*(M377)))/'参数'!$B$44))+(((R377*(1+'参数'!$B$39*P377))^2/((R377*(1+'参数'!$B$39*P377))+'参数'!$B$22*(M377)))*(1+'参数'!$B$42*P377)/'参数'!$J$6+((R377*'参数'!$B$45*(1+'参数'!$B$39*P377))^2/((R377*'参数'!$B$45*(1+'参数'!$B$39*P377))+'参数'!$B$22*(M377)))/'参数'!$B$46)+((S377*(1+'参数'!$B$39*P377))^2/((S377*(1+'参数'!$B$39*P377))+'参数'!$B$22*(M377)))*(1+'参数'!$B$42*P377)/'参数'!$J$7)*(1+'参数'!$B$37*('参数'!$B$38-1))</x:f>
        <x:v>52445.746688054394</x:v>
      </x:c>
      <x:c r="X377" s="26" t="n">
        <x:f>('参数'!$B$26+'参数'!$B$27*(D377-1)/99)*'参数'!$K$29*AD377</x:f>
        <x:v>24.636932773109244</x:v>
      </x:c>
      <x:c r="Y377" s="26" t="n">
        <x:f>('参数'!$B$28+'参数'!$B$29*(D377-1)/99)*'参数'!$K$29*AD377*IF(AE377=1,'参数'!$B$51,1)</x:f>
        <x:v>78.70131302521007</x:v>
      </x:c>
      <x:c r="Z377" s="22" t="n">
        <x:f>MIN('参数'!$B$36,U377/(U377+'参数'!$B$35))</x:f>
        <x:v>0.6117560486461108</x:v>
      </x:c>
      <x:c r="AA377" s="19" t="n">
        <x:f>T377*'参数'!$B$30/('参数'!$B$32*'参数'!$B$33)/(1-Z377)*AC377</x:f>
        <x:v>8845.829904565526</x:v>
      </x:c>
      <x:c r="AB377" s="19" t="n">
        <x:f>T377*'参数'!$B$31/'参数'!$B$34/(1-Z377)*AC377</x:f>
        <x:v>17691.65980913105</x:v>
      </x:c>
      <x:c r="AC377" s="20" t="n">
        <x:f>'参数'!$L$29*(1+'参数'!$B$53*(B377-1)/119)</x:f>
        <x:v>1.208873949579832</x:v>
      </x:c>
      <x:c r="AD377" s="20" t="n">
        <x:f>1+'参数'!$B$52*(B377-1)/119</x:f>
        <x:v>1.0138655462184873</x:v>
      </x:c>
      <x:c r="AE377" s="19" t="n">
        <x:f>IF(MOD(B377,12)=0,1,0)</x:f>
        <x:v>1</x:v>
      </x:c>
    </x:row>
    <x:row r="378" ht="22" customHeight="1">
      <x:c r="A378" s="18" t="str">
        <x:v>地狱</x:v>
      </x:c>
      <x:c r="B378" s="18" t="n">
        <x:v>13</x:v>
      </x:c>
      <x:c r="C378" s="18" t="n">
        <x:f>ROUNDUP(B378/12,0)</x:f>
        <x:v>2</x:v>
      </x:c>
      <x:c r="D378" s="18" t="n">
        <x:f>ROUND(MAX('参数'!$G$29,E378)+(IF(C378&lt;10,INDEX('参数'!$G$37:$P$37,1,MIN(10,C378+1)),'参数'!$H$29)-MAX('参数'!$G$29,E378))*MOD(B378-1,12)/11,0)</x:f>
        <x:v>100</x:v>
      </x:c>
      <x:c r="E378" s="18" t="n">
        <x:f>INDEX('参数'!$G$37:$P$37,1,C378)</x:f>
        <x:v>100</x:v>
      </x:c>
      <x:c r="F378" s="15" t="n">
        <x:f>'参数'!$I$29</x:f>
        <x:v>1.29</x:v>
      </x:c>
      <x:c r="G378" s="18" t="n">
        <x:f>ROUND(V378*X378/'参数'!$B$56,0)</x:f>
        <x:v>365051</x:v>
      </x:c>
      <x:c r="H378" s="18" t="n">
        <x:f>ROUND((AA378+SQRT(AA378^2+4*AA378*'参数'!$B$22*U378))/2,0)</x:f>
        <x:v>13877</x:v>
      </x:c>
      <x:c r="I378" s="18" t="n">
        <x:f>ROUND(Q378*'参数'!$B$23/'参数'!$B$22,0)</x:f>
        <x:v>2008</x:v>
      </x:c>
      <x:c r="J378" s="18" t="n">
        <x:f>ROUND(G378*'参数'!$B$50,0)</x:f>
        <x:v>1095153</x:v>
      </x:c>
      <x:c r="K378" s="18" t="n">
        <x:f>ROUND(W378*Y378,0)</x:f>
        <x:v>3593635</x:v>
      </x:c>
      <x:c r="L378" s="18" t="n">
        <x:f>ROUND((AB378+SQRT(AB378^2+4*AB378*'参数'!$B$22*U378))/2,0)</x:f>
        <x:v>23611</x:v>
      </x:c>
      <x:c r="M378" s="18" t="n">
        <x:f>ROUND(I378*'参数'!$B$24,0)</x:f>
        <x:v>2510</x:v>
      </x:c>
      <x:c r="N378" s="18" t="n">
        <x:f>'参数'!$B$9*'参数'!$B$10^(D378-1)</x:f>
        <x:v>11195.319600498813</x:v>
      </x:c>
      <x:c r="O378" s="18" t="n">
        <x:f>'参数'!$B$18*'参数'!$B$19^(MIN(E378,MAX(1,5*INT(D378/5)))-1)*F378*'参数'!$J$29*P378</x:f>
        <x:v>1897.6106812882254</x:v>
      </x:c>
      <x:c r="P378" s="21" t="n">
        <x:f>MIN(1,(D378-1)/19)</x:f>
        <x:v>1</x:v>
      </x:c>
      <x:c r="Q378" s="18" t="n">
        <x:f>INDEX('角色成长'!$F$6:$F$105,D378)+O378*'参数'!$K$21</x:f>
        <x:v>10042.190441671442</x:v>
      </x:c>
      <x:c r="R378" s="18" t="n">
        <x:f>INDEX('角色成长'!$I$6:$I$105,D378)+O378*'参数'!$K$21</x:f>
        <x:v>8744.190441671442</x:v>
      </x:c>
      <x:c r="S378" s="18" t="n">
        <x:f>INDEX('角色成长'!$L$6:$L$105,D378)+O378*'参数'!$K$21</x:f>
        <x:v>8003.190441671442</x:v>
      </x:c>
      <x:c r="T378" s="18" t="n">
        <x:f>(INDEX('角色成长'!$J$6:$J$105,D378)+O378*'参数'!$L$21)*(1+'参数'!$B$40*P378)</x:f>
        <x:v>113637.65283705847</x:v>
      </x:c>
      <x:c r="U378" s="18" t="n">
        <x:f>(INDEX('角色成长'!$K$6:$K$105,D378)+O378*'参数'!$M$21)*(1+'参数'!$B$41*P378)</x:f>
        <x:v>6302.800561479835</x:v>
      </x:c>
      <x:c r="V378" s="18" t="n">
        <x:f>(('参数'!$K$5*(((Q378*(1+'参数'!$B$39*P378))^2/((Q378*(1+'参数'!$B$39*P378))+'参数'!$B$22*(I378)))*(1+'参数'!$B$42*P378)/'参数'!$J$5+((Q378*'参数'!$B$43*(1+'参数'!$B$39*P378))^2/((Q378*'参数'!$B$43*(1+'参数'!$B$39*P378))+'参数'!$B$22*(I378)))/'参数'!$B$44))+(((R378*(1+'参数'!$B$39*P378))^2/((R378*(1+'参数'!$B$39*P378))+'参数'!$B$22*(I378)))*(1+'参数'!$B$42*P378)/'参数'!$J$6+((R378*'参数'!$B$45*(1+'参数'!$B$39*P378))^2/((R378*'参数'!$B$45*(1+'参数'!$B$39*P378))+'参数'!$B$22*(I378)))/'参数'!$B$46)+((S378*(1+'参数'!$B$39*P378))^2/((S378*(1+'参数'!$B$39*P378))+'参数'!$B$22*(I378)))*(1+'参数'!$B$42*P378)/'参数'!$J$7)*(1+'参数'!$B$37*('参数'!$B$38-1))*'参数'!$B$25</x:f>
        <x:v>68074.69622887956</x:v>
      </x:c>
      <x:c r="W378" s="18" t="n">
        <x:f>(('参数'!$K$5*(((Q378*(1+'参数'!$B$39*P378))^2/((Q378*(1+'参数'!$B$39*P378))+'参数'!$B$22*(M378)))*(1+'参数'!$B$42*P378)/'参数'!$J$5+((Q378*'参数'!$B$43*(1+'参数'!$B$39*P378))^2/((Q378*'参数'!$B$43*(1+'参数'!$B$39*P378))+'参数'!$B$22*(M378)))/'参数'!$B$44))+(((R378*(1+'参数'!$B$39*P378))^2/((R378*(1+'参数'!$B$39*P378))+'参数'!$B$22*(M378)))*(1+'参数'!$B$42*P378)/'参数'!$J$6+((R378*'参数'!$B$45*(1+'参数'!$B$39*P378))^2/((R378*'参数'!$B$45*(1+'参数'!$B$39*P378))+'参数'!$B$22*(M378)))/'参数'!$B$46)+((S378*(1+'参数'!$B$39*P378))^2/((S378*(1+'参数'!$B$39*P378))+'参数'!$B$22*(M378)))*(1+'参数'!$B$42*P378)/'参数'!$J$7)*(1+'参数'!$B$37*('参数'!$B$38-1))</x:f>
        <x:v>52445.746688054394</x:v>
      </x:c>
      <x:c r="X378" s="25" t="n">
        <x:f>('参数'!$B$26+'参数'!$B$27*(D378-1)/99)*'参数'!$K$29*AD378</x:f>
        <x:v>24.667563025210082</x:v>
      </x:c>
      <x:c r="Y378" s="25" t="n">
        <x:f>('参数'!$B$28+'参数'!$B$29*(D378-1)/99)*'参数'!$K$29*AD378*IF(AE378=1,'参数'!$B$51,1)</x:f>
        <x:v>68.52100840336134</x:v>
      </x:c>
      <x:c r="Z378" s="21" t="n">
        <x:f>MIN('参数'!$B$36,U378/(U378+'参数'!$B$35))</x:f>
        <x:v>0.6117560486461108</x:v>
      </x:c>
      <x:c r="AA378" s="18" t="n">
        <x:f>T378*'参数'!$B$30/('参数'!$B$32*'参数'!$B$33)/(1-Z378)*AC378</x:f>
        <x:v>8851.733027624963</x:v>
      </x:c>
      <x:c r="AB378" s="18" t="n">
        <x:f>T378*'参数'!$B$31/'参数'!$B$34/(1-Z378)*AC378</x:f>
        <x:v>17703.466055249926</x:v>
      </x:c>
      <x:c r="AC378" s="15" t="n">
        <x:f>'参数'!$L$29*(1+'参数'!$B$53*(B378-1)/119)</x:f>
        <x:v>1.2096806722689075</x:v>
      </x:c>
      <x:c r="AD378" s="15" t="n">
        <x:f>1+'参数'!$B$52*(B378-1)/119</x:f>
        <x:v>1.015126050420168</x:v>
      </x:c>
      <x:c r="AE378" s="18" t="n">
        <x:f>IF(MOD(B378,12)=0,1,0)</x:f>
        <x:v>0</x:v>
      </x:c>
    </x:row>
    <x:row r="379" ht="22" customHeight="1">
      <x:c r="A379" s="19" t="str">
        <x:v>地狱</x:v>
      </x:c>
      <x:c r="B379" s="19" t="n">
        <x:v>14</x:v>
      </x:c>
      <x:c r="C379" s="19" t="n">
        <x:f>ROUNDUP(B379/12,0)</x:f>
        <x:v>2</x:v>
      </x:c>
      <x:c r="D379" s="19" t="n">
        <x:f>ROUND(MAX('参数'!$G$29,E379)+(IF(C379&lt;10,INDEX('参数'!$G$37:$P$37,1,MIN(10,C379+1)),'参数'!$H$29)-MAX('参数'!$G$29,E379))*MOD(B379-1,12)/11,0)</x:f>
        <x:v>100</x:v>
      </x:c>
      <x:c r="E379" s="19" t="n">
        <x:f>INDEX('参数'!$G$37:$P$37,1,C379)</x:f>
        <x:v>100</x:v>
      </x:c>
      <x:c r="F379" s="20" t="n">
        <x:f>'参数'!$I$29</x:f>
        <x:v>1.29</x:v>
      </x:c>
      <x:c r="G379" s="19" t="n">
        <x:f>ROUND(V379*X379/'参数'!$B$56,0)</x:f>
        <x:v>365505</x:v>
      </x:c>
      <x:c r="H379" s="19" t="n">
        <x:f>ROUND((AA379+SQRT(AA379^2+4*AA379*'参数'!$B$22*U379))/2,0)</x:f>
        <x:v>13884</x:v>
      </x:c>
      <x:c r="I379" s="19" t="n">
        <x:f>ROUND(Q379*'参数'!$B$23/'参数'!$B$22,0)</x:f>
        <x:v>2008</x:v>
      </x:c>
      <x:c r="J379" s="19" t="n">
        <x:f>ROUND(G379*'参数'!$B$50,0)</x:f>
        <x:v>1096515</x:v>
      </x:c>
      <x:c r="K379" s="19" t="n">
        <x:f>ROUND(W379*Y379,0)</x:f>
        <x:v>3598098</x:v>
      </x:c>
      <x:c r="L379" s="19" t="n">
        <x:f>ROUND((AB379+SQRT(AB379^2+4*AB379*'参数'!$B$22*U379))/2,0)</x:f>
        <x:v>23623</x:v>
      </x:c>
      <x:c r="M379" s="19" t="n">
        <x:f>ROUND(I379*'参数'!$B$24,0)</x:f>
        <x:v>2510</x:v>
      </x:c>
      <x:c r="N379" s="19" t="n">
        <x:f>'参数'!$B$9*'参数'!$B$10^(D379-1)</x:f>
        <x:v>11195.319600498813</x:v>
      </x:c>
      <x:c r="O379" s="19" t="n">
        <x:f>'参数'!$B$18*'参数'!$B$19^(MIN(E379,MAX(1,5*INT(D379/5)))-1)*F379*'参数'!$J$29*P379</x:f>
        <x:v>1897.6106812882254</x:v>
      </x:c>
      <x:c r="P379" s="22" t="n">
        <x:f>MIN(1,(D379-1)/19)</x:f>
        <x:v>1</x:v>
      </x:c>
      <x:c r="Q379" s="19" t="n">
        <x:f>INDEX('角色成长'!$F$6:$F$105,D379)+O379*'参数'!$K$21</x:f>
        <x:v>10042.190441671442</x:v>
      </x:c>
      <x:c r="R379" s="19" t="n">
        <x:f>INDEX('角色成长'!$I$6:$I$105,D379)+O379*'参数'!$K$21</x:f>
        <x:v>8744.190441671442</x:v>
      </x:c>
      <x:c r="S379" s="19" t="n">
        <x:f>INDEX('角色成长'!$L$6:$L$105,D379)+O379*'参数'!$K$21</x:f>
        <x:v>8003.190441671442</x:v>
      </x:c>
      <x:c r="T379" s="19" t="n">
        <x:f>(INDEX('角色成长'!$J$6:$J$105,D379)+O379*'参数'!$L$21)*(1+'参数'!$B$40*P379)</x:f>
        <x:v>113637.65283705847</x:v>
      </x:c>
      <x:c r="U379" s="19" t="n">
        <x:f>(INDEX('角色成长'!$K$6:$K$105,D379)+O379*'参数'!$M$21)*(1+'参数'!$B$41*P379)</x:f>
        <x:v>6302.800561479835</x:v>
      </x:c>
      <x:c r="V379" s="19" t="n">
        <x:f>(('参数'!$K$5*(((Q379*(1+'参数'!$B$39*P379))^2/((Q379*(1+'参数'!$B$39*P379))+'参数'!$B$22*(I379)))*(1+'参数'!$B$42*P379)/'参数'!$J$5+((Q379*'参数'!$B$43*(1+'参数'!$B$39*P379))^2/((Q379*'参数'!$B$43*(1+'参数'!$B$39*P379))+'参数'!$B$22*(I379)))/'参数'!$B$44))+(((R379*(1+'参数'!$B$39*P379))^2/((R379*(1+'参数'!$B$39*P379))+'参数'!$B$22*(I379)))*(1+'参数'!$B$42*P379)/'参数'!$J$6+((R379*'参数'!$B$45*(1+'参数'!$B$39*P379))^2/((R379*'参数'!$B$45*(1+'参数'!$B$39*P379))+'参数'!$B$22*(I379)))/'参数'!$B$46)+((S379*(1+'参数'!$B$39*P379))^2/((S379*(1+'参数'!$B$39*P379))+'参数'!$B$22*(I379)))*(1+'参数'!$B$42*P379)/'参数'!$J$7)*(1+'参数'!$B$37*('参数'!$B$38-1))*'参数'!$B$25</x:f>
        <x:v>68074.69622887956</x:v>
      </x:c>
      <x:c r="W379" s="19" t="n">
        <x:f>(('参数'!$K$5*(((Q379*(1+'参数'!$B$39*P379))^2/((Q379*(1+'参数'!$B$39*P379))+'参数'!$B$22*(M379)))*(1+'参数'!$B$42*P379)/'参数'!$J$5+((Q379*'参数'!$B$43*(1+'参数'!$B$39*P379))^2/((Q379*'参数'!$B$43*(1+'参数'!$B$39*P379))+'参数'!$B$22*(M379)))/'参数'!$B$44))+(((R379*(1+'参数'!$B$39*P379))^2/((R379*(1+'参数'!$B$39*P379))+'参数'!$B$22*(M379)))*(1+'参数'!$B$42*P379)/'参数'!$J$6+((R379*'参数'!$B$45*(1+'参数'!$B$39*P379))^2/((R379*'参数'!$B$45*(1+'参数'!$B$39*P379))+'参数'!$B$22*(M379)))/'参数'!$B$46)+((S379*(1+'参数'!$B$39*P379))^2/((S379*(1+'参数'!$B$39*P379))+'参数'!$B$22*(M379)))*(1+'参数'!$B$42*P379)/'参数'!$J$7)*(1+'参数'!$B$37*('参数'!$B$38-1))</x:f>
        <x:v>52445.746688054394</x:v>
      </x:c>
      <x:c r="X379" s="26" t="n">
        <x:f>('参数'!$B$26+'参数'!$B$27*(D379-1)/99)*'参数'!$K$29*AD379</x:f>
        <x:v>24.698193277310924</x:v>
      </x:c>
      <x:c r="Y379" s="26" t="n">
        <x:f>('参数'!$B$28+'参数'!$B$29*(D379-1)/99)*'参数'!$K$29*AD379*IF(AE379=1,'参数'!$B$51,1)</x:f>
        <x:v>68.60609243697479</x:v>
      </x:c>
      <x:c r="Z379" s="22" t="n">
        <x:f>MIN('参数'!$B$36,U379/(U379+'参数'!$B$35))</x:f>
        <x:v>0.6117560486461108</x:v>
      </x:c>
      <x:c r="AA379" s="19" t="n">
        <x:f>T379*'参数'!$B$30/('参数'!$B$32*'参数'!$B$33)/(1-Z379)*AC379</x:f>
        <x:v>8857.636150684399</x:v>
      </x:c>
      <x:c r="AB379" s="19" t="n">
        <x:f>T379*'参数'!$B$31/'参数'!$B$34/(1-Z379)*AC379</x:f>
        <x:v>17715.272301368797</x:v>
      </x:c>
      <x:c r="AC379" s="20" t="n">
        <x:f>'参数'!$L$29*(1+'参数'!$B$53*(B379-1)/119)</x:f>
        <x:v>1.210487394957983</x:v>
      </x:c>
      <x:c r="AD379" s="20" t="n">
        <x:f>1+'参数'!$B$52*(B379-1)/119</x:f>
        <x:v>1.0163865546218487</x:v>
      </x:c>
      <x:c r="AE379" s="19" t="n">
        <x:f>IF(MOD(B379,12)=0,1,0)</x:f>
        <x:v>0</x:v>
      </x:c>
    </x:row>
    <x:row r="380" ht="22" customHeight="1">
      <x:c r="A380" s="18" t="str">
        <x:v>地狱</x:v>
      </x:c>
      <x:c r="B380" s="18" t="n">
        <x:v>15</x:v>
      </x:c>
      <x:c r="C380" s="18" t="n">
        <x:f>ROUNDUP(B380/12,0)</x:f>
        <x:v>2</x:v>
      </x:c>
      <x:c r="D380" s="18" t="n">
        <x:f>ROUND(MAX('参数'!$G$29,E380)+(IF(C380&lt;10,INDEX('参数'!$G$37:$P$37,1,MIN(10,C380+1)),'参数'!$H$29)-MAX('参数'!$G$29,E380))*MOD(B380-1,12)/11,0)</x:f>
        <x:v>100</x:v>
      </x:c>
      <x:c r="E380" s="18" t="n">
        <x:f>INDEX('参数'!$G$37:$P$37,1,C380)</x:f>
        <x:v>100</x:v>
      </x:c>
      <x:c r="F380" s="15" t="n">
        <x:f>'参数'!$I$29</x:f>
        <x:v>1.29</x:v>
      </x:c>
      <x:c r="G380" s="18" t="n">
        <x:f>ROUND(V380*X380/'参数'!$B$56,0)</x:f>
        <x:v>365958</x:v>
      </x:c>
      <x:c r="H380" s="18" t="n">
        <x:f>ROUND((AA380+SQRT(AA380^2+4*AA380*'参数'!$B$22*U380))/2,0)</x:f>
        <x:v>13891</x:v>
      </x:c>
      <x:c r="I380" s="18" t="n">
        <x:f>ROUND(Q380*'参数'!$B$23/'参数'!$B$22,0)</x:f>
        <x:v>2008</x:v>
      </x:c>
      <x:c r="J380" s="18" t="n">
        <x:f>ROUND(G380*'参数'!$B$50,0)</x:f>
        <x:v>1097874</x:v>
      </x:c>
      <x:c r="K380" s="18" t="n">
        <x:f>ROUND(W380*Y380,0)</x:f>
        <x:v>3602560</x:v>
      </x:c>
      <x:c r="L380" s="18" t="n">
        <x:f>ROUND((AB380+SQRT(AB380^2+4*AB380*'参数'!$B$22*U380))/2,0)</x:f>
        <x:v>23636</x:v>
      </x:c>
      <x:c r="M380" s="18" t="n">
        <x:f>ROUND(I380*'参数'!$B$24,0)</x:f>
        <x:v>2510</x:v>
      </x:c>
      <x:c r="N380" s="18" t="n">
        <x:f>'参数'!$B$9*'参数'!$B$10^(D380-1)</x:f>
        <x:v>11195.319600498813</x:v>
      </x:c>
      <x:c r="O380" s="18" t="n">
        <x:f>'参数'!$B$18*'参数'!$B$19^(MIN(E380,MAX(1,5*INT(D380/5)))-1)*F380*'参数'!$J$29*P380</x:f>
        <x:v>1897.6106812882254</x:v>
      </x:c>
      <x:c r="P380" s="21" t="n">
        <x:f>MIN(1,(D380-1)/19)</x:f>
        <x:v>1</x:v>
      </x:c>
      <x:c r="Q380" s="18" t="n">
        <x:f>INDEX('角色成长'!$F$6:$F$105,D380)+O380*'参数'!$K$21</x:f>
        <x:v>10042.190441671442</x:v>
      </x:c>
      <x:c r="R380" s="18" t="n">
        <x:f>INDEX('角色成长'!$I$6:$I$105,D380)+O380*'参数'!$K$21</x:f>
        <x:v>8744.190441671442</x:v>
      </x:c>
      <x:c r="S380" s="18" t="n">
        <x:f>INDEX('角色成长'!$L$6:$L$105,D380)+O380*'参数'!$K$21</x:f>
        <x:v>8003.190441671442</x:v>
      </x:c>
      <x:c r="T380" s="18" t="n">
        <x:f>(INDEX('角色成长'!$J$6:$J$105,D380)+O380*'参数'!$L$21)*(1+'参数'!$B$40*P380)</x:f>
        <x:v>113637.65283705847</x:v>
      </x:c>
      <x:c r="U380" s="18" t="n">
        <x:f>(INDEX('角色成长'!$K$6:$K$105,D380)+O380*'参数'!$M$21)*(1+'参数'!$B$41*P380)</x:f>
        <x:v>6302.800561479835</x:v>
      </x:c>
      <x:c r="V380" s="18" t="n">
        <x:f>(('参数'!$K$5*(((Q380*(1+'参数'!$B$39*P380))^2/((Q380*(1+'参数'!$B$39*P380))+'参数'!$B$22*(I380)))*(1+'参数'!$B$42*P380)/'参数'!$J$5+((Q380*'参数'!$B$43*(1+'参数'!$B$39*P380))^2/((Q380*'参数'!$B$43*(1+'参数'!$B$39*P380))+'参数'!$B$22*(I380)))/'参数'!$B$44))+(((R380*(1+'参数'!$B$39*P380))^2/((R380*(1+'参数'!$B$39*P380))+'参数'!$B$22*(I380)))*(1+'参数'!$B$42*P380)/'参数'!$J$6+((R380*'参数'!$B$45*(1+'参数'!$B$39*P380))^2/((R380*'参数'!$B$45*(1+'参数'!$B$39*P380))+'参数'!$B$22*(I380)))/'参数'!$B$46)+((S380*(1+'参数'!$B$39*P380))^2/((S380*(1+'参数'!$B$39*P380))+'参数'!$B$22*(I380)))*(1+'参数'!$B$42*P380)/'参数'!$J$7)*(1+'参数'!$B$37*('参数'!$B$38-1))*'参数'!$B$25</x:f>
        <x:v>68074.69622887956</x:v>
      </x:c>
      <x:c r="W380" s="18" t="n">
        <x:f>(('参数'!$K$5*(((Q380*(1+'参数'!$B$39*P380))^2/((Q380*(1+'参数'!$B$39*P380))+'参数'!$B$22*(M380)))*(1+'参数'!$B$42*P380)/'参数'!$J$5+((Q380*'参数'!$B$43*(1+'参数'!$B$39*P380))^2/((Q380*'参数'!$B$43*(1+'参数'!$B$39*P380))+'参数'!$B$22*(M380)))/'参数'!$B$44))+(((R380*(1+'参数'!$B$39*P380))^2/((R380*(1+'参数'!$B$39*P380))+'参数'!$B$22*(M380)))*(1+'参数'!$B$42*P380)/'参数'!$J$6+((R380*'参数'!$B$45*(1+'参数'!$B$39*P380))^2/((R380*'参数'!$B$45*(1+'参数'!$B$39*P380))+'参数'!$B$22*(M380)))/'参数'!$B$46)+((S380*(1+'参数'!$B$39*P380))^2/((S380*(1+'参数'!$B$39*P380))+'参数'!$B$22*(M380)))*(1+'参数'!$B$42*P380)/'参数'!$J$7)*(1+'参数'!$B$37*('参数'!$B$38-1))</x:f>
        <x:v>52445.746688054394</x:v>
      </x:c>
      <x:c r="X380" s="25" t="n">
        <x:f>('参数'!$B$26+'参数'!$B$27*(D380-1)/99)*'参数'!$K$29*AD380</x:f>
        <x:v>24.728823529411763</x:v>
      </x:c>
      <x:c r="Y380" s="25" t="n">
        <x:f>('参数'!$B$28+'参数'!$B$29*(D380-1)/99)*'参数'!$K$29*AD380*IF(AE380=1,'参数'!$B$51,1)</x:f>
        <x:v>68.69117647058823</x:v>
      </x:c>
      <x:c r="Z380" s="21" t="n">
        <x:f>MIN('参数'!$B$36,U380/(U380+'参数'!$B$35))</x:f>
        <x:v>0.6117560486461108</x:v>
      </x:c>
      <x:c r="AA380" s="18" t="n">
        <x:f>T380*'参数'!$B$30/('参数'!$B$32*'参数'!$B$33)/(1-Z380)*AC380</x:f>
        <x:v>8863.539273743836</x:v>
      </x:c>
      <x:c r="AB380" s="18" t="n">
        <x:f>T380*'参数'!$B$31/'参数'!$B$34/(1-Z380)*AC380</x:f>
        <x:v>17727.078547487672</x:v>
      </x:c>
      <x:c r="AC380" s="15" t="n">
        <x:f>'参数'!$L$29*(1+'参数'!$B$53*(B380-1)/119)</x:f>
        <x:v>1.2112941176470589</x:v>
      </x:c>
      <x:c r="AD380" s="15" t="n">
        <x:f>1+'参数'!$B$52*(B380-1)/119</x:f>
        <x:v>1.0176470588235293</x:v>
      </x:c>
      <x:c r="AE380" s="18" t="n">
        <x:f>IF(MOD(B380,12)=0,1,0)</x:f>
        <x:v>0</x:v>
      </x:c>
    </x:row>
    <x:row r="381" ht="22" customHeight="1">
      <x:c r="A381" s="19" t="str">
        <x:v>地狱</x:v>
      </x:c>
      <x:c r="B381" s="19" t="n">
        <x:v>16</x:v>
      </x:c>
      <x:c r="C381" s="19" t="n">
        <x:f>ROUNDUP(B381/12,0)</x:f>
        <x:v>2</x:v>
      </x:c>
      <x:c r="D381" s="19" t="n">
        <x:f>ROUND(MAX('参数'!$G$29,E381)+(IF(C381&lt;10,INDEX('参数'!$G$37:$P$37,1,MIN(10,C381+1)),'参数'!$H$29)-MAX('参数'!$G$29,E381))*MOD(B381-1,12)/11,0)</x:f>
        <x:v>100</x:v>
      </x:c>
      <x:c r="E381" s="19" t="n">
        <x:f>INDEX('参数'!$G$37:$P$37,1,C381)</x:f>
        <x:v>100</x:v>
      </x:c>
      <x:c r="F381" s="20" t="n">
        <x:f>'参数'!$I$29</x:f>
        <x:v>1.29</x:v>
      </x:c>
      <x:c r="G381" s="19" t="n">
        <x:f>ROUND(V381*X381/'参数'!$B$56,0)</x:f>
        <x:v>366411</x:v>
      </x:c>
      <x:c r="H381" s="19" t="n">
        <x:f>ROUND((AA381+SQRT(AA381^2+4*AA381*'参数'!$B$22*U381))/2,0)</x:f>
        <x:v>13898</x:v>
      </x:c>
      <x:c r="I381" s="19" t="n">
        <x:f>ROUND(Q381*'参数'!$B$23/'参数'!$B$22,0)</x:f>
        <x:v>2008</x:v>
      </x:c>
      <x:c r="J381" s="19" t="n">
        <x:f>ROUND(G381*'参数'!$B$50,0)</x:f>
        <x:v>1099233</x:v>
      </x:c>
      <x:c r="K381" s="19" t="n">
        <x:f>ROUND(W381*Y381,0)</x:f>
        <x:v>3607022</x:v>
      </x:c>
      <x:c r="L381" s="19" t="n">
        <x:f>ROUND((AB381+SQRT(AB381^2+4*AB381*'参数'!$B$22*U381))/2,0)</x:f>
        <x:v>23649</x:v>
      </x:c>
      <x:c r="M381" s="19" t="n">
        <x:f>ROUND(I381*'参数'!$B$24,0)</x:f>
        <x:v>2510</x:v>
      </x:c>
      <x:c r="N381" s="19" t="n">
        <x:f>'参数'!$B$9*'参数'!$B$10^(D381-1)</x:f>
        <x:v>11195.319600498813</x:v>
      </x:c>
      <x:c r="O381" s="19" t="n">
        <x:f>'参数'!$B$18*'参数'!$B$19^(MIN(E381,MAX(1,5*INT(D381/5)))-1)*F381*'参数'!$J$29*P381</x:f>
        <x:v>1897.6106812882254</x:v>
      </x:c>
      <x:c r="P381" s="22" t="n">
        <x:f>MIN(1,(D381-1)/19)</x:f>
        <x:v>1</x:v>
      </x:c>
      <x:c r="Q381" s="19" t="n">
        <x:f>INDEX('角色成长'!$F$6:$F$105,D381)+O381*'参数'!$K$21</x:f>
        <x:v>10042.190441671442</x:v>
      </x:c>
      <x:c r="R381" s="19" t="n">
        <x:f>INDEX('角色成长'!$I$6:$I$105,D381)+O381*'参数'!$K$21</x:f>
        <x:v>8744.190441671442</x:v>
      </x:c>
      <x:c r="S381" s="19" t="n">
        <x:f>INDEX('角色成长'!$L$6:$L$105,D381)+O381*'参数'!$K$21</x:f>
        <x:v>8003.190441671442</x:v>
      </x:c>
      <x:c r="T381" s="19" t="n">
        <x:f>(INDEX('角色成长'!$J$6:$J$105,D381)+O381*'参数'!$L$21)*(1+'参数'!$B$40*P381)</x:f>
        <x:v>113637.65283705847</x:v>
      </x:c>
      <x:c r="U381" s="19" t="n">
        <x:f>(INDEX('角色成长'!$K$6:$K$105,D381)+O381*'参数'!$M$21)*(1+'参数'!$B$41*P381)</x:f>
        <x:v>6302.800561479835</x:v>
      </x:c>
      <x:c r="V381" s="19" t="n">
        <x:f>(('参数'!$K$5*(((Q381*(1+'参数'!$B$39*P381))^2/((Q381*(1+'参数'!$B$39*P381))+'参数'!$B$22*(I381)))*(1+'参数'!$B$42*P381)/'参数'!$J$5+((Q381*'参数'!$B$43*(1+'参数'!$B$39*P381))^2/((Q381*'参数'!$B$43*(1+'参数'!$B$39*P381))+'参数'!$B$22*(I381)))/'参数'!$B$44))+(((R381*(1+'参数'!$B$39*P381))^2/((R381*(1+'参数'!$B$39*P381))+'参数'!$B$22*(I381)))*(1+'参数'!$B$42*P381)/'参数'!$J$6+((R381*'参数'!$B$45*(1+'参数'!$B$39*P381))^2/((R381*'参数'!$B$45*(1+'参数'!$B$39*P381))+'参数'!$B$22*(I381)))/'参数'!$B$46)+((S381*(1+'参数'!$B$39*P381))^2/((S381*(1+'参数'!$B$39*P381))+'参数'!$B$22*(I381)))*(1+'参数'!$B$42*P381)/'参数'!$J$7)*(1+'参数'!$B$37*('参数'!$B$38-1))*'参数'!$B$25</x:f>
        <x:v>68074.69622887956</x:v>
      </x:c>
      <x:c r="W381" s="19" t="n">
        <x:f>(('参数'!$K$5*(((Q381*(1+'参数'!$B$39*P381))^2/((Q381*(1+'参数'!$B$39*P381))+'参数'!$B$22*(M381)))*(1+'参数'!$B$42*P381)/'参数'!$J$5+((Q381*'参数'!$B$43*(1+'参数'!$B$39*P381))^2/((Q381*'参数'!$B$43*(1+'参数'!$B$39*P381))+'参数'!$B$22*(M381)))/'参数'!$B$44))+(((R381*(1+'参数'!$B$39*P381))^2/((R381*(1+'参数'!$B$39*P381))+'参数'!$B$22*(M381)))*(1+'参数'!$B$42*P381)/'参数'!$J$6+((R381*'参数'!$B$45*(1+'参数'!$B$39*P381))^2/((R381*'参数'!$B$45*(1+'参数'!$B$39*P381))+'参数'!$B$22*(M381)))/'参数'!$B$46)+((S381*(1+'参数'!$B$39*P381))^2/((S381*(1+'参数'!$B$39*P381))+'参数'!$B$22*(M381)))*(1+'参数'!$B$42*P381)/'参数'!$J$7)*(1+'参数'!$B$37*('参数'!$B$38-1))</x:f>
        <x:v>52445.746688054394</x:v>
      </x:c>
      <x:c r="X381" s="26" t="n">
        <x:f>('参数'!$B$26+'参数'!$B$27*(D381-1)/99)*'参数'!$K$29*AD381</x:f>
        <x:v>24.759453781512605</x:v>
      </x:c>
      <x:c r="Y381" s="26" t="n">
        <x:f>('参数'!$B$28+'参数'!$B$29*(D381-1)/99)*'参数'!$K$29*AD381*IF(AE381=1,'参数'!$B$51,1)</x:f>
        <x:v>68.77626050420167</x:v>
      </x:c>
      <x:c r="Z381" s="22" t="n">
        <x:f>MIN('参数'!$B$36,U381/(U381+'参数'!$B$35))</x:f>
        <x:v>0.6117560486461108</x:v>
      </x:c>
      <x:c r="AA381" s="19" t="n">
        <x:f>T381*'参数'!$B$30/('参数'!$B$32*'参数'!$B$33)/(1-Z381)*AC381</x:f>
        <x:v>8869.442396803272</x:v>
      </x:c>
      <x:c r="AB381" s="19" t="n">
        <x:f>T381*'参数'!$B$31/'参数'!$B$34/(1-Z381)*AC381</x:f>
        <x:v>17738.884793606543</x:v>
      </x:c>
      <x:c r="AC381" s="20" t="n">
        <x:f>'参数'!$L$29*(1+'参数'!$B$53*(B381-1)/119)</x:f>
        <x:v>1.2121008403361344</x:v>
      </x:c>
      <x:c r="AD381" s="20" t="n">
        <x:f>1+'参数'!$B$52*(B381-1)/119</x:f>
        <x:v>1.01890756302521</x:v>
      </x:c>
      <x:c r="AE381" s="19" t="n">
        <x:f>IF(MOD(B381,12)=0,1,0)</x:f>
        <x:v>0</x:v>
      </x:c>
    </x:row>
    <x:row r="382" ht="22" customHeight="1">
      <x:c r="A382" s="18" t="str">
        <x:v>地狱</x:v>
      </x:c>
      <x:c r="B382" s="18" t="n">
        <x:v>17</x:v>
      </x:c>
      <x:c r="C382" s="18" t="n">
        <x:f>ROUNDUP(B382/12,0)</x:f>
        <x:v>2</x:v>
      </x:c>
      <x:c r="D382" s="18" t="n">
        <x:f>ROUND(MAX('参数'!$G$29,E382)+(IF(C382&lt;10,INDEX('参数'!$G$37:$P$37,1,MIN(10,C382+1)),'参数'!$H$29)-MAX('参数'!$G$29,E382))*MOD(B382-1,12)/11,0)</x:f>
        <x:v>100</x:v>
      </x:c>
      <x:c r="E382" s="18" t="n">
        <x:f>INDEX('参数'!$G$37:$P$37,1,C382)</x:f>
        <x:v>100</x:v>
      </x:c>
      <x:c r="F382" s="15" t="n">
        <x:f>'参数'!$I$29</x:f>
        <x:v>1.29</x:v>
      </x:c>
      <x:c r="G382" s="18" t="n">
        <x:f>ROUND(V382*X382/'参数'!$B$56,0)</x:f>
        <x:v>366865</x:v>
      </x:c>
      <x:c r="H382" s="18" t="n">
        <x:f>ROUND((AA382+SQRT(AA382^2+4*AA382*'参数'!$B$22*U382))/2,0)</x:f>
        <x:v>13904</x:v>
      </x:c>
      <x:c r="I382" s="18" t="n">
        <x:f>ROUND(Q382*'参数'!$B$23/'参数'!$B$22,0)</x:f>
        <x:v>2008</x:v>
      </x:c>
      <x:c r="J382" s="18" t="n">
        <x:f>ROUND(G382*'参数'!$B$50,0)</x:f>
        <x:v>1100595</x:v>
      </x:c>
      <x:c r="K382" s="18" t="n">
        <x:f>ROUND(W382*Y382,0)</x:f>
        <x:v>3611485</x:v>
      </x:c>
      <x:c r="L382" s="18" t="n">
        <x:f>ROUND((AB382+SQRT(AB382^2+4*AB382*'参数'!$B$22*U382))/2,0)</x:f>
        <x:v>23661</x:v>
      </x:c>
      <x:c r="M382" s="18" t="n">
        <x:f>ROUND(I382*'参数'!$B$24,0)</x:f>
        <x:v>2510</x:v>
      </x:c>
      <x:c r="N382" s="18" t="n">
        <x:f>'参数'!$B$9*'参数'!$B$10^(D382-1)</x:f>
        <x:v>11195.319600498813</x:v>
      </x:c>
      <x:c r="O382" s="18" t="n">
        <x:f>'参数'!$B$18*'参数'!$B$19^(MIN(E382,MAX(1,5*INT(D382/5)))-1)*F382*'参数'!$J$29*P382</x:f>
        <x:v>1897.6106812882254</x:v>
      </x:c>
      <x:c r="P382" s="21" t="n">
        <x:f>MIN(1,(D382-1)/19)</x:f>
        <x:v>1</x:v>
      </x:c>
      <x:c r="Q382" s="18" t="n">
        <x:f>INDEX('角色成长'!$F$6:$F$105,D382)+O382*'参数'!$K$21</x:f>
        <x:v>10042.190441671442</x:v>
      </x:c>
      <x:c r="R382" s="18" t="n">
        <x:f>INDEX('角色成长'!$I$6:$I$105,D382)+O382*'参数'!$K$21</x:f>
        <x:v>8744.190441671442</x:v>
      </x:c>
      <x:c r="S382" s="18" t="n">
        <x:f>INDEX('角色成长'!$L$6:$L$105,D382)+O382*'参数'!$K$21</x:f>
        <x:v>8003.190441671442</x:v>
      </x:c>
      <x:c r="T382" s="18" t="n">
        <x:f>(INDEX('角色成长'!$J$6:$J$105,D382)+O382*'参数'!$L$21)*(1+'参数'!$B$40*P382)</x:f>
        <x:v>113637.65283705847</x:v>
      </x:c>
      <x:c r="U382" s="18" t="n">
        <x:f>(INDEX('角色成长'!$K$6:$K$105,D382)+O382*'参数'!$M$21)*(1+'参数'!$B$41*P382)</x:f>
        <x:v>6302.800561479835</x:v>
      </x:c>
      <x:c r="V382" s="18" t="n">
        <x:f>(('参数'!$K$5*(((Q382*(1+'参数'!$B$39*P382))^2/((Q382*(1+'参数'!$B$39*P382))+'参数'!$B$22*(I382)))*(1+'参数'!$B$42*P382)/'参数'!$J$5+((Q382*'参数'!$B$43*(1+'参数'!$B$39*P382))^2/((Q382*'参数'!$B$43*(1+'参数'!$B$39*P382))+'参数'!$B$22*(I382)))/'参数'!$B$44))+(((R382*(1+'参数'!$B$39*P382))^2/((R382*(1+'参数'!$B$39*P382))+'参数'!$B$22*(I382)))*(1+'参数'!$B$42*P382)/'参数'!$J$6+((R382*'参数'!$B$45*(1+'参数'!$B$39*P382))^2/((R382*'参数'!$B$45*(1+'参数'!$B$39*P382))+'参数'!$B$22*(I382)))/'参数'!$B$46)+((S382*(1+'参数'!$B$39*P382))^2/((S382*(1+'参数'!$B$39*P382))+'参数'!$B$22*(I382)))*(1+'参数'!$B$42*P382)/'参数'!$J$7)*(1+'参数'!$B$37*('参数'!$B$38-1))*'参数'!$B$25</x:f>
        <x:v>68074.69622887956</x:v>
      </x:c>
      <x:c r="W382" s="18" t="n">
        <x:f>(('参数'!$K$5*(((Q382*(1+'参数'!$B$39*P382))^2/((Q382*(1+'参数'!$B$39*P382))+'参数'!$B$22*(M382)))*(1+'参数'!$B$42*P382)/'参数'!$J$5+((Q382*'参数'!$B$43*(1+'参数'!$B$39*P382))^2/((Q382*'参数'!$B$43*(1+'参数'!$B$39*P382))+'参数'!$B$22*(M382)))/'参数'!$B$44))+(((R382*(1+'参数'!$B$39*P382))^2/((R382*(1+'参数'!$B$39*P382))+'参数'!$B$22*(M382)))*(1+'参数'!$B$42*P382)/'参数'!$J$6+((R382*'参数'!$B$45*(1+'参数'!$B$39*P382))^2/((R382*'参数'!$B$45*(1+'参数'!$B$39*P382))+'参数'!$B$22*(M382)))/'参数'!$B$46)+((S382*(1+'参数'!$B$39*P382))^2/((S382*(1+'参数'!$B$39*P382))+'参数'!$B$22*(M382)))*(1+'参数'!$B$42*P382)/'参数'!$J$7)*(1+'参数'!$B$37*('参数'!$B$38-1))</x:f>
        <x:v>52445.746688054394</x:v>
      </x:c>
      <x:c r="X382" s="25" t="n">
        <x:f>('参数'!$B$26+'参数'!$B$27*(D382-1)/99)*'参数'!$K$29*AD382</x:f>
        <x:v>24.790084033613443</x:v>
      </x:c>
      <x:c r="Y382" s="25" t="n">
        <x:f>('参数'!$B$28+'参数'!$B$29*(D382-1)/99)*'参数'!$K$29*AD382*IF(AE382=1,'参数'!$B$51,1)</x:f>
        <x:v>68.86134453781511</x:v>
      </x:c>
      <x:c r="Z382" s="21" t="n">
        <x:f>MIN('参数'!$B$36,U382/(U382+'参数'!$B$35))</x:f>
        <x:v>0.6117560486461108</x:v>
      </x:c>
      <x:c r="AA382" s="18" t="n">
        <x:f>T382*'参数'!$B$30/('参数'!$B$32*'参数'!$B$33)/(1-Z382)*AC382</x:f>
        <x:v>8875.345519862709</x:v>
      </x:c>
      <x:c r="AB382" s="18" t="n">
        <x:f>T382*'参数'!$B$31/'参数'!$B$34/(1-Z382)*AC382</x:f>
        <x:v>17750.691039725418</x:v>
      </x:c>
      <x:c r="AC382" s="15" t="n">
        <x:f>'参数'!$L$29*(1+'参数'!$B$53*(B382-1)/119)</x:f>
        <x:v>1.2129075630252102</x:v>
      </x:c>
      <x:c r="AD382" s="15" t="n">
        <x:f>1+'参数'!$B$52*(B382-1)/119</x:f>
        <x:v>1.0201680672268907</x:v>
      </x:c>
      <x:c r="AE382" s="18" t="n">
        <x:f>IF(MOD(B382,12)=0,1,0)</x:f>
        <x:v>0</x:v>
      </x:c>
    </x:row>
    <x:row r="383" ht="22" customHeight="1">
      <x:c r="A383" s="19" t="str">
        <x:v>地狱</x:v>
      </x:c>
      <x:c r="B383" s="19" t="n">
        <x:v>18</x:v>
      </x:c>
      <x:c r="C383" s="19" t="n">
        <x:f>ROUNDUP(B383/12,0)</x:f>
        <x:v>2</x:v>
      </x:c>
      <x:c r="D383" s="19" t="n">
        <x:f>ROUND(MAX('参数'!$G$29,E383)+(IF(C383&lt;10,INDEX('参数'!$G$37:$P$37,1,MIN(10,C383+1)),'参数'!$H$29)-MAX('参数'!$G$29,E383))*MOD(B383-1,12)/11,0)</x:f>
        <x:v>100</x:v>
      </x:c>
      <x:c r="E383" s="19" t="n">
        <x:f>INDEX('参数'!$G$37:$P$37,1,C383)</x:f>
        <x:v>100</x:v>
      </x:c>
      <x:c r="F383" s="20" t="n">
        <x:f>'参数'!$I$29</x:f>
        <x:v>1.29</x:v>
      </x:c>
      <x:c r="G383" s="19" t="n">
        <x:f>ROUND(V383*X383/'参数'!$B$56,0)</x:f>
        <x:v>367318</x:v>
      </x:c>
      <x:c r="H383" s="19" t="n">
        <x:f>ROUND((AA383+SQRT(AA383^2+4*AA383*'参数'!$B$22*U383))/2,0)</x:f>
        <x:v>13911</x:v>
      </x:c>
      <x:c r="I383" s="19" t="n">
        <x:f>ROUND(Q383*'参数'!$B$23/'参数'!$B$22,0)</x:f>
        <x:v>2008</x:v>
      </x:c>
      <x:c r="J383" s="19" t="n">
        <x:f>ROUND(G383*'参数'!$B$50,0)</x:f>
        <x:v>1101954</x:v>
      </x:c>
      <x:c r="K383" s="19" t="n">
        <x:f>ROUND(W383*Y383,0)</x:f>
        <x:v>3615947</x:v>
      </x:c>
      <x:c r="L383" s="19" t="n">
        <x:f>ROUND((AB383+SQRT(AB383^2+4*AB383*'参数'!$B$22*U383))/2,0)</x:f>
        <x:v>23674</x:v>
      </x:c>
      <x:c r="M383" s="19" t="n">
        <x:f>ROUND(I383*'参数'!$B$24,0)</x:f>
        <x:v>2510</x:v>
      </x:c>
      <x:c r="N383" s="19" t="n">
        <x:f>'参数'!$B$9*'参数'!$B$10^(D383-1)</x:f>
        <x:v>11195.319600498813</x:v>
      </x:c>
      <x:c r="O383" s="19" t="n">
        <x:f>'参数'!$B$18*'参数'!$B$19^(MIN(E383,MAX(1,5*INT(D383/5)))-1)*F383*'参数'!$J$29*P383</x:f>
        <x:v>1897.6106812882254</x:v>
      </x:c>
      <x:c r="P383" s="22" t="n">
        <x:f>MIN(1,(D383-1)/19)</x:f>
        <x:v>1</x:v>
      </x:c>
      <x:c r="Q383" s="19" t="n">
        <x:f>INDEX('角色成长'!$F$6:$F$105,D383)+O383*'参数'!$K$21</x:f>
        <x:v>10042.190441671442</x:v>
      </x:c>
      <x:c r="R383" s="19" t="n">
        <x:f>INDEX('角色成长'!$I$6:$I$105,D383)+O383*'参数'!$K$21</x:f>
        <x:v>8744.190441671442</x:v>
      </x:c>
      <x:c r="S383" s="19" t="n">
        <x:f>INDEX('角色成长'!$L$6:$L$105,D383)+O383*'参数'!$K$21</x:f>
        <x:v>8003.190441671442</x:v>
      </x:c>
      <x:c r="T383" s="19" t="n">
        <x:f>(INDEX('角色成长'!$J$6:$J$105,D383)+O383*'参数'!$L$21)*(1+'参数'!$B$40*P383)</x:f>
        <x:v>113637.65283705847</x:v>
      </x:c>
      <x:c r="U383" s="19" t="n">
        <x:f>(INDEX('角色成长'!$K$6:$K$105,D383)+O383*'参数'!$M$21)*(1+'参数'!$B$41*P383)</x:f>
        <x:v>6302.800561479835</x:v>
      </x:c>
      <x:c r="V383" s="19" t="n">
        <x:f>(('参数'!$K$5*(((Q383*(1+'参数'!$B$39*P383))^2/((Q383*(1+'参数'!$B$39*P383))+'参数'!$B$22*(I383)))*(1+'参数'!$B$42*P383)/'参数'!$J$5+((Q383*'参数'!$B$43*(1+'参数'!$B$39*P383))^2/((Q383*'参数'!$B$43*(1+'参数'!$B$39*P383))+'参数'!$B$22*(I383)))/'参数'!$B$44))+(((R383*(1+'参数'!$B$39*P383))^2/((R383*(1+'参数'!$B$39*P383))+'参数'!$B$22*(I383)))*(1+'参数'!$B$42*P383)/'参数'!$J$6+((R383*'参数'!$B$45*(1+'参数'!$B$39*P383))^2/((R383*'参数'!$B$45*(1+'参数'!$B$39*P383))+'参数'!$B$22*(I383)))/'参数'!$B$46)+((S383*(1+'参数'!$B$39*P383))^2/((S383*(1+'参数'!$B$39*P383))+'参数'!$B$22*(I383)))*(1+'参数'!$B$42*P383)/'参数'!$J$7)*(1+'参数'!$B$37*('参数'!$B$38-1))*'参数'!$B$25</x:f>
        <x:v>68074.69622887956</x:v>
      </x:c>
      <x:c r="W383" s="19" t="n">
        <x:f>(('参数'!$K$5*(((Q383*(1+'参数'!$B$39*P383))^2/((Q383*(1+'参数'!$B$39*P383))+'参数'!$B$22*(M383)))*(1+'参数'!$B$42*P383)/'参数'!$J$5+((Q383*'参数'!$B$43*(1+'参数'!$B$39*P383))^2/((Q383*'参数'!$B$43*(1+'参数'!$B$39*P383))+'参数'!$B$22*(M383)))/'参数'!$B$44))+(((R383*(1+'参数'!$B$39*P383))^2/((R383*(1+'参数'!$B$39*P383))+'参数'!$B$22*(M383)))*(1+'参数'!$B$42*P383)/'参数'!$J$6+((R383*'参数'!$B$45*(1+'参数'!$B$39*P383))^2/((R383*'参数'!$B$45*(1+'参数'!$B$39*P383))+'参数'!$B$22*(M383)))/'参数'!$B$46)+((S383*(1+'参数'!$B$39*P383))^2/((S383*(1+'参数'!$B$39*P383))+'参数'!$B$22*(M383)))*(1+'参数'!$B$42*P383)/'参数'!$J$7)*(1+'参数'!$B$37*('参数'!$B$38-1))</x:f>
        <x:v>52445.746688054394</x:v>
      </x:c>
      <x:c r="X383" s="26" t="n">
        <x:f>('参数'!$B$26+'参数'!$B$27*(D383-1)/99)*'参数'!$K$29*AD383</x:f>
        <x:v>24.820714285714285</x:v>
      </x:c>
      <x:c r="Y383" s="26" t="n">
        <x:f>('参数'!$B$28+'参数'!$B$29*(D383-1)/99)*'参数'!$K$29*AD383*IF(AE383=1,'参数'!$B$51,1)</x:f>
        <x:v>68.94642857142857</x:v>
      </x:c>
      <x:c r="Z383" s="22" t="n">
        <x:f>MIN('参数'!$B$36,U383/(U383+'参数'!$B$35))</x:f>
        <x:v>0.6117560486461108</x:v>
      </x:c>
      <x:c r="AA383" s="19" t="n">
        <x:f>T383*'参数'!$B$30/('参数'!$B$32*'参数'!$B$33)/(1-Z383)*AC383</x:f>
        <x:v>8881.248642922143</x:v>
      </x:c>
      <x:c r="AB383" s="19" t="n">
        <x:f>T383*'参数'!$B$31/'参数'!$B$34/(1-Z383)*AC383</x:f>
        <x:v>17762.497285844285</x:v>
      </x:c>
      <x:c r="AC383" s="20" t="n">
        <x:f>'参数'!$L$29*(1+'参数'!$B$53*(B383-1)/119)</x:f>
        <x:v>1.2137142857142855</x:v>
      </x:c>
      <x:c r="AD383" s="20" t="n">
        <x:f>1+'参数'!$B$52*(B383-1)/119</x:f>
        <x:v>1.0214285714285714</x:v>
      </x:c>
      <x:c r="AE383" s="19" t="n">
        <x:f>IF(MOD(B383,12)=0,1,0)</x:f>
        <x:v>0</x:v>
      </x:c>
    </x:row>
    <x:row r="384" ht="22" customHeight="1">
      <x:c r="A384" s="18" t="str">
        <x:v>地狱</x:v>
      </x:c>
      <x:c r="B384" s="18" t="n">
        <x:v>19</x:v>
      </x:c>
      <x:c r="C384" s="18" t="n">
        <x:f>ROUNDUP(B384/12,0)</x:f>
        <x:v>2</x:v>
      </x:c>
      <x:c r="D384" s="18" t="n">
        <x:f>ROUND(MAX('参数'!$G$29,E384)+(IF(C384&lt;10,INDEX('参数'!$G$37:$P$37,1,MIN(10,C384+1)),'参数'!$H$29)-MAX('参数'!$G$29,E384))*MOD(B384-1,12)/11,0)</x:f>
        <x:v>100</x:v>
      </x:c>
      <x:c r="E384" s="18" t="n">
        <x:f>INDEX('参数'!$G$37:$P$37,1,C384)</x:f>
        <x:v>100</x:v>
      </x:c>
      <x:c r="F384" s="15" t="n">
        <x:f>'参数'!$I$29</x:f>
        <x:v>1.29</x:v>
      </x:c>
      <x:c r="G384" s="18" t="n">
        <x:f>ROUND(V384*X384/'参数'!$B$56,0)</x:f>
        <x:v>367771</x:v>
      </x:c>
      <x:c r="H384" s="18" t="n">
        <x:f>ROUND((AA384+SQRT(AA384^2+4*AA384*'参数'!$B$22*U384))/2,0)</x:f>
        <x:v>13918</x:v>
      </x:c>
      <x:c r="I384" s="18" t="n">
        <x:f>ROUND(Q384*'参数'!$B$23/'参数'!$B$22,0)</x:f>
        <x:v>2008</x:v>
      </x:c>
      <x:c r="J384" s="18" t="n">
        <x:f>ROUND(G384*'参数'!$B$50,0)</x:f>
        <x:v>1103313</x:v>
      </x:c>
      <x:c r="K384" s="18" t="n">
        <x:f>ROUND(W384*Y384,0)</x:f>
        <x:v>3620409</x:v>
      </x:c>
      <x:c r="L384" s="18" t="n">
        <x:f>ROUND((AB384+SQRT(AB384^2+4*AB384*'参数'!$B$22*U384))/2,0)</x:f>
        <x:v>23686</x:v>
      </x:c>
      <x:c r="M384" s="18" t="n">
        <x:f>ROUND(I384*'参数'!$B$24,0)</x:f>
        <x:v>2510</x:v>
      </x:c>
      <x:c r="N384" s="18" t="n">
        <x:f>'参数'!$B$9*'参数'!$B$10^(D384-1)</x:f>
        <x:v>11195.319600498813</x:v>
      </x:c>
      <x:c r="O384" s="18" t="n">
        <x:f>'参数'!$B$18*'参数'!$B$19^(MIN(E384,MAX(1,5*INT(D384/5)))-1)*F384*'参数'!$J$29*P384</x:f>
        <x:v>1897.6106812882254</x:v>
      </x:c>
      <x:c r="P384" s="21" t="n">
        <x:f>MIN(1,(D384-1)/19)</x:f>
        <x:v>1</x:v>
      </x:c>
      <x:c r="Q384" s="18" t="n">
        <x:f>INDEX('角色成长'!$F$6:$F$105,D384)+O384*'参数'!$K$21</x:f>
        <x:v>10042.190441671442</x:v>
      </x:c>
      <x:c r="R384" s="18" t="n">
        <x:f>INDEX('角色成长'!$I$6:$I$105,D384)+O384*'参数'!$K$21</x:f>
        <x:v>8744.190441671442</x:v>
      </x:c>
      <x:c r="S384" s="18" t="n">
        <x:f>INDEX('角色成长'!$L$6:$L$105,D384)+O384*'参数'!$K$21</x:f>
        <x:v>8003.190441671442</x:v>
      </x:c>
      <x:c r="T384" s="18" t="n">
        <x:f>(INDEX('角色成长'!$J$6:$J$105,D384)+O384*'参数'!$L$21)*(1+'参数'!$B$40*P384)</x:f>
        <x:v>113637.65283705847</x:v>
      </x:c>
      <x:c r="U384" s="18" t="n">
        <x:f>(INDEX('角色成长'!$K$6:$K$105,D384)+O384*'参数'!$M$21)*(1+'参数'!$B$41*P384)</x:f>
        <x:v>6302.800561479835</x:v>
      </x:c>
      <x:c r="V384" s="18" t="n">
        <x:f>(('参数'!$K$5*(((Q384*(1+'参数'!$B$39*P384))^2/((Q384*(1+'参数'!$B$39*P384))+'参数'!$B$22*(I384)))*(1+'参数'!$B$42*P384)/'参数'!$J$5+((Q384*'参数'!$B$43*(1+'参数'!$B$39*P384))^2/((Q384*'参数'!$B$43*(1+'参数'!$B$39*P384))+'参数'!$B$22*(I384)))/'参数'!$B$44))+(((R384*(1+'参数'!$B$39*P384))^2/((R384*(1+'参数'!$B$39*P384))+'参数'!$B$22*(I384)))*(1+'参数'!$B$42*P384)/'参数'!$J$6+((R384*'参数'!$B$45*(1+'参数'!$B$39*P384))^2/((R384*'参数'!$B$45*(1+'参数'!$B$39*P384))+'参数'!$B$22*(I384)))/'参数'!$B$46)+((S384*(1+'参数'!$B$39*P384))^2/((S384*(1+'参数'!$B$39*P384))+'参数'!$B$22*(I384)))*(1+'参数'!$B$42*P384)/'参数'!$J$7)*(1+'参数'!$B$37*('参数'!$B$38-1))*'参数'!$B$25</x:f>
        <x:v>68074.69622887956</x:v>
      </x:c>
      <x:c r="W384" s="18" t="n">
        <x:f>(('参数'!$K$5*(((Q384*(1+'参数'!$B$39*P384))^2/((Q384*(1+'参数'!$B$39*P384))+'参数'!$B$22*(M384)))*(1+'参数'!$B$42*P384)/'参数'!$J$5+((Q384*'参数'!$B$43*(1+'参数'!$B$39*P384))^2/((Q384*'参数'!$B$43*(1+'参数'!$B$39*P384))+'参数'!$B$22*(M384)))/'参数'!$B$44))+(((R384*(1+'参数'!$B$39*P384))^2/((R384*(1+'参数'!$B$39*P384))+'参数'!$B$22*(M384)))*(1+'参数'!$B$42*P384)/'参数'!$J$6+((R384*'参数'!$B$45*(1+'参数'!$B$39*P384))^2/((R384*'参数'!$B$45*(1+'参数'!$B$39*P384))+'参数'!$B$22*(M384)))/'参数'!$B$46)+((S384*(1+'参数'!$B$39*P384))^2/((S384*(1+'参数'!$B$39*P384))+'参数'!$B$22*(M384)))*(1+'参数'!$B$42*P384)/'参数'!$J$7)*(1+'参数'!$B$37*('参数'!$B$38-1))</x:f>
        <x:v>52445.746688054394</x:v>
      </x:c>
      <x:c r="X384" s="25" t="n">
        <x:f>('参数'!$B$26+'参数'!$B$27*(D384-1)/99)*'参数'!$K$29*AD384</x:f>
        <x:v>24.851344537815123</x:v>
      </x:c>
      <x:c r="Y384" s="25" t="n">
        <x:f>('参数'!$B$28+'参数'!$B$29*(D384-1)/99)*'参数'!$K$29*AD384*IF(AE384=1,'参数'!$B$51,1)</x:f>
        <x:v>69.03151260504201</x:v>
      </x:c>
      <x:c r="Z384" s="21" t="n">
        <x:f>MIN('参数'!$B$36,U384/(U384+'参数'!$B$35))</x:f>
        <x:v>0.6117560486461108</x:v>
      </x:c>
      <x:c r="AA384" s="18" t="n">
        <x:f>T384*'参数'!$B$30/('参数'!$B$32*'参数'!$B$33)/(1-Z384)*AC384</x:f>
        <x:v>8887.151765981582</x:v>
      </x:c>
      <x:c r="AB384" s="18" t="n">
        <x:f>T384*'参数'!$B$31/'参数'!$B$34/(1-Z384)*AC384</x:f>
        <x:v>17774.303531963164</x:v>
      </x:c>
      <x:c r="AC384" s="15" t="n">
        <x:f>'参数'!$L$29*(1+'参数'!$B$53*(B384-1)/119)</x:f>
        <x:v>1.2145210084033613</x:v>
      </x:c>
      <x:c r="AD384" s="15" t="n">
        <x:f>1+'参数'!$B$52*(B384-1)/119</x:f>
        <x:v>1.022689075630252</x:v>
      </x:c>
      <x:c r="AE384" s="18" t="n">
        <x:f>IF(MOD(B384,12)=0,1,0)</x:f>
        <x:v>0</x:v>
      </x:c>
    </x:row>
    <x:row r="385" ht="22" customHeight="1">
      <x:c r="A385" s="19" t="str">
        <x:v>地狱</x:v>
      </x:c>
      <x:c r="B385" s="19" t="n">
        <x:v>20</x:v>
      </x:c>
      <x:c r="C385" s="19" t="n">
        <x:f>ROUNDUP(B385/12,0)</x:f>
        <x:v>2</x:v>
      </x:c>
      <x:c r="D385" s="19" t="n">
        <x:f>ROUND(MAX('参数'!$G$29,E385)+(IF(C385&lt;10,INDEX('参数'!$G$37:$P$37,1,MIN(10,C385+1)),'参数'!$H$29)-MAX('参数'!$G$29,E385))*MOD(B385-1,12)/11,0)</x:f>
        <x:v>100</x:v>
      </x:c>
      <x:c r="E385" s="19" t="n">
        <x:f>INDEX('参数'!$G$37:$P$37,1,C385)</x:f>
        <x:v>100</x:v>
      </x:c>
      <x:c r="F385" s="20" t="n">
        <x:f>'参数'!$I$29</x:f>
        <x:v>1.29</x:v>
      </x:c>
      <x:c r="G385" s="19" t="n">
        <x:f>ROUND(V385*X385/'参数'!$B$56,0)</x:f>
        <x:v>368225</x:v>
      </x:c>
      <x:c r="H385" s="19" t="n">
        <x:f>ROUND((AA385+SQRT(AA385^2+4*AA385*'参数'!$B$22*U385))/2,0)</x:f>
        <x:v>13925</x:v>
      </x:c>
      <x:c r="I385" s="19" t="n">
        <x:f>ROUND(Q385*'参数'!$B$23/'参数'!$B$22,0)</x:f>
        <x:v>2008</x:v>
      </x:c>
      <x:c r="J385" s="19" t="n">
        <x:f>ROUND(G385*'参数'!$B$50,0)</x:f>
        <x:v>1104675</x:v>
      </x:c>
      <x:c r="K385" s="19" t="n">
        <x:f>ROUND(W385*Y385,0)</x:f>
        <x:v>3624872</x:v>
      </x:c>
      <x:c r="L385" s="19" t="n">
        <x:f>ROUND((AB385+SQRT(AB385^2+4*AB385*'参数'!$B$22*U385))/2,0)</x:f>
        <x:v>23699</x:v>
      </x:c>
      <x:c r="M385" s="19" t="n">
        <x:f>ROUND(I385*'参数'!$B$24,0)</x:f>
        <x:v>2510</x:v>
      </x:c>
      <x:c r="N385" s="19" t="n">
        <x:f>'参数'!$B$9*'参数'!$B$10^(D385-1)</x:f>
        <x:v>11195.319600498813</x:v>
      </x:c>
      <x:c r="O385" s="19" t="n">
        <x:f>'参数'!$B$18*'参数'!$B$19^(MIN(E385,MAX(1,5*INT(D385/5)))-1)*F385*'参数'!$J$29*P385</x:f>
        <x:v>1897.6106812882254</x:v>
      </x:c>
      <x:c r="P385" s="22" t="n">
        <x:f>MIN(1,(D385-1)/19)</x:f>
        <x:v>1</x:v>
      </x:c>
      <x:c r="Q385" s="19" t="n">
        <x:f>INDEX('角色成长'!$F$6:$F$105,D385)+O385*'参数'!$K$21</x:f>
        <x:v>10042.190441671442</x:v>
      </x:c>
      <x:c r="R385" s="19" t="n">
        <x:f>INDEX('角色成长'!$I$6:$I$105,D385)+O385*'参数'!$K$21</x:f>
        <x:v>8744.190441671442</x:v>
      </x:c>
      <x:c r="S385" s="19" t="n">
        <x:f>INDEX('角色成长'!$L$6:$L$105,D385)+O385*'参数'!$K$21</x:f>
        <x:v>8003.190441671442</x:v>
      </x:c>
      <x:c r="T385" s="19" t="n">
        <x:f>(INDEX('角色成长'!$J$6:$J$105,D385)+O385*'参数'!$L$21)*(1+'参数'!$B$40*P385)</x:f>
        <x:v>113637.65283705847</x:v>
      </x:c>
      <x:c r="U385" s="19" t="n">
        <x:f>(INDEX('角色成长'!$K$6:$K$105,D385)+O385*'参数'!$M$21)*(1+'参数'!$B$41*P385)</x:f>
        <x:v>6302.800561479835</x:v>
      </x:c>
      <x:c r="V385" s="19" t="n">
        <x:f>(('参数'!$K$5*(((Q385*(1+'参数'!$B$39*P385))^2/((Q385*(1+'参数'!$B$39*P385))+'参数'!$B$22*(I385)))*(1+'参数'!$B$42*P385)/'参数'!$J$5+((Q385*'参数'!$B$43*(1+'参数'!$B$39*P385))^2/((Q385*'参数'!$B$43*(1+'参数'!$B$39*P385))+'参数'!$B$22*(I385)))/'参数'!$B$44))+(((R385*(1+'参数'!$B$39*P385))^2/((R385*(1+'参数'!$B$39*P385))+'参数'!$B$22*(I385)))*(1+'参数'!$B$42*P385)/'参数'!$J$6+((R385*'参数'!$B$45*(1+'参数'!$B$39*P385))^2/((R385*'参数'!$B$45*(1+'参数'!$B$39*P385))+'参数'!$B$22*(I385)))/'参数'!$B$46)+((S385*(1+'参数'!$B$39*P385))^2/((S385*(1+'参数'!$B$39*P385))+'参数'!$B$22*(I385)))*(1+'参数'!$B$42*P385)/'参数'!$J$7)*(1+'参数'!$B$37*('参数'!$B$38-1))*'参数'!$B$25</x:f>
        <x:v>68074.69622887956</x:v>
      </x:c>
      <x:c r="W385" s="19" t="n">
        <x:f>(('参数'!$K$5*(((Q385*(1+'参数'!$B$39*P385))^2/((Q385*(1+'参数'!$B$39*P385))+'参数'!$B$22*(M385)))*(1+'参数'!$B$42*P385)/'参数'!$J$5+((Q385*'参数'!$B$43*(1+'参数'!$B$39*P385))^2/((Q385*'参数'!$B$43*(1+'参数'!$B$39*P385))+'参数'!$B$22*(M385)))/'参数'!$B$44))+(((R385*(1+'参数'!$B$39*P385))^2/((R385*(1+'参数'!$B$39*P385))+'参数'!$B$22*(M385)))*(1+'参数'!$B$42*P385)/'参数'!$J$6+((R385*'参数'!$B$45*(1+'参数'!$B$39*P385))^2/((R385*'参数'!$B$45*(1+'参数'!$B$39*P385))+'参数'!$B$22*(M385)))/'参数'!$B$46)+((S385*(1+'参数'!$B$39*P385))^2/((S385*(1+'参数'!$B$39*P385))+'参数'!$B$22*(M385)))*(1+'参数'!$B$42*P385)/'参数'!$J$7)*(1+'参数'!$B$37*('参数'!$B$38-1))</x:f>
        <x:v>52445.746688054394</x:v>
      </x:c>
      <x:c r="X385" s="26" t="n">
        <x:f>('参数'!$B$26+'参数'!$B$27*(D385-1)/99)*'参数'!$K$29*AD385</x:f>
        <x:v>24.881974789915965</x:v>
      </x:c>
      <x:c r="Y385" s="26" t="n">
        <x:f>('参数'!$B$28+'参数'!$B$29*(D385-1)/99)*'参数'!$K$29*AD385*IF(AE385=1,'参数'!$B$51,1)</x:f>
        <x:v>69.11659663865545</x:v>
      </x:c>
      <x:c r="Z385" s="22" t="n">
        <x:f>MIN('参数'!$B$36,U385/(U385+'参数'!$B$35))</x:f>
        <x:v>0.6117560486461108</x:v>
      </x:c>
      <x:c r="AA385" s="19" t="n">
        <x:f>T385*'参数'!$B$30/('参数'!$B$32*'参数'!$B$33)/(1-Z385)*AC385</x:f>
        <x:v>8893.05488904102</x:v>
      </x:c>
      <x:c r="AB385" s="19" t="n">
        <x:f>T385*'参数'!$B$31/'参数'!$B$34/(1-Z385)*AC385</x:f>
        <x:v>17786.10977808204</x:v>
      </x:c>
      <x:c r="AC385" s="20" t="n">
        <x:f>'参数'!$L$29*(1+'参数'!$B$53*(B385-1)/119)</x:f>
        <x:v>1.215327731092437</x:v>
      </x:c>
      <x:c r="AD385" s="20" t="n">
        <x:f>1+'参数'!$B$52*(B385-1)/119</x:f>
        <x:v>1.0239495798319327</x:v>
      </x:c>
      <x:c r="AE385" s="19" t="n">
        <x:f>IF(MOD(B385,12)=0,1,0)</x:f>
        <x:v>0</x:v>
      </x:c>
    </x:row>
    <x:row r="386" ht="22" customHeight="1">
      <x:c r="A386" s="18" t="str">
        <x:v>地狱</x:v>
      </x:c>
      <x:c r="B386" s="18" t="n">
        <x:v>21</x:v>
      </x:c>
      <x:c r="C386" s="18" t="n">
        <x:f>ROUNDUP(B386/12,0)</x:f>
        <x:v>2</x:v>
      </x:c>
      <x:c r="D386" s="18" t="n">
        <x:f>ROUND(MAX('参数'!$G$29,E386)+(IF(C386&lt;10,INDEX('参数'!$G$37:$P$37,1,MIN(10,C386+1)),'参数'!$H$29)-MAX('参数'!$G$29,E386))*MOD(B386-1,12)/11,0)</x:f>
        <x:v>100</x:v>
      </x:c>
      <x:c r="E386" s="18" t="n">
        <x:f>INDEX('参数'!$G$37:$P$37,1,C386)</x:f>
        <x:v>100</x:v>
      </x:c>
      <x:c r="F386" s="15" t="n">
        <x:f>'参数'!$I$29</x:f>
        <x:v>1.29</x:v>
      </x:c>
      <x:c r="G386" s="18" t="n">
        <x:f>ROUND(V386*X386/'参数'!$B$56,0)</x:f>
        <x:v>368678</x:v>
      </x:c>
      <x:c r="H386" s="18" t="n">
        <x:f>ROUND((AA386+SQRT(AA386^2+4*AA386*'参数'!$B$22*U386))/2,0)</x:f>
        <x:v>13931</x:v>
      </x:c>
      <x:c r="I386" s="18" t="n">
        <x:f>ROUND(Q386*'参数'!$B$23/'参数'!$B$22,0)</x:f>
        <x:v>2008</x:v>
      </x:c>
      <x:c r="J386" s="18" t="n">
        <x:f>ROUND(G386*'参数'!$B$50,0)</x:f>
        <x:v>1106034</x:v>
      </x:c>
      <x:c r="K386" s="18" t="n">
        <x:f>ROUND(W386*Y386,0)</x:f>
        <x:v>3629334</x:v>
      </x:c>
      <x:c r="L386" s="18" t="n">
        <x:f>ROUND((AB386+SQRT(AB386^2+4*AB386*'参数'!$B$22*U386))/2,0)</x:f>
        <x:v>23712</x:v>
      </x:c>
      <x:c r="M386" s="18" t="n">
        <x:f>ROUND(I386*'参数'!$B$24,0)</x:f>
        <x:v>2510</x:v>
      </x:c>
      <x:c r="N386" s="18" t="n">
        <x:f>'参数'!$B$9*'参数'!$B$10^(D386-1)</x:f>
        <x:v>11195.319600498813</x:v>
      </x:c>
      <x:c r="O386" s="18" t="n">
        <x:f>'参数'!$B$18*'参数'!$B$19^(MIN(E386,MAX(1,5*INT(D386/5)))-1)*F386*'参数'!$J$29*P386</x:f>
        <x:v>1897.6106812882254</x:v>
      </x:c>
      <x:c r="P386" s="21" t="n">
        <x:f>MIN(1,(D386-1)/19)</x:f>
        <x:v>1</x:v>
      </x:c>
      <x:c r="Q386" s="18" t="n">
        <x:f>INDEX('角色成长'!$F$6:$F$105,D386)+O386*'参数'!$K$21</x:f>
        <x:v>10042.190441671442</x:v>
      </x:c>
      <x:c r="R386" s="18" t="n">
        <x:f>INDEX('角色成长'!$I$6:$I$105,D386)+O386*'参数'!$K$21</x:f>
        <x:v>8744.190441671442</x:v>
      </x:c>
      <x:c r="S386" s="18" t="n">
        <x:f>INDEX('角色成长'!$L$6:$L$105,D386)+O386*'参数'!$K$21</x:f>
        <x:v>8003.190441671442</x:v>
      </x:c>
      <x:c r="T386" s="18" t="n">
        <x:f>(INDEX('角色成长'!$J$6:$J$105,D386)+O386*'参数'!$L$21)*(1+'参数'!$B$40*P386)</x:f>
        <x:v>113637.65283705847</x:v>
      </x:c>
      <x:c r="U386" s="18" t="n">
        <x:f>(INDEX('角色成长'!$K$6:$K$105,D386)+O386*'参数'!$M$21)*(1+'参数'!$B$41*P386)</x:f>
        <x:v>6302.800561479835</x:v>
      </x:c>
      <x:c r="V386" s="18" t="n">
        <x:f>(('参数'!$K$5*(((Q386*(1+'参数'!$B$39*P386))^2/((Q386*(1+'参数'!$B$39*P386))+'参数'!$B$22*(I386)))*(1+'参数'!$B$42*P386)/'参数'!$J$5+((Q386*'参数'!$B$43*(1+'参数'!$B$39*P386))^2/((Q386*'参数'!$B$43*(1+'参数'!$B$39*P386))+'参数'!$B$22*(I386)))/'参数'!$B$44))+(((R386*(1+'参数'!$B$39*P386))^2/((R386*(1+'参数'!$B$39*P386))+'参数'!$B$22*(I386)))*(1+'参数'!$B$42*P386)/'参数'!$J$6+((R386*'参数'!$B$45*(1+'参数'!$B$39*P386))^2/((R386*'参数'!$B$45*(1+'参数'!$B$39*P386))+'参数'!$B$22*(I386)))/'参数'!$B$46)+((S386*(1+'参数'!$B$39*P386))^2/((S386*(1+'参数'!$B$39*P386))+'参数'!$B$22*(I386)))*(1+'参数'!$B$42*P386)/'参数'!$J$7)*(1+'参数'!$B$37*('参数'!$B$38-1))*'参数'!$B$25</x:f>
        <x:v>68074.69622887956</x:v>
      </x:c>
      <x:c r="W386" s="18" t="n">
        <x:f>(('参数'!$K$5*(((Q386*(1+'参数'!$B$39*P386))^2/((Q386*(1+'参数'!$B$39*P386))+'参数'!$B$22*(M386)))*(1+'参数'!$B$42*P386)/'参数'!$J$5+((Q386*'参数'!$B$43*(1+'参数'!$B$39*P386))^2/((Q386*'参数'!$B$43*(1+'参数'!$B$39*P386))+'参数'!$B$22*(M386)))/'参数'!$B$44))+(((R386*(1+'参数'!$B$39*P386))^2/((R386*(1+'参数'!$B$39*P386))+'参数'!$B$22*(M386)))*(1+'参数'!$B$42*P386)/'参数'!$J$6+((R386*'参数'!$B$45*(1+'参数'!$B$39*P386))^2/((R386*'参数'!$B$45*(1+'参数'!$B$39*P386))+'参数'!$B$22*(M386)))/'参数'!$B$46)+((S386*(1+'参数'!$B$39*P386))^2/((S386*(1+'参数'!$B$39*P386))+'参数'!$B$22*(M386)))*(1+'参数'!$B$42*P386)/'参数'!$J$7)*(1+'参数'!$B$37*('参数'!$B$38-1))</x:f>
        <x:v>52445.746688054394</x:v>
      </x:c>
      <x:c r="X386" s="25" t="n">
        <x:f>('参数'!$B$26+'参数'!$B$27*(D386-1)/99)*'参数'!$K$29*AD386</x:f>
        <x:v>24.912605042016807</x:v>
      </x:c>
      <x:c r="Y386" s="25" t="n">
        <x:f>('参数'!$B$28+'参数'!$B$29*(D386-1)/99)*'参数'!$K$29*AD386*IF(AE386=1,'参数'!$B$51,1)</x:f>
        <x:v>69.2016806722689</x:v>
      </x:c>
      <x:c r="Z386" s="21" t="n">
        <x:f>MIN('参数'!$B$36,U386/(U386+'参数'!$B$35))</x:f>
        <x:v>0.6117560486461108</x:v>
      </x:c>
      <x:c r="AA386" s="18" t="n">
        <x:f>T386*'参数'!$B$30/('参数'!$B$32*'参数'!$B$33)/(1-Z386)*AC386</x:f>
        <x:v>8898.958012100453</x:v>
      </x:c>
      <x:c r="AB386" s="18" t="n">
        <x:f>T386*'参数'!$B$31/'参数'!$B$34/(1-Z386)*AC386</x:f>
        <x:v>17797.916024200906</x:v>
      </x:c>
      <x:c r="AC386" s="15" t="n">
        <x:f>'参数'!$L$29*(1+'参数'!$B$53*(B386-1)/119)</x:f>
        <x:v>1.2161344537815124</x:v>
      </x:c>
      <x:c r="AD386" s="15" t="n">
        <x:f>1+'参数'!$B$52*(B386-1)/119</x:f>
        <x:v>1.0252100840336134</x:v>
      </x:c>
      <x:c r="AE386" s="18" t="n">
        <x:f>IF(MOD(B386,12)=0,1,0)</x:f>
        <x:v>0</x:v>
      </x:c>
    </x:row>
    <x:row r="387" ht="22" customHeight="1">
      <x:c r="A387" s="19" t="str">
        <x:v>地狱</x:v>
      </x:c>
      <x:c r="B387" s="19" t="n">
        <x:v>22</x:v>
      </x:c>
      <x:c r="C387" s="19" t="n">
        <x:f>ROUNDUP(B387/12,0)</x:f>
        <x:v>2</x:v>
      </x:c>
      <x:c r="D387" s="19" t="n">
        <x:f>ROUND(MAX('参数'!$G$29,E387)+(IF(C387&lt;10,INDEX('参数'!$G$37:$P$37,1,MIN(10,C387+1)),'参数'!$H$29)-MAX('参数'!$G$29,E387))*MOD(B387-1,12)/11,0)</x:f>
        <x:v>100</x:v>
      </x:c>
      <x:c r="E387" s="19" t="n">
        <x:f>INDEX('参数'!$G$37:$P$37,1,C387)</x:f>
        <x:v>100</x:v>
      </x:c>
      <x:c r="F387" s="20" t="n">
        <x:f>'参数'!$I$29</x:f>
        <x:v>1.29</x:v>
      </x:c>
      <x:c r="G387" s="19" t="n">
        <x:f>ROUND(V387*X387/'参数'!$B$56,0)</x:f>
        <x:v>369131</x:v>
      </x:c>
      <x:c r="H387" s="19" t="n">
        <x:f>ROUND((AA387+SQRT(AA387^2+4*AA387*'参数'!$B$22*U387))/2,0)</x:f>
        <x:v>13938</x:v>
      </x:c>
      <x:c r="I387" s="19" t="n">
        <x:f>ROUND(Q387*'参数'!$B$23/'参数'!$B$22,0)</x:f>
        <x:v>2008</x:v>
      </x:c>
      <x:c r="J387" s="19" t="n">
        <x:f>ROUND(G387*'参数'!$B$50,0)</x:f>
        <x:v>1107393</x:v>
      </x:c>
      <x:c r="K387" s="19" t="n">
        <x:f>ROUND(W387*Y387,0)</x:f>
        <x:v>3633796</x:v>
      </x:c>
      <x:c r="L387" s="19" t="n">
        <x:f>ROUND((AB387+SQRT(AB387^2+4*AB387*'参数'!$B$22*U387))/2,0)</x:f>
        <x:v>23724</x:v>
      </x:c>
      <x:c r="M387" s="19" t="n">
        <x:f>ROUND(I387*'参数'!$B$24,0)</x:f>
        <x:v>2510</x:v>
      </x:c>
      <x:c r="N387" s="19" t="n">
        <x:f>'参数'!$B$9*'参数'!$B$10^(D387-1)</x:f>
        <x:v>11195.319600498813</x:v>
      </x:c>
      <x:c r="O387" s="19" t="n">
        <x:f>'参数'!$B$18*'参数'!$B$19^(MIN(E387,MAX(1,5*INT(D387/5)))-1)*F387*'参数'!$J$29*P387</x:f>
        <x:v>1897.6106812882254</x:v>
      </x:c>
      <x:c r="P387" s="22" t="n">
        <x:f>MIN(1,(D387-1)/19)</x:f>
        <x:v>1</x:v>
      </x:c>
      <x:c r="Q387" s="19" t="n">
        <x:f>INDEX('角色成长'!$F$6:$F$105,D387)+O387*'参数'!$K$21</x:f>
        <x:v>10042.190441671442</x:v>
      </x:c>
      <x:c r="R387" s="19" t="n">
        <x:f>INDEX('角色成长'!$I$6:$I$105,D387)+O387*'参数'!$K$21</x:f>
        <x:v>8744.190441671442</x:v>
      </x:c>
      <x:c r="S387" s="19" t="n">
        <x:f>INDEX('角色成长'!$L$6:$L$105,D387)+O387*'参数'!$K$21</x:f>
        <x:v>8003.190441671442</x:v>
      </x:c>
      <x:c r="T387" s="19" t="n">
        <x:f>(INDEX('角色成长'!$J$6:$J$105,D387)+O387*'参数'!$L$21)*(1+'参数'!$B$40*P387)</x:f>
        <x:v>113637.65283705847</x:v>
      </x:c>
      <x:c r="U387" s="19" t="n">
        <x:f>(INDEX('角色成长'!$K$6:$K$105,D387)+O387*'参数'!$M$21)*(1+'参数'!$B$41*P387)</x:f>
        <x:v>6302.800561479835</x:v>
      </x:c>
      <x:c r="V387" s="19" t="n">
        <x:f>(('参数'!$K$5*(((Q387*(1+'参数'!$B$39*P387))^2/((Q387*(1+'参数'!$B$39*P387))+'参数'!$B$22*(I387)))*(1+'参数'!$B$42*P387)/'参数'!$J$5+((Q387*'参数'!$B$43*(1+'参数'!$B$39*P387))^2/((Q387*'参数'!$B$43*(1+'参数'!$B$39*P387))+'参数'!$B$22*(I387)))/'参数'!$B$44))+(((R387*(1+'参数'!$B$39*P387))^2/((R387*(1+'参数'!$B$39*P387))+'参数'!$B$22*(I387)))*(1+'参数'!$B$42*P387)/'参数'!$J$6+((R387*'参数'!$B$45*(1+'参数'!$B$39*P387))^2/((R387*'参数'!$B$45*(1+'参数'!$B$39*P387))+'参数'!$B$22*(I387)))/'参数'!$B$46)+((S387*(1+'参数'!$B$39*P387))^2/((S387*(1+'参数'!$B$39*P387))+'参数'!$B$22*(I387)))*(1+'参数'!$B$42*P387)/'参数'!$J$7)*(1+'参数'!$B$37*('参数'!$B$38-1))*'参数'!$B$25</x:f>
        <x:v>68074.69622887956</x:v>
      </x:c>
      <x:c r="W387" s="19" t="n">
        <x:f>(('参数'!$K$5*(((Q387*(1+'参数'!$B$39*P387))^2/((Q387*(1+'参数'!$B$39*P387))+'参数'!$B$22*(M387)))*(1+'参数'!$B$42*P387)/'参数'!$J$5+((Q387*'参数'!$B$43*(1+'参数'!$B$39*P387))^2/((Q387*'参数'!$B$43*(1+'参数'!$B$39*P387))+'参数'!$B$22*(M387)))/'参数'!$B$44))+(((R387*(1+'参数'!$B$39*P387))^2/((R387*(1+'参数'!$B$39*P387))+'参数'!$B$22*(M387)))*(1+'参数'!$B$42*P387)/'参数'!$J$6+((R387*'参数'!$B$45*(1+'参数'!$B$39*P387))^2/((R387*'参数'!$B$45*(1+'参数'!$B$39*P387))+'参数'!$B$22*(M387)))/'参数'!$B$46)+((S387*(1+'参数'!$B$39*P387))^2/((S387*(1+'参数'!$B$39*P387))+'参数'!$B$22*(M387)))*(1+'参数'!$B$42*P387)/'参数'!$J$7)*(1+'参数'!$B$37*('参数'!$B$38-1))</x:f>
        <x:v>52445.746688054394</x:v>
      </x:c>
      <x:c r="X387" s="26" t="n">
        <x:f>('参数'!$B$26+'参数'!$B$27*(D387-1)/99)*'参数'!$K$29*AD387</x:f>
        <x:v>24.943235294117645</x:v>
      </x:c>
      <x:c r="Y387" s="26" t="n">
        <x:f>('参数'!$B$28+'参数'!$B$29*(D387-1)/99)*'参数'!$K$29*AD387*IF(AE387=1,'参数'!$B$51,1)</x:f>
        <x:v>69.28676470588235</x:v>
      </x:c>
      <x:c r="Z387" s="22" t="n">
        <x:f>MIN('参数'!$B$36,U387/(U387+'参数'!$B$35))</x:f>
        <x:v>0.6117560486461108</x:v>
      </x:c>
      <x:c r="AA387" s="19" t="n">
        <x:f>T387*'参数'!$B$30/('参数'!$B$32*'参数'!$B$33)/(1-Z387)*AC387</x:f>
        <x:v>8904.86113515989</x:v>
      </x:c>
      <x:c r="AB387" s="19" t="n">
        <x:f>T387*'参数'!$B$31/'参数'!$B$34/(1-Z387)*AC387</x:f>
        <x:v>17809.72227031978</x:v>
      </x:c>
      <x:c r="AC387" s="20" t="n">
        <x:f>'参数'!$L$29*(1+'参数'!$B$53*(B387-1)/119)</x:f>
        <x:v>1.2169411764705882</x:v>
      </x:c>
      <x:c r="AD387" s="20" t="n">
        <x:f>1+'参数'!$B$52*(B387-1)/119</x:f>
        <x:v>1.026470588235294</x:v>
      </x:c>
      <x:c r="AE387" s="19" t="n">
        <x:f>IF(MOD(B387,12)=0,1,0)</x:f>
        <x:v>0</x:v>
      </x:c>
    </x:row>
    <x:row r="388" ht="22" customHeight="1">
      <x:c r="A388" s="18" t="str">
        <x:v>地狱</x:v>
      </x:c>
      <x:c r="B388" s="18" t="n">
        <x:v>23</x:v>
      </x:c>
      <x:c r="C388" s="18" t="n">
        <x:f>ROUNDUP(B388/12,0)</x:f>
        <x:v>2</x:v>
      </x:c>
      <x:c r="D388" s="18" t="n">
        <x:f>ROUND(MAX('参数'!$G$29,E388)+(IF(C388&lt;10,INDEX('参数'!$G$37:$P$37,1,MIN(10,C388+1)),'参数'!$H$29)-MAX('参数'!$G$29,E388))*MOD(B388-1,12)/11,0)</x:f>
        <x:v>100</x:v>
      </x:c>
      <x:c r="E388" s="18" t="n">
        <x:f>INDEX('参数'!$G$37:$P$37,1,C388)</x:f>
        <x:v>100</x:v>
      </x:c>
      <x:c r="F388" s="15" t="n">
        <x:f>'参数'!$I$29</x:f>
        <x:v>1.29</x:v>
      </x:c>
      <x:c r="G388" s="18" t="n">
        <x:f>ROUND(V388*X388/'参数'!$B$56,0)</x:f>
        <x:v>369584</x:v>
      </x:c>
      <x:c r="H388" s="18" t="n">
        <x:f>ROUND((AA388+SQRT(AA388^2+4*AA388*'参数'!$B$22*U388))/2,0)</x:f>
        <x:v>13945</x:v>
      </x:c>
      <x:c r="I388" s="18" t="n">
        <x:f>ROUND(Q388*'参数'!$B$23/'参数'!$B$22,0)</x:f>
        <x:v>2008</x:v>
      </x:c>
      <x:c r="J388" s="18" t="n">
        <x:f>ROUND(G388*'参数'!$B$50,0)</x:f>
        <x:v>1108752</x:v>
      </x:c>
      <x:c r="K388" s="18" t="n">
        <x:f>ROUND(W388*Y388,0)</x:f>
        <x:v>3638258</x:v>
      </x:c>
      <x:c r="L388" s="18" t="n">
        <x:f>ROUND((AB388+SQRT(AB388^2+4*AB388*'参数'!$B$22*U388))/2,0)</x:f>
        <x:v>23737</x:v>
      </x:c>
      <x:c r="M388" s="18" t="n">
        <x:f>ROUND(I388*'参数'!$B$24,0)</x:f>
        <x:v>2510</x:v>
      </x:c>
      <x:c r="N388" s="18" t="n">
        <x:f>'参数'!$B$9*'参数'!$B$10^(D388-1)</x:f>
        <x:v>11195.319600498813</x:v>
      </x:c>
      <x:c r="O388" s="18" t="n">
        <x:f>'参数'!$B$18*'参数'!$B$19^(MIN(E388,MAX(1,5*INT(D388/5)))-1)*F388*'参数'!$J$29*P388</x:f>
        <x:v>1897.6106812882254</x:v>
      </x:c>
      <x:c r="P388" s="21" t="n">
        <x:f>MIN(1,(D388-1)/19)</x:f>
        <x:v>1</x:v>
      </x:c>
      <x:c r="Q388" s="18" t="n">
        <x:f>INDEX('角色成长'!$F$6:$F$105,D388)+O388*'参数'!$K$21</x:f>
        <x:v>10042.190441671442</x:v>
      </x:c>
      <x:c r="R388" s="18" t="n">
        <x:f>INDEX('角色成长'!$I$6:$I$105,D388)+O388*'参数'!$K$21</x:f>
        <x:v>8744.190441671442</x:v>
      </x:c>
      <x:c r="S388" s="18" t="n">
        <x:f>INDEX('角色成长'!$L$6:$L$105,D388)+O388*'参数'!$K$21</x:f>
        <x:v>8003.190441671442</x:v>
      </x:c>
      <x:c r="T388" s="18" t="n">
        <x:f>(INDEX('角色成长'!$J$6:$J$105,D388)+O388*'参数'!$L$21)*(1+'参数'!$B$40*P388)</x:f>
        <x:v>113637.65283705847</x:v>
      </x:c>
      <x:c r="U388" s="18" t="n">
        <x:f>(INDEX('角色成长'!$K$6:$K$105,D388)+O388*'参数'!$M$21)*(1+'参数'!$B$41*P388)</x:f>
        <x:v>6302.800561479835</x:v>
      </x:c>
      <x:c r="V388" s="18" t="n">
        <x:f>(('参数'!$K$5*(((Q388*(1+'参数'!$B$39*P388))^2/((Q388*(1+'参数'!$B$39*P388))+'参数'!$B$22*(I388)))*(1+'参数'!$B$42*P388)/'参数'!$J$5+((Q388*'参数'!$B$43*(1+'参数'!$B$39*P388))^2/((Q388*'参数'!$B$43*(1+'参数'!$B$39*P388))+'参数'!$B$22*(I388)))/'参数'!$B$44))+(((R388*(1+'参数'!$B$39*P388))^2/((R388*(1+'参数'!$B$39*P388))+'参数'!$B$22*(I388)))*(1+'参数'!$B$42*P388)/'参数'!$J$6+((R388*'参数'!$B$45*(1+'参数'!$B$39*P388))^2/((R388*'参数'!$B$45*(1+'参数'!$B$39*P388))+'参数'!$B$22*(I388)))/'参数'!$B$46)+((S388*(1+'参数'!$B$39*P388))^2/((S388*(1+'参数'!$B$39*P388))+'参数'!$B$22*(I388)))*(1+'参数'!$B$42*P388)/'参数'!$J$7)*(1+'参数'!$B$37*('参数'!$B$38-1))*'参数'!$B$25</x:f>
        <x:v>68074.69622887956</x:v>
      </x:c>
      <x:c r="W388" s="18" t="n">
        <x:f>(('参数'!$K$5*(((Q388*(1+'参数'!$B$39*P388))^2/((Q388*(1+'参数'!$B$39*P388))+'参数'!$B$22*(M388)))*(1+'参数'!$B$42*P388)/'参数'!$J$5+((Q388*'参数'!$B$43*(1+'参数'!$B$39*P388))^2/((Q388*'参数'!$B$43*(1+'参数'!$B$39*P388))+'参数'!$B$22*(M388)))/'参数'!$B$44))+(((R388*(1+'参数'!$B$39*P388))^2/((R388*(1+'参数'!$B$39*P388))+'参数'!$B$22*(M388)))*(1+'参数'!$B$42*P388)/'参数'!$J$6+((R388*'参数'!$B$45*(1+'参数'!$B$39*P388))^2/((R388*'参数'!$B$45*(1+'参数'!$B$39*P388))+'参数'!$B$22*(M388)))/'参数'!$B$46)+((S388*(1+'参数'!$B$39*P388))^2/((S388*(1+'参数'!$B$39*P388))+'参数'!$B$22*(M388)))*(1+'参数'!$B$42*P388)/'参数'!$J$7)*(1+'参数'!$B$37*('参数'!$B$38-1))</x:f>
        <x:v>52445.746688054394</x:v>
      </x:c>
      <x:c r="X388" s="25" t="n">
        <x:f>('参数'!$B$26+'参数'!$B$27*(D388-1)/99)*'参数'!$K$29*AD388</x:f>
        <x:v>24.973865546218487</x:v>
      </x:c>
      <x:c r="Y388" s="25" t="n">
        <x:f>('参数'!$B$28+'参数'!$B$29*(D388-1)/99)*'参数'!$K$29*AD388*IF(AE388=1,'参数'!$B$51,1)</x:f>
        <x:v>69.37184873949579</x:v>
      </x:c>
      <x:c r="Z388" s="21" t="n">
        <x:f>MIN('参数'!$B$36,U388/(U388+'参数'!$B$35))</x:f>
        <x:v>0.6117560486461108</x:v>
      </x:c>
      <x:c r="AA388" s="18" t="n">
        <x:f>T388*'参数'!$B$30/('参数'!$B$32*'参数'!$B$33)/(1-Z388)*AC388</x:f>
        <x:v>8910.764258219326</x:v>
      </x:c>
      <x:c r="AB388" s="18" t="n">
        <x:f>T388*'参数'!$B$31/'参数'!$B$34/(1-Z388)*AC388</x:f>
        <x:v>17821.52851643865</x:v>
      </x:c>
      <x:c r="AC388" s="15" t="n">
        <x:f>'参数'!$L$29*(1+'参数'!$B$53*(B388-1)/119)</x:f>
        <x:v>1.2177478991596637</x:v>
      </x:c>
      <x:c r="AD388" s="15" t="n">
        <x:f>1+'参数'!$B$52*(B388-1)/119</x:f>
        <x:v>1.0277310924369747</x:v>
      </x:c>
      <x:c r="AE388" s="18" t="n">
        <x:f>IF(MOD(B388,12)=0,1,0)</x:f>
        <x:v>0</x:v>
      </x:c>
    </x:row>
    <x:row r="389" ht="22" customHeight="1">
      <x:c r="A389" s="19" t="str">
        <x:v>地狱</x:v>
      </x:c>
      <x:c r="B389" s="19" t="n">
        <x:v>24</x:v>
      </x:c>
      <x:c r="C389" s="19" t="n">
        <x:f>ROUNDUP(B389/12,0)</x:f>
        <x:v>2</x:v>
      </x:c>
      <x:c r="D389" s="19" t="n">
        <x:f>ROUND(MAX('参数'!$G$29,E389)+(IF(C389&lt;10,INDEX('参数'!$G$37:$P$37,1,MIN(10,C389+1)),'参数'!$H$29)-MAX('参数'!$G$29,E389))*MOD(B389-1,12)/11,0)</x:f>
        <x:v>100</x:v>
      </x:c>
      <x:c r="E389" s="19" t="n">
        <x:f>INDEX('参数'!$G$37:$P$37,1,C389)</x:f>
        <x:v>100</x:v>
      </x:c>
      <x:c r="F389" s="20" t="n">
        <x:f>'参数'!$I$29</x:f>
        <x:v>1.29</x:v>
      </x:c>
      <x:c r="G389" s="19" t="n">
        <x:f>ROUND(V389*X389/'参数'!$B$56,0)</x:f>
        <x:v>370038</x:v>
      </x:c>
      <x:c r="H389" s="19" t="n">
        <x:f>ROUND((AA389+SQRT(AA389^2+4*AA389*'参数'!$B$22*U389))/2,0)</x:f>
        <x:v>13952</x:v>
      </x:c>
      <x:c r="I389" s="19" t="n">
        <x:f>ROUND(Q389*'参数'!$B$23/'参数'!$B$22,0)</x:f>
        <x:v>2008</x:v>
      </x:c>
      <x:c r="J389" s="19" t="n">
        <x:f>ROUND(G389*'参数'!$B$50,0)</x:f>
        <x:v>1110114</x:v>
      </x:c>
      <x:c r="K389" s="19" t="n">
        <x:f>ROUND(W389*Y389,0)</x:f>
        <x:v>4189129</x:v>
      </x:c>
      <x:c r="L389" s="19" t="n">
        <x:f>ROUND((AB389+SQRT(AB389^2+4*AB389*'参数'!$B$22*U389))/2,0)</x:f>
        <x:v>23749</x:v>
      </x:c>
      <x:c r="M389" s="19" t="n">
        <x:f>ROUND(I389*'参数'!$B$24,0)</x:f>
        <x:v>2510</x:v>
      </x:c>
      <x:c r="N389" s="19" t="n">
        <x:f>'参数'!$B$9*'参数'!$B$10^(D389-1)</x:f>
        <x:v>11195.319600498813</x:v>
      </x:c>
      <x:c r="O389" s="19" t="n">
        <x:f>'参数'!$B$18*'参数'!$B$19^(MIN(E389,MAX(1,5*INT(D389/5)))-1)*F389*'参数'!$J$29*P389</x:f>
        <x:v>1897.6106812882254</x:v>
      </x:c>
      <x:c r="P389" s="22" t="n">
        <x:f>MIN(1,(D389-1)/19)</x:f>
        <x:v>1</x:v>
      </x:c>
      <x:c r="Q389" s="19" t="n">
        <x:f>INDEX('角色成长'!$F$6:$F$105,D389)+O389*'参数'!$K$21</x:f>
        <x:v>10042.190441671442</x:v>
      </x:c>
      <x:c r="R389" s="19" t="n">
        <x:f>INDEX('角色成长'!$I$6:$I$105,D389)+O389*'参数'!$K$21</x:f>
        <x:v>8744.190441671442</x:v>
      </x:c>
      <x:c r="S389" s="19" t="n">
        <x:f>INDEX('角色成长'!$L$6:$L$105,D389)+O389*'参数'!$K$21</x:f>
        <x:v>8003.190441671442</x:v>
      </x:c>
      <x:c r="T389" s="19" t="n">
        <x:f>(INDEX('角色成长'!$J$6:$J$105,D389)+O389*'参数'!$L$21)*(1+'参数'!$B$40*P389)</x:f>
        <x:v>113637.65283705847</x:v>
      </x:c>
      <x:c r="U389" s="19" t="n">
        <x:f>(INDEX('角色成长'!$K$6:$K$105,D389)+O389*'参数'!$M$21)*(1+'参数'!$B$41*P389)</x:f>
        <x:v>6302.800561479835</x:v>
      </x:c>
      <x:c r="V389" s="19" t="n">
        <x:f>(('参数'!$K$5*(((Q389*(1+'参数'!$B$39*P389))^2/((Q389*(1+'参数'!$B$39*P389))+'参数'!$B$22*(I389)))*(1+'参数'!$B$42*P389)/'参数'!$J$5+((Q389*'参数'!$B$43*(1+'参数'!$B$39*P389))^2/((Q389*'参数'!$B$43*(1+'参数'!$B$39*P389))+'参数'!$B$22*(I389)))/'参数'!$B$44))+(((R389*(1+'参数'!$B$39*P389))^2/((R389*(1+'参数'!$B$39*P389))+'参数'!$B$22*(I389)))*(1+'参数'!$B$42*P389)/'参数'!$J$6+((R389*'参数'!$B$45*(1+'参数'!$B$39*P389))^2/((R389*'参数'!$B$45*(1+'参数'!$B$39*P389))+'参数'!$B$22*(I389)))/'参数'!$B$46)+((S389*(1+'参数'!$B$39*P389))^2/((S389*(1+'参数'!$B$39*P389))+'参数'!$B$22*(I389)))*(1+'参数'!$B$42*P389)/'参数'!$J$7)*(1+'参数'!$B$37*('参数'!$B$38-1))*'参数'!$B$25</x:f>
        <x:v>68074.69622887956</x:v>
      </x:c>
      <x:c r="W389" s="19" t="n">
        <x:f>(('参数'!$K$5*(((Q389*(1+'参数'!$B$39*P389))^2/((Q389*(1+'参数'!$B$39*P389))+'参数'!$B$22*(M389)))*(1+'参数'!$B$42*P389)/'参数'!$J$5+((Q389*'参数'!$B$43*(1+'参数'!$B$39*P389))^2/((Q389*'参数'!$B$43*(1+'参数'!$B$39*P389))+'参数'!$B$22*(M389)))/'参数'!$B$44))+(((R389*(1+'参数'!$B$39*P389))^2/((R389*(1+'参数'!$B$39*P389))+'参数'!$B$22*(M389)))*(1+'参数'!$B$42*P389)/'参数'!$J$6+((R389*'参数'!$B$45*(1+'参数'!$B$39*P389))^2/((R389*'参数'!$B$45*(1+'参数'!$B$39*P389))+'参数'!$B$22*(M389)))/'参数'!$B$46)+((S389*(1+'参数'!$B$39*P389))^2/((S389*(1+'参数'!$B$39*P389))+'参数'!$B$22*(M389)))*(1+'参数'!$B$42*P389)/'参数'!$J$7)*(1+'参数'!$B$37*('参数'!$B$38-1))</x:f>
        <x:v>52445.746688054394</x:v>
      </x:c>
      <x:c r="X389" s="26" t="n">
        <x:f>('参数'!$B$26+'参数'!$B$27*(D389-1)/99)*'参数'!$K$29*AD389</x:f>
        <x:v>25.004495798319326</x:v>
      </x:c>
      <x:c r="Y389" s="26" t="n">
        <x:f>('参数'!$B$28+'参数'!$B$29*(D389-1)/99)*'参数'!$K$29*AD389*IF(AE389=1,'参数'!$B$51,1)</x:f>
        <x:v>79.87547268907561</x:v>
      </x:c>
      <x:c r="Z389" s="22" t="n">
        <x:f>MIN('参数'!$B$36,U389/(U389+'参数'!$B$35))</x:f>
        <x:v>0.6117560486461108</x:v>
      </x:c>
      <x:c r="AA389" s="19" t="n">
        <x:f>T389*'参数'!$B$30/('参数'!$B$32*'参数'!$B$33)/(1-Z389)*AC389</x:f>
        <x:v>8916.667381278763</x:v>
      </x:c>
      <x:c r="AB389" s="19" t="n">
        <x:f>T389*'参数'!$B$31/'参数'!$B$34/(1-Z389)*AC389</x:f>
        <x:v>17833.334762557526</x:v>
      </x:c>
      <x:c r="AC389" s="20" t="n">
        <x:f>'参数'!$L$29*(1+'参数'!$B$53*(B389-1)/119)</x:f>
        <x:v>1.2185546218487395</x:v>
      </x:c>
      <x:c r="AD389" s="20" t="n">
        <x:f>1+'参数'!$B$52*(B389-1)/119</x:f>
        <x:v>1.0289915966386554</x:v>
      </x:c>
      <x:c r="AE389" s="19" t="n">
        <x:f>IF(MOD(B389,12)=0,1,0)</x:f>
        <x:v>1</x:v>
      </x:c>
    </x:row>
    <x:row r="390" ht="22" customHeight="1">
      <x:c r="A390" s="18" t="str">
        <x:v>地狱</x:v>
      </x:c>
      <x:c r="B390" s="18" t="n">
        <x:v>25</x:v>
      </x:c>
      <x:c r="C390" s="18" t="n">
        <x:f>ROUNDUP(B390/12,0)</x:f>
        <x:v>3</x:v>
      </x:c>
      <x:c r="D390" s="18" t="n">
        <x:f>ROUND(MAX('参数'!$G$29,E390)+(IF(C390&lt;10,INDEX('参数'!$G$37:$P$37,1,MIN(10,C390+1)),'参数'!$H$29)-MAX('参数'!$G$29,E390))*MOD(B390-1,12)/11,0)</x:f>
        <x:v>100</x:v>
      </x:c>
      <x:c r="E390" s="18" t="n">
        <x:f>INDEX('参数'!$G$37:$P$37,1,C390)</x:f>
        <x:v>100</x:v>
      </x:c>
      <x:c r="F390" s="15" t="n">
        <x:f>'参数'!$I$29</x:f>
        <x:v>1.29</x:v>
      </x:c>
      <x:c r="G390" s="18" t="n">
        <x:f>ROUND(V390*X390/'参数'!$B$56,0)</x:f>
        <x:v>370491</x:v>
      </x:c>
      <x:c r="H390" s="18" t="n">
        <x:f>ROUND((AA390+SQRT(AA390^2+4*AA390*'参数'!$B$22*U390))/2,0)</x:f>
        <x:v>13959</x:v>
      </x:c>
      <x:c r="I390" s="18" t="n">
        <x:f>ROUND(Q390*'参数'!$B$23/'参数'!$B$22,0)</x:f>
        <x:v>2008</x:v>
      </x:c>
      <x:c r="J390" s="18" t="n">
        <x:f>ROUND(G390*'参数'!$B$50,0)</x:f>
        <x:v>1111473</x:v>
      </x:c>
      <x:c r="K390" s="18" t="n">
        <x:f>ROUND(W390*Y390,0)</x:f>
        <x:v>3647183</x:v>
      </x:c>
      <x:c r="L390" s="18" t="n">
        <x:f>ROUND((AB390+SQRT(AB390^2+4*AB390*'参数'!$B$22*U390))/2,0)</x:f>
        <x:v>23762</x:v>
      </x:c>
      <x:c r="M390" s="18" t="n">
        <x:f>ROUND(I390*'参数'!$B$24,0)</x:f>
        <x:v>2510</x:v>
      </x:c>
      <x:c r="N390" s="18" t="n">
        <x:f>'参数'!$B$9*'参数'!$B$10^(D390-1)</x:f>
        <x:v>11195.319600498813</x:v>
      </x:c>
      <x:c r="O390" s="18" t="n">
        <x:f>'参数'!$B$18*'参数'!$B$19^(MIN(E390,MAX(1,5*INT(D390/5)))-1)*F390*'参数'!$J$29*P390</x:f>
        <x:v>1897.6106812882254</x:v>
      </x:c>
      <x:c r="P390" s="21" t="n">
        <x:f>MIN(1,(D390-1)/19)</x:f>
        <x:v>1</x:v>
      </x:c>
      <x:c r="Q390" s="18" t="n">
        <x:f>INDEX('角色成长'!$F$6:$F$105,D390)+O390*'参数'!$K$21</x:f>
        <x:v>10042.190441671442</x:v>
      </x:c>
      <x:c r="R390" s="18" t="n">
        <x:f>INDEX('角色成长'!$I$6:$I$105,D390)+O390*'参数'!$K$21</x:f>
        <x:v>8744.190441671442</x:v>
      </x:c>
      <x:c r="S390" s="18" t="n">
        <x:f>INDEX('角色成长'!$L$6:$L$105,D390)+O390*'参数'!$K$21</x:f>
        <x:v>8003.190441671442</x:v>
      </x:c>
      <x:c r="T390" s="18" t="n">
        <x:f>(INDEX('角色成长'!$J$6:$J$105,D390)+O390*'参数'!$L$21)*(1+'参数'!$B$40*P390)</x:f>
        <x:v>113637.65283705847</x:v>
      </x:c>
      <x:c r="U390" s="18" t="n">
        <x:f>(INDEX('角色成长'!$K$6:$K$105,D390)+O390*'参数'!$M$21)*(1+'参数'!$B$41*P390)</x:f>
        <x:v>6302.800561479835</x:v>
      </x:c>
      <x:c r="V390" s="18" t="n">
        <x:f>(('参数'!$K$5*(((Q390*(1+'参数'!$B$39*P390))^2/((Q390*(1+'参数'!$B$39*P390))+'参数'!$B$22*(I390)))*(1+'参数'!$B$42*P390)/'参数'!$J$5+((Q390*'参数'!$B$43*(1+'参数'!$B$39*P390))^2/((Q390*'参数'!$B$43*(1+'参数'!$B$39*P390))+'参数'!$B$22*(I390)))/'参数'!$B$44))+(((R390*(1+'参数'!$B$39*P390))^2/((R390*(1+'参数'!$B$39*P390))+'参数'!$B$22*(I390)))*(1+'参数'!$B$42*P390)/'参数'!$J$6+((R390*'参数'!$B$45*(1+'参数'!$B$39*P390))^2/((R390*'参数'!$B$45*(1+'参数'!$B$39*P390))+'参数'!$B$22*(I390)))/'参数'!$B$46)+((S390*(1+'参数'!$B$39*P390))^2/((S390*(1+'参数'!$B$39*P390))+'参数'!$B$22*(I390)))*(1+'参数'!$B$42*P390)/'参数'!$J$7)*(1+'参数'!$B$37*('参数'!$B$38-1))*'参数'!$B$25</x:f>
        <x:v>68074.69622887956</x:v>
      </x:c>
      <x:c r="W390" s="18" t="n">
        <x:f>(('参数'!$K$5*(((Q390*(1+'参数'!$B$39*P390))^2/((Q390*(1+'参数'!$B$39*P390))+'参数'!$B$22*(M390)))*(1+'参数'!$B$42*P390)/'参数'!$J$5+((Q390*'参数'!$B$43*(1+'参数'!$B$39*P390))^2/((Q390*'参数'!$B$43*(1+'参数'!$B$39*P390))+'参数'!$B$22*(M390)))/'参数'!$B$44))+(((R390*(1+'参数'!$B$39*P390))^2/((R390*(1+'参数'!$B$39*P390))+'参数'!$B$22*(M390)))*(1+'参数'!$B$42*P390)/'参数'!$J$6+((R390*'参数'!$B$45*(1+'参数'!$B$39*P390))^2/((R390*'参数'!$B$45*(1+'参数'!$B$39*P390))+'参数'!$B$22*(M390)))/'参数'!$B$46)+((S390*(1+'参数'!$B$39*P390))^2/((S390*(1+'参数'!$B$39*P390))+'参数'!$B$22*(M390)))*(1+'参数'!$B$42*P390)/'参数'!$J$7)*(1+'参数'!$B$37*('参数'!$B$38-1))</x:f>
        <x:v>52445.746688054394</x:v>
      </x:c>
      <x:c r="X390" s="25" t="n">
        <x:f>('参数'!$B$26+'参数'!$B$27*(D390-1)/99)*'参数'!$K$29*AD390</x:f>
        <x:v>25.035126050420168</x:v>
      </x:c>
      <x:c r="Y390" s="25" t="n">
        <x:f>('参数'!$B$28+'参数'!$B$29*(D390-1)/99)*'参数'!$K$29*AD390*IF(AE390=1,'参数'!$B$51,1)</x:f>
        <x:v>69.54201680672269</x:v>
      </x:c>
      <x:c r="Z390" s="21" t="n">
        <x:f>MIN('参数'!$B$36,U390/(U390+'参数'!$B$35))</x:f>
        <x:v>0.6117560486461108</x:v>
      </x:c>
      <x:c r="AA390" s="18" t="n">
        <x:f>T390*'参数'!$B$30/('参数'!$B$32*'参数'!$B$33)/(1-Z390)*AC390</x:f>
        <x:v>8922.5705043382</x:v>
      </x:c>
      <x:c r="AB390" s="18" t="n">
        <x:f>T390*'参数'!$B$31/'参数'!$B$34/(1-Z390)*AC390</x:f>
        <x:v>17845.1410086764</x:v>
      </x:c>
      <x:c r="AC390" s="15" t="n">
        <x:f>'参数'!$L$29*(1+'参数'!$B$53*(B390-1)/119)</x:f>
        <x:v>1.219361344537815</x:v>
      </x:c>
      <x:c r="AD390" s="15" t="n">
        <x:f>1+'参数'!$B$52*(B390-1)/119</x:f>
        <x:v>1.030252100840336</x:v>
      </x:c>
      <x:c r="AE390" s="18" t="n">
        <x:f>IF(MOD(B390,12)=0,1,0)</x:f>
        <x:v>0</x:v>
      </x:c>
    </x:row>
    <x:row r="391" ht="22" customHeight="1">
      <x:c r="A391" s="19" t="str">
        <x:v>地狱</x:v>
      </x:c>
      <x:c r="B391" s="19" t="n">
        <x:v>26</x:v>
      </x:c>
      <x:c r="C391" s="19" t="n">
        <x:f>ROUNDUP(B391/12,0)</x:f>
        <x:v>3</x:v>
      </x:c>
      <x:c r="D391" s="19" t="n">
        <x:f>ROUND(MAX('参数'!$G$29,E391)+(IF(C391&lt;10,INDEX('参数'!$G$37:$P$37,1,MIN(10,C391+1)),'参数'!$H$29)-MAX('参数'!$G$29,E391))*MOD(B391-1,12)/11,0)</x:f>
        <x:v>100</x:v>
      </x:c>
      <x:c r="E391" s="19" t="n">
        <x:f>INDEX('参数'!$G$37:$P$37,1,C391)</x:f>
        <x:v>100</x:v>
      </x:c>
      <x:c r="F391" s="20" t="n">
        <x:f>'参数'!$I$29</x:f>
        <x:v>1.29</x:v>
      </x:c>
      <x:c r="G391" s="19" t="n">
        <x:f>ROUND(V391*X391/'参数'!$B$56,0)</x:f>
        <x:v>370944</x:v>
      </x:c>
      <x:c r="H391" s="19" t="n">
        <x:f>ROUND((AA391+SQRT(AA391^2+4*AA391*'参数'!$B$22*U391))/2,0)</x:f>
        <x:v>13965</x:v>
      </x:c>
      <x:c r="I391" s="19" t="n">
        <x:f>ROUND(Q391*'参数'!$B$23/'参数'!$B$22,0)</x:f>
        <x:v>2008</x:v>
      </x:c>
      <x:c r="J391" s="19" t="n">
        <x:f>ROUND(G391*'参数'!$B$50,0)</x:f>
        <x:v>1112832</x:v>
      </x:c>
      <x:c r="K391" s="19" t="n">
        <x:f>ROUND(W391*Y391,0)</x:f>
        <x:v>3651645</x:v>
      </x:c>
      <x:c r="L391" s="19" t="n">
        <x:f>ROUND((AB391+SQRT(AB391^2+4*AB391*'参数'!$B$22*U391))/2,0)</x:f>
        <x:v>23774</x:v>
      </x:c>
      <x:c r="M391" s="19" t="n">
        <x:f>ROUND(I391*'参数'!$B$24,0)</x:f>
        <x:v>2510</x:v>
      </x:c>
      <x:c r="N391" s="19" t="n">
        <x:f>'参数'!$B$9*'参数'!$B$10^(D391-1)</x:f>
        <x:v>11195.319600498813</x:v>
      </x:c>
      <x:c r="O391" s="19" t="n">
        <x:f>'参数'!$B$18*'参数'!$B$19^(MIN(E391,MAX(1,5*INT(D391/5)))-1)*F391*'参数'!$J$29*P391</x:f>
        <x:v>1897.6106812882254</x:v>
      </x:c>
      <x:c r="P391" s="22" t="n">
        <x:f>MIN(1,(D391-1)/19)</x:f>
        <x:v>1</x:v>
      </x:c>
      <x:c r="Q391" s="19" t="n">
        <x:f>INDEX('角色成长'!$F$6:$F$105,D391)+O391*'参数'!$K$21</x:f>
        <x:v>10042.190441671442</x:v>
      </x:c>
      <x:c r="R391" s="19" t="n">
        <x:f>INDEX('角色成长'!$I$6:$I$105,D391)+O391*'参数'!$K$21</x:f>
        <x:v>8744.190441671442</x:v>
      </x:c>
      <x:c r="S391" s="19" t="n">
        <x:f>INDEX('角色成长'!$L$6:$L$105,D391)+O391*'参数'!$K$21</x:f>
        <x:v>8003.190441671442</x:v>
      </x:c>
      <x:c r="T391" s="19" t="n">
        <x:f>(INDEX('角色成长'!$J$6:$J$105,D391)+O391*'参数'!$L$21)*(1+'参数'!$B$40*P391)</x:f>
        <x:v>113637.65283705847</x:v>
      </x:c>
      <x:c r="U391" s="19" t="n">
        <x:f>(INDEX('角色成长'!$K$6:$K$105,D391)+O391*'参数'!$M$21)*(1+'参数'!$B$41*P391)</x:f>
        <x:v>6302.800561479835</x:v>
      </x:c>
      <x:c r="V391" s="19" t="n">
        <x:f>(('参数'!$K$5*(((Q391*(1+'参数'!$B$39*P391))^2/((Q391*(1+'参数'!$B$39*P391))+'参数'!$B$22*(I391)))*(1+'参数'!$B$42*P391)/'参数'!$J$5+((Q391*'参数'!$B$43*(1+'参数'!$B$39*P391))^2/((Q391*'参数'!$B$43*(1+'参数'!$B$39*P391))+'参数'!$B$22*(I391)))/'参数'!$B$44))+(((R391*(1+'参数'!$B$39*P391))^2/((R391*(1+'参数'!$B$39*P391))+'参数'!$B$22*(I391)))*(1+'参数'!$B$42*P391)/'参数'!$J$6+((R391*'参数'!$B$45*(1+'参数'!$B$39*P391))^2/((R391*'参数'!$B$45*(1+'参数'!$B$39*P391))+'参数'!$B$22*(I391)))/'参数'!$B$46)+((S391*(1+'参数'!$B$39*P391))^2/((S391*(1+'参数'!$B$39*P391))+'参数'!$B$22*(I391)))*(1+'参数'!$B$42*P391)/'参数'!$J$7)*(1+'参数'!$B$37*('参数'!$B$38-1))*'参数'!$B$25</x:f>
        <x:v>68074.69622887956</x:v>
      </x:c>
      <x:c r="W391" s="19" t="n">
        <x:f>(('参数'!$K$5*(((Q391*(1+'参数'!$B$39*P391))^2/((Q391*(1+'参数'!$B$39*P391))+'参数'!$B$22*(M391)))*(1+'参数'!$B$42*P391)/'参数'!$J$5+((Q391*'参数'!$B$43*(1+'参数'!$B$39*P391))^2/((Q391*'参数'!$B$43*(1+'参数'!$B$39*P391))+'参数'!$B$22*(M391)))/'参数'!$B$44))+(((R391*(1+'参数'!$B$39*P391))^2/((R391*(1+'参数'!$B$39*P391))+'参数'!$B$22*(M391)))*(1+'参数'!$B$42*P391)/'参数'!$J$6+((R391*'参数'!$B$45*(1+'参数'!$B$39*P391))^2/((R391*'参数'!$B$45*(1+'参数'!$B$39*P391))+'参数'!$B$22*(M391)))/'参数'!$B$46)+((S391*(1+'参数'!$B$39*P391))^2/((S391*(1+'参数'!$B$39*P391))+'参数'!$B$22*(M391)))*(1+'参数'!$B$42*P391)/'参数'!$J$7)*(1+'参数'!$B$37*('参数'!$B$38-1))</x:f>
        <x:v>52445.746688054394</x:v>
      </x:c>
      <x:c r="X391" s="26" t="n">
        <x:f>('参数'!$B$26+'参数'!$B$27*(D391-1)/99)*'参数'!$K$29*AD391</x:f>
        <x:v>25.065756302521006</x:v>
      </x:c>
      <x:c r="Y391" s="26" t="n">
        <x:f>('参数'!$B$28+'参数'!$B$29*(D391-1)/99)*'参数'!$K$29*AD391*IF(AE391=1,'参数'!$B$51,1)</x:f>
        <x:v>69.62710084033613</x:v>
      </x:c>
      <x:c r="Z391" s="22" t="n">
        <x:f>MIN('参数'!$B$36,U391/(U391+'参数'!$B$35))</x:f>
        <x:v>0.6117560486461108</x:v>
      </x:c>
      <x:c r="AA391" s="19" t="n">
        <x:f>T391*'参数'!$B$30/('参数'!$B$32*'参数'!$B$33)/(1-Z391)*AC391</x:f>
        <x:v>8928.473627397636</x:v>
      </x:c>
      <x:c r="AB391" s="19" t="n">
        <x:f>T391*'参数'!$B$31/'参数'!$B$34/(1-Z391)*AC391</x:f>
        <x:v>17856.947254795272</x:v>
      </x:c>
      <x:c r="AC391" s="20" t="n">
        <x:f>'参数'!$L$29*(1+'参数'!$B$53*(B391-1)/119)</x:f>
        <x:v>1.2201680672268906</x:v>
      </x:c>
      <x:c r="AD391" s="20" t="n">
        <x:f>1+'参数'!$B$52*(B391-1)/119</x:f>
        <x:v>1.0315126050420167</x:v>
      </x:c>
      <x:c r="AE391" s="19" t="n">
        <x:f>IF(MOD(B391,12)=0,1,0)</x:f>
        <x:v>0</x:v>
      </x:c>
    </x:row>
    <x:row r="392" ht="22" customHeight="1">
      <x:c r="A392" s="18" t="str">
        <x:v>地狱</x:v>
      </x:c>
      <x:c r="B392" s="18" t="n">
        <x:v>27</x:v>
      </x:c>
      <x:c r="C392" s="18" t="n">
        <x:f>ROUNDUP(B392/12,0)</x:f>
        <x:v>3</x:v>
      </x:c>
      <x:c r="D392" s="18" t="n">
        <x:f>ROUND(MAX('参数'!$G$29,E392)+(IF(C392&lt;10,INDEX('参数'!$G$37:$P$37,1,MIN(10,C392+1)),'参数'!$H$29)-MAX('参数'!$G$29,E392))*MOD(B392-1,12)/11,0)</x:f>
        <x:v>100</x:v>
      </x:c>
      <x:c r="E392" s="18" t="n">
        <x:f>INDEX('参数'!$G$37:$P$37,1,C392)</x:f>
        <x:v>100</x:v>
      </x:c>
      <x:c r="F392" s="15" t="n">
        <x:f>'参数'!$I$29</x:f>
        <x:v>1.29</x:v>
      </x:c>
      <x:c r="G392" s="18" t="n">
        <x:f>ROUND(V392*X392/'参数'!$B$56,0)</x:f>
        <x:v>371398</x:v>
      </x:c>
      <x:c r="H392" s="18" t="n">
        <x:f>ROUND((AA392+SQRT(AA392^2+4*AA392*'参数'!$B$22*U392))/2,0)</x:f>
        <x:v>13972</x:v>
      </x:c>
      <x:c r="I392" s="18" t="n">
        <x:f>ROUND(Q392*'参数'!$B$23/'参数'!$B$22,0)</x:f>
        <x:v>2008</x:v>
      </x:c>
      <x:c r="J392" s="18" t="n">
        <x:f>ROUND(G392*'参数'!$B$50,0)</x:f>
        <x:v>1114194</x:v>
      </x:c>
      <x:c r="K392" s="18" t="n">
        <x:f>ROUND(W392*Y392,0)</x:f>
        <x:v>3656108</x:v>
      </x:c>
      <x:c r="L392" s="18" t="n">
        <x:f>ROUND((AB392+SQRT(AB392^2+4*AB392*'参数'!$B$22*U392))/2,0)</x:f>
        <x:v>23787</x:v>
      </x:c>
      <x:c r="M392" s="18" t="n">
        <x:f>ROUND(I392*'参数'!$B$24,0)</x:f>
        <x:v>2510</x:v>
      </x:c>
      <x:c r="N392" s="18" t="n">
        <x:f>'参数'!$B$9*'参数'!$B$10^(D392-1)</x:f>
        <x:v>11195.319600498813</x:v>
      </x:c>
      <x:c r="O392" s="18" t="n">
        <x:f>'参数'!$B$18*'参数'!$B$19^(MIN(E392,MAX(1,5*INT(D392/5)))-1)*F392*'参数'!$J$29*P392</x:f>
        <x:v>1897.6106812882254</x:v>
      </x:c>
      <x:c r="P392" s="21" t="n">
        <x:f>MIN(1,(D392-1)/19)</x:f>
        <x:v>1</x:v>
      </x:c>
      <x:c r="Q392" s="18" t="n">
        <x:f>INDEX('角色成长'!$F$6:$F$105,D392)+O392*'参数'!$K$21</x:f>
        <x:v>10042.190441671442</x:v>
      </x:c>
      <x:c r="R392" s="18" t="n">
        <x:f>INDEX('角色成长'!$I$6:$I$105,D392)+O392*'参数'!$K$21</x:f>
        <x:v>8744.190441671442</x:v>
      </x:c>
      <x:c r="S392" s="18" t="n">
        <x:f>INDEX('角色成长'!$L$6:$L$105,D392)+O392*'参数'!$K$21</x:f>
        <x:v>8003.190441671442</x:v>
      </x:c>
      <x:c r="T392" s="18" t="n">
        <x:f>(INDEX('角色成长'!$J$6:$J$105,D392)+O392*'参数'!$L$21)*(1+'参数'!$B$40*P392)</x:f>
        <x:v>113637.65283705847</x:v>
      </x:c>
      <x:c r="U392" s="18" t="n">
        <x:f>(INDEX('角色成长'!$K$6:$K$105,D392)+O392*'参数'!$M$21)*(1+'参数'!$B$41*P392)</x:f>
        <x:v>6302.800561479835</x:v>
      </x:c>
      <x:c r="V392" s="18" t="n">
        <x:f>(('参数'!$K$5*(((Q392*(1+'参数'!$B$39*P392))^2/((Q392*(1+'参数'!$B$39*P392))+'参数'!$B$22*(I392)))*(1+'参数'!$B$42*P392)/'参数'!$J$5+((Q392*'参数'!$B$43*(1+'参数'!$B$39*P392))^2/((Q392*'参数'!$B$43*(1+'参数'!$B$39*P392))+'参数'!$B$22*(I392)))/'参数'!$B$44))+(((R392*(1+'参数'!$B$39*P392))^2/((R392*(1+'参数'!$B$39*P392))+'参数'!$B$22*(I392)))*(1+'参数'!$B$42*P392)/'参数'!$J$6+((R392*'参数'!$B$45*(1+'参数'!$B$39*P392))^2/((R392*'参数'!$B$45*(1+'参数'!$B$39*P392))+'参数'!$B$22*(I392)))/'参数'!$B$46)+((S392*(1+'参数'!$B$39*P392))^2/((S392*(1+'参数'!$B$39*P392))+'参数'!$B$22*(I392)))*(1+'参数'!$B$42*P392)/'参数'!$J$7)*(1+'参数'!$B$37*('参数'!$B$38-1))*'参数'!$B$25</x:f>
        <x:v>68074.69622887956</x:v>
      </x:c>
      <x:c r="W392" s="18" t="n">
        <x:f>(('参数'!$K$5*(((Q392*(1+'参数'!$B$39*P392))^2/((Q392*(1+'参数'!$B$39*P392))+'参数'!$B$22*(M392)))*(1+'参数'!$B$42*P392)/'参数'!$J$5+((Q392*'参数'!$B$43*(1+'参数'!$B$39*P392))^2/((Q392*'参数'!$B$43*(1+'参数'!$B$39*P392))+'参数'!$B$22*(M392)))/'参数'!$B$44))+(((R392*(1+'参数'!$B$39*P392))^2/((R392*(1+'参数'!$B$39*P392))+'参数'!$B$22*(M392)))*(1+'参数'!$B$42*P392)/'参数'!$J$6+((R392*'参数'!$B$45*(1+'参数'!$B$39*P392))^2/((R392*'参数'!$B$45*(1+'参数'!$B$39*P392))+'参数'!$B$22*(M392)))/'参数'!$B$46)+((S392*(1+'参数'!$B$39*P392))^2/((S392*(1+'参数'!$B$39*P392))+'参数'!$B$22*(M392)))*(1+'参数'!$B$42*P392)/'参数'!$J$7)*(1+'参数'!$B$37*('参数'!$B$38-1))</x:f>
        <x:v>52445.746688054394</x:v>
      </x:c>
      <x:c r="X392" s="25" t="n">
        <x:f>('参数'!$B$26+'参数'!$B$27*(D392-1)/99)*'参数'!$K$29*AD392</x:f>
        <x:v>25.09638655462185</x:v>
      </x:c>
      <x:c r="Y392" s="25" t="n">
        <x:f>('参数'!$B$28+'参数'!$B$29*(D392-1)/99)*'参数'!$K$29*AD392*IF(AE392=1,'参数'!$B$51,1)</x:f>
        <x:v>69.71218487394958</x:v>
      </x:c>
      <x:c r="Z392" s="21" t="n">
        <x:f>MIN('参数'!$B$36,U392/(U392+'参数'!$B$35))</x:f>
        <x:v>0.6117560486461108</x:v>
      </x:c>
      <x:c r="AA392" s="18" t="n">
        <x:f>T392*'参数'!$B$30/('参数'!$B$32*'参数'!$B$33)/(1-Z392)*AC392</x:f>
        <x:v>8934.376750457073</x:v>
      </x:c>
      <x:c r="AB392" s="18" t="n">
        <x:f>T392*'参数'!$B$31/'参数'!$B$34/(1-Z392)*AC392</x:f>
        <x:v>17868.753500914147</x:v>
      </x:c>
      <x:c r="AC392" s="15" t="n">
        <x:f>'参数'!$L$29*(1+'参数'!$B$53*(B392-1)/119)</x:f>
        <x:v>1.2209747899159664</x:v>
      </x:c>
      <x:c r="AD392" s="15" t="n">
        <x:f>1+'参数'!$B$52*(B392-1)/119</x:f>
        <x:v>1.0327731092436976</x:v>
      </x:c>
      <x:c r="AE392" s="18" t="n">
        <x:f>IF(MOD(B392,12)=0,1,0)</x:f>
        <x:v>0</x:v>
      </x:c>
    </x:row>
    <x:row r="393" ht="22" customHeight="1">
      <x:c r="A393" s="19" t="str">
        <x:v>地狱</x:v>
      </x:c>
      <x:c r="B393" s="19" t="n">
        <x:v>28</x:v>
      </x:c>
      <x:c r="C393" s="19" t="n">
        <x:f>ROUNDUP(B393/12,0)</x:f>
        <x:v>3</x:v>
      </x:c>
      <x:c r="D393" s="19" t="n">
        <x:f>ROUND(MAX('参数'!$G$29,E393)+(IF(C393&lt;10,INDEX('参数'!$G$37:$P$37,1,MIN(10,C393+1)),'参数'!$H$29)-MAX('参数'!$G$29,E393))*MOD(B393-1,12)/11,0)</x:f>
        <x:v>100</x:v>
      </x:c>
      <x:c r="E393" s="19" t="n">
        <x:f>INDEX('参数'!$G$37:$P$37,1,C393)</x:f>
        <x:v>100</x:v>
      </x:c>
      <x:c r="F393" s="20" t="n">
        <x:f>'参数'!$I$29</x:f>
        <x:v>1.29</x:v>
      </x:c>
      <x:c r="G393" s="19" t="n">
        <x:f>ROUND(V393*X393/'参数'!$B$56,0)</x:f>
        <x:v>371851</x:v>
      </x:c>
      <x:c r="H393" s="19" t="n">
        <x:f>ROUND((AA393+SQRT(AA393^2+4*AA393*'参数'!$B$22*U393))/2,0)</x:f>
        <x:v>13979</x:v>
      </x:c>
      <x:c r="I393" s="19" t="n">
        <x:f>ROUND(Q393*'参数'!$B$23/'参数'!$B$22,0)</x:f>
        <x:v>2008</x:v>
      </x:c>
      <x:c r="J393" s="19" t="n">
        <x:f>ROUND(G393*'参数'!$B$50,0)</x:f>
        <x:v>1115553</x:v>
      </x:c>
      <x:c r="K393" s="19" t="n">
        <x:f>ROUND(W393*Y393,0)</x:f>
        <x:v>3660570</x:v>
      </x:c>
      <x:c r="L393" s="19" t="n">
        <x:f>ROUND((AB393+SQRT(AB393^2+4*AB393*'参数'!$B$22*U393))/2,0)</x:f>
        <x:v>23800</x:v>
      </x:c>
      <x:c r="M393" s="19" t="n">
        <x:f>ROUND(I393*'参数'!$B$24,0)</x:f>
        <x:v>2510</x:v>
      </x:c>
      <x:c r="N393" s="19" t="n">
        <x:f>'参数'!$B$9*'参数'!$B$10^(D393-1)</x:f>
        <x:v>11195.319600498813</x:v>
      </x:c>
      <x:c r="O393" s="19" t="n">
        <x:f>'参数'!$B$18*'参数'!$B$19^(MIN(E393,MAX(1,5*INT(D393/5)))-1)*F393*'参数'!$J$29*P393</x:f>
        <x:v>1897.6106812882254</x:v>
      </x:c>
      <x:c r="P393" s="22" t="n">
        <x:f>MIN(1,(D393-1)/19)</x:f>
        <x:v>1</x:v>
      </x:c>
      <x:c r="Q393" s="19" t="n">
        <x:f>INDEX('角色成长'!$F$6:$F$105,D393)+O393*'参数'!$K$21</x:f>
        <x:v>10042.190441671442</x:v>
      </x:c>
      <x:c r="R393" s="19" t="n">
        <x:f>INDEX('角色成长'!$I$6:$I$105,D393)+O393*'参数'!$K$21</x:f>
        <x:v>8744.190441671442</x:v>
      </x:c>
      <x:c r="S393" s="19" t="n">
        <x:f>INDEX('角色成长'!$L$6:$L$105,D393)+O393*'参数'!$K$21</x:f>
        <x:v>8003.190441671442</x:v>
      </x:c>
      <x:c r="T393" s="19" t="n">
        <x:f>(INDEX('角色成长'!$J$6:$J$105,D393)+O393*'参数'!$L$21)*(1+'参数'!$B$40*P393)</x:f>
        <x:v>113637.65283705847</x:v>
      </x:c>
      <x:c r="U393" s="19" t="n">
        <x:f>(INDEX('角色成长'!$K$6:$K$105,D393)+O393*'参数'!$M$21)*(1+'参数'!$B$41*P393)</x:f>
        <x:v>6302.800561479835</x:v>
      </x:c>
      <x:c r="V393" s="19" t="n">
        <x:f>(('参数'!$K$5*(((Q393*(1+'参数'!$B$39*P393))^2/((Q393*(1+'参数'!$B$39*P393))+'参数'!$B$22*(I393)))*(1+'参数'!$B$42*P393)/'参数'!$J$5+((Q393*'参数'!$B$43*(1+'参数'!$B$39*P393))^2/((Q393*'参数'!$B$43*(1+'参数'!$B$39*P393))+'参数'!$B$22*(I393)))/'参数'!$B$44))+(((R393*(1+'参数'!$B$39*P393))^2/((R393*(1+'参数'!$B$39*P393))+'参数'!$B$22*(I393)))*(1+'参数'!$B$42*P393)/'参数'!$J$6+((R393*'参数'!$B$45*(1+'参数'!$B$39*P393))^2/((R393*'参数'!$B$45*(1+'参数'!$B$39*P393))+'参数'!$B$22*(I393)))/'参数'!$B$46)+((S393*(1+'参数'!$B$39*P393))^2/((S393*(1+'参数'!$B$39*P393))+'参数'!$B$22*(I393)))*(1+'参数'!$B$42*P393)/'参数'!$J$7)*(1+'参数'!$B$37*('参数'!$B$38-1))*'参数'!$B$25</x:f>
        <x:v>68074.69622887956</x:v>
      </x:c>
      <x:c r="W393" s="19" t="n">
        <x:f>(('参数'!$K$5*(((Q393*(1+'参数'!$B$39*P393))^2/((Q393*(1+'参数'!$B$39*P393))+'参数'!$B$22*(M393)))*(1+'参数'!$B$42*P393)/'参数'!$J$5+((Q393*'参数'!$B$43*(1+'参数'!$B$39*P393))^2/((Q393*'参数'!$B$43*(1+'参数'!$B$39*P393))+'参数'!$B$22*(M393)))/'参数'!$B$44))+(((R393*(1+'参数'!$B$39*P393))^2/((R393*(1+'参数'!$B$39*P393))+'参数'!$B$22*(M393)))*(1+'参数'!$B$42*P393)/'参数'!$J$6+((R393*'参数'!$B$45*(1+'参数'!$B$39*P393))^2/((R393*'参数'!$B$45*(1+'参数'!$B$39*P393))+'参数'!$B$22*(M393)))/'参数'!$B$46)+((S393*(1+'参数'!$B$39*P393))^2/((S393*(1+'参数'!$B$39*P393))+'参数'!$B$22*(M393)))*(1+'参数'!$B$42*P393)/'参数'!$J$7)*(1+'参数'!$B$37*('参数'!$B$38-1))</x:f>
        <x:v>52445.746688054394</x:v>
      </x:c>
      <x:c r="X393" s="26" t="n">
        <x:f>('参数'!$B$26+'参数'!$B$27*(D393-1)/99)*'参数'!$K$29*AD393</x:f>
        <x:v>25.127016806722693</x:v>
      </x:c>
      <x:c r="Y393" s="26" t="n">
        <x:f>('参数'!$B$28+'参数'!$B$29*(D393-1)/99)*'参数'!$K$29*AD393*IF(AE393=1,'参数'!$B$51,1)</x:f>
        <x:v>69.79726890756304</x:v>
      </x:c>
      <x:c r="Z393" s="22" t="n">
        <x:f>MIN('参数'!$B$36,U393/(U393+'参数'!$B$35))</x:f>
        <x:v>0.6117560486461108</x:v>
      </x:c>
      <x:c r="AA393" s="19" t="n">
        <x:f>T393*'参数'!$B$30/('参数'!$B$32*'参数'!$B$33)/(1-Z393)*AC393</x:f>
        <x:v>8940.27987351651</x:v>
      </x:c>
      <x:c r="AB393" s="19" t="n">
        <x:f>T393*'参数'!$B$31/'参数'!$B$34/(1-Z393)*AC393</x:f>
        <x:v>17880.55974703302</x:v>
      </x:c>
      <x:c r="AC393" s="20" t="n">
        <x:f>'参数'!$L$29*(1+'参数'!$B$53*(B393-1)/119)</x:f>
        <x:v>1.2217815126050422</x:v>
      </x:c>
      <x:c r="AD393" s="20" t="n">
        <x:f>1+'参数'!$B$52*(B393-1)/119</x:f>
        <x:v>1.0340336134453783</x:v>
      </x:c>
      <x:c r="AE393" s="19" t="n">
        <x:f>IF(MOD(B393,12)=0,1,0)</x:f>
        <x:v>0</x:v>
      </x:c>
    </x:row>
    <x:row r="394" ht="22" customHeight="1">
      <x:c r="A394" s="18" t="str">
        <x:v>地狱</x:v>
      </x:c>
      <x:c r="B394" s="18" t="n">
        <x:v>29</x:v>
      </x:c>
      <x:c r="C394" s="18" t="n">
        <x:f>ROUNDUP(B394/12,0)</x:f>
        <x:v>3</x:v>
      </x:c>
      <x:c r="D394" s="18" t="n">
        <x:f>ROUND(MAX('参数'!$G$29,E394)+(IF(C394&lt;10,INDEX('参数'!$G$37:$P$37,1,MIN(10,C394+1)),'参数'!$H$29)-MAX('参数'!$G$29,E394))*MOD(B394-1,12)/11,0)</x:f>
        <x:v>100</x:v>
      </x:c>
      <x:c r="E394" s="18" t="n">
        <x:f>INDEX('参数'!$G$37:$P$37,1,C394)</x:f>
        <x:v>100</x:v>
      </x:c>
      <x:c r="F394" s="15" t="n">
        <x:f>'参数'!$I$29</x:f>
        <x:v>1.29</x:v>
      </x:c>
      <x:c r="G394" s="18" t="n">
        <x:f>ROUND(V394*X394/'参数'!$B$56,0)</x:f>
        <x:v>372304</x:v>
      </x:c>
      <x:c r="H394" s="18" t="n">
        <x:f>ROUND((AA394+SQRT(AA394^2+4*AA394*'参数'!$B$22*U394))/2,0)</x:f>
        <x:v>13986</x:v>
      </x:c>
      <x:c r="I394" s="18" t="n">
        <x:f>ROUND(Q394*'参数'!$B$23/'参数'!$B$22,0)</x:f>
        <x:v>2008</x:v>
      </x:c>
      <x:c r="J394" s="18" t="n">
        <x:f>ROUND(G394*'参数'!$B$50,0)</x:f>
        <x:v>1116912</x:v>
      </x:c>
      <x:c r="K394" s="18" t="n">
        <x:f>ROUND(W394*Y394,0)</x:f>
        <x:v>3665032</x:v>
      </x:c>
      <x:c r="L394" s="18" t="n">
        <x:f>ROUND((AB394+SQRT(AB394^2+4*AB394*'参数'!$B$22*U394))/2,0)</x:f>
        <x:v>23812</x:v>
      </x:c>
      <x:c r="M394" s="18" t="n">
        <x:f>ROUND(I394*'参数'!$B$24,0)</x:f>
        <x:v>2510</x:v>
      </x:c>
      <x:c r="N394" s="18" t="n">
        <x:f>'参数'!$B$9*'参数'!$B$10^(D394-1)</x:f>
        <x:v>11195.319600498813</x:v>
      </x:c>
      <x:c r="O394" s="18" t="n">
        <x:f>'参数'!$B$18*'参数'!$B$19^(MIN(E394,MAX(1,5*INT(D394/5)))-1)*F394*'参数'!$J$29*P394</x:f>
        <x:v>1897.6106812882254</x:v>
      </x:c>
      <x:c r="P394" s="21" t="n">
        <x:f>MIN(1,(D394-1)/19)</x:f>
        <x:v>1</x:v>
      </x:c>
      <x:c r="Q394" s="18" t="n">
        <x:f>INDEX('角色成长'!$F$6:$F$105,D394)+O394*'参数'!$K$21</x:f>
        <x:v>10042.190441671442</x:v>
      </x:c>
      <x:c r="R394" s="18" t="n">
        <x:f>INDEX('角色成长'!$I$6:$I$105,D394)+O394*'参数'!$K$21</x:f>
        <x:v>8744.190441671442</x:v>
      </x:c>
      <x:c r="S394" s="18" t="n">
        <x:f>INDEX('角色成长'!$L$6:$L$105,D394)+O394*'参数'!$K$21</x:f>
        <x:v>8003.190441671442</x:v>
      </x:c>
      <x:c r="T394" s="18" t="n">
        <x:f>(INDEX('角色成长'!$J$6:$J$105,D394)+O394*'参数'!$L$21)*(1+'参数'!$B$40*P394)</x:f>
        <x:v>113637.65283705847</x:v>
      </x:c>
      <x:c r="U394" s="18" t="n">
        <x:f>(INDEX('角色成长'!$K$6:$K$105,D394)+O394*'参数'!$M$21)*(1+'参数'!$B$41*P394)</x:f>
        <x:v>6302.800561479835</x:v>
      </x:c>
      <x:c r="V394" s="18" t="n">
        <x:f>(('参数'!$K$5*(((Q394*(1+'参数'!$B$39*P394))^2/((Q394*(1+'参数'!$B$39*P394))+'参数'!$B$22*(I394)))*(1+'参数'!$B$42*P394)/'参数'!$J$5+((Q394*'参数'!$B$43*(1+'参数'!$B$39*P394))^2/((Q394*'参数'!$B$43*(1+'参数'!$B$39*P394))+'参数'!$B$22*(I394)))/'参数'!$B$44))+(((R394*(1+'参数'!$B$39*P394))^2/((R394*(1+'参数'!$B$39*P394))+'参数'!$B$22*(I394)))*(1+'参数'!$B$42*P394)/'参数'!$J$6+((R394*'参数'!$B$45*(1+'参数'!$B$39*P394))^2/((R394*'参数'!$B$45*(1+'参数'!$B$39*P394))+'参数'!$B$22*(I394)))/'参数'!$B$46)+((S394*(1+'参数'!$B$39*P394))^2/((S394*(1+'参数'!$B$39*P394))+'参数'!$B$22*(I394)))*(1+'参数'!$B$42*P394)/'参数'!$J$7)*(1+'参数'!$B$37*('参数'!$B$38-1))*'参数'!$B$25</x:f>
        <x:v>68074.69622887956</x:v>
      </x:c>
      <x:c r="W394" s="18" t="n">
        <x:f>(('参数'!$K$5*(((Q394*(1+'参数'!$B$39*P394))^2/((Q394*(1+'参数'!$B$39*P394))+'参数'!$B$22*(M394)))*(1+'参数'!$B$42*P394)/'参数'!$J$5+((Q394*'参数'!$B$43*(1+'参数'!$B$39*P394))^2/((Q394*'参数'!$B$43*(1+'参数'!$B$39*P394))+'参数'!$B$22*(M394)))/'参数'!$B$44))+(((R394*(1+'参数'!$B$39*P394))^2/((R394*(1+'参数'!$B$39*P394))+'参数'!$B$22*(M394)))*(1+'参数'!$B$42*P394)/'参数'!$J$6+((R394*'参数'!$B$45*(1+'参数'!$B$39*P394))^2/((R394*'参数'!$B$45*(1+'参数'!$B$39*P394))+'参数'!$B$22*(M394)))/'参数'!$B$46)+((S394*(1+'参数'!$B$39*P394))^2/((S394*(1+'参数'!$B$39*P394))+'参数'!$B$22*(M394)))*(1+'参数'!$B$42*P394)/'参数'!$J$7)*(1+'参数'!$B$37*('参数'!$B$38-1))</x:f>
        <x:v>52445.746688054394</x:v>
      </x:c>
      <x:c r="X394" s="25" t="n">
        <x:f>('参数'!$B$26+'参数'!$B$27*(D394-1)/99)*'参数'!$K$29*AD394</x:f>
        <x:v>25.15764705882353</x:v>
      </x:c>
      <x:c r="Y394" s="25" t="n">
        <x:f>('参数'!$B$28+'参数'!$B$29*(D394-1)/99)*'参数'!$K$29*AD394*IF(AE394=1,'参数'!$B$51,1)</x:f>
        <x:v>69.88235294117648</x:v>
      </x:c>
      <x:c r="Z394" s="21" t="n">
        <x:f>MIN('参数'!$B$36,U394/(U394+'参数'!$B$35))</x:f>
        <x:v>0.6117560486461108</x:v>
      </x:c>
      <x:c r="AA394" s="18" t="n">
        <x:f>T394*'参数'!$B$30/('参数'!$B$32*'参数'!$B$33)/(1-Z394)*AC394</x:f>
        <x:v>8946.182996575944</x:v>
      </x:c>
      <x:c r="AB394" s="18" t="n">
        <x:f>T394*'参数'!$B$31/'参数'!$B$34/(1-Z394)*AC394</x:f>
        <x:v>17892.36599315189</x:v>
      </x:c>
      <x:c r="AC394" s="15" t="n">
        <x:f>'参数'!$L$29*(1+'参数'!$B$53*(B394-1)/119)</x:f>
        <x:v>1.2225882352941175</x:v>
      </x:c>
      <x:c r="AD394" s="15" t="n">
        <x:f>1+'参数'!$B$52*(B394-1)/119</x:f>
        <x:v>1.035294117647059</x:v>
      </x:c>
      <x:c r="AE394" s="18" t="n">
        <x:f>IF(MOD(B394,12)=0,1,0)</x:f>
        <x:v>0</x:v>
      </x:c>
    </x:row>
    <x:row r="395" ht="22" customHeight="1">
      <x:c r="A395" s="19" t="str">
        <x:v>地狱</x:v>
      </x:c>
      <x:c r="B395" s="19" t="n">
        <x:v>30</x:v>
      </x:c>
      <x:c r="C395" s="19" t="n">
        <x:f>ROUNDUP(B395/12,0)</x:f>
        <x:v>3</x:v>
      </x:c>
      <x:c r="D395" s="19" t="n">
        <x:f>ROUND(MAX('参数'!$G$29,E395)+(IF(C395&lt;10,INDEX('参数'!$G$37:$P$37,1,MIN(10,C395+1)),'参数'!$H$29)-MAX('参数'!$G$29,E395))*MOD(B395-1,12)/11,0)</x:f>
        <x:v>100</x:v>
      </x:c>
      <x:c r="E395" s="19" t="n">
        <x:f>INDEX('参数'!$G$37:$P$37,1,C395)</x:f>
        <x:v>100</x:v>
      </x:c>
      <x:c r="F395" s="20" t="n">
        <x:f>'参数'!$I$29</x:f>
        <x:v>1.29</x:v>
      </x:c>
      <x:c r="G395" s="19" t="n">
        <x:f>ROUND(V395*X395/'参数'!$B$56,0)</x:f>
        <x:v>372757</x:v>
      </x:c>
      <x:c r="H395" s="19" t="n">
        <x:f>ROUND((AA395+SQRT(AA395^2+4*AA395*'参数'!$B$22*U395))/2,0)</x:f>
        <x:v>13993</x:v>
      </x:c>
      <x:c r="I395" s="19" t="n">
        <x:f>ROUND(Q395*'参数'!$B$23/'参数'!$B$22,0)</x:f>
        <x:v>2008</x:v>
      </x:c>
      <x:c r="J395" s="19" t="n">
        <x:f>ROUND(G395*'参数'!$B$50,0)</x:f>
        <x:v>1118271</x:v>
      </x:c>
      <x:c r="K395" s="19" t="n">
        <x:f>ROUND(W395*Y395,0)</x:f>
        <x:v>3669494</x:v>
      </x:c>
      <x:c r="L395" s="19" t="n">
        <x:f>ROUND((AB395+SQRT(AB395^2+4*AB395*'参数'!$B$22*U395))/2,0)</x:f>
        <x:v>23825</x:v>
      </x:c>
      <x:c r="M395" s="19" t="n">
        <x:f>ROUND(I395*'参数'!$B$24,0)</x:f>
        <x:v>2510</x:v>
      </x:c>
      <x:c r="N395" s="19" t="n">
        <x:f>'参数'!$B$9*'参数'!$B$10^(D395-1)</x:f>
        <x:v>11195.319600498813</x:v>
      </x:c>
      <x:c r="O395" s="19" t="n">
        <x:f>'参数'!$B$18*'参数'!$B$19^(MIN(E395,MAX(1,5*INT(D395/5)))-1)*F395*'参数'!$J$29*P395</x:f>
        <x:v>1897.6106812882254</x:v>
      </x:c>
      <x:c r="P395" s="22" t="n">
        <x:f>MIN(1,(D395-1)/19)</x:f>
        <x:v>1</x:v>
      </x:c>
      <x:c r="Q395" s="19" t="n">
        <x:f>INDEX('角色成长'!$F$6:$F$105,D395)+O395*'参数'!$K$21</x:f>
        <x:v>10042.190441671442</x:v>
      </x:c>
      <x:c r="R395" s="19" t="n">
        <x:f>INDEX('角色成长'!$I$6:$I$105,D395)+O395*'参数'!$K$21</x:f>
        <x:v>8744.190441671442</x:v>
      </x:c>
      <x:c r="S395" s="19" t="n">
        <x:f>INDEX('角色成长'!$L$6:$L$105,D395)+O395*'参数'!$K$21</x:f>
        <x:v>8003.190441671442</x:v>
      </x:c>
      <x:c r="T395" s="19" t="n">
        <x:f>(INDEX('角色成长'!$J$6:$J$105,D395)+O395*'参数'!$L$21)*(1+'参数'!$B$40*P395)</x:f>
        <x:v>113637.65283705847</x:v>
      </x:c>
      <x:c r="U395" s="19" t="n">
        <x:f>(INDEX('角色成长'!$K$6:$K$105,D395)+O395*'参数'!$M$21)*(1+'参数'!$B$41*P395)</x:f>
        <x:v>6302.800561479835</x:v>
      </x:c>
      <x:c r="V395" s="19" t="n">
        <x:f>(('参数'!$K$5*(((Q395*(1+'参数'!$B$39*P395))^2/((Q395*(1+'参数'!$B$39*P395))+'参数'!$B$22*(I395)))*(1+'参数'!$B$42*P395)/'参数'!$J$5+((Q395*'参数'!$B$43*(1+'参数'!$B$39*P395))^2/((Q395*'参数'!$B$43*(1+'参数'!$B$39*P395))+'参数'!$B$22*(I395)))/'参数'!$B$44))+(((R395*(1+'参数'!$B$39*P395))^2/((R395*(1+'参数'!$B$39*P395))+'参数'!$B$22*(I395)))*(1+'参数'!$B$42*P395)/'参数'!$J$6+((R395*'参数'!$B$45*(1+'参数'!$B$39*P395))^2/((R395*'参数'!$B$45*(1+'参数'!$B$39*P395))+'参数'!$B$22*(I395)))/'参数'!$B$46)+((S395*(1+'参数'!$B$39*P395))^2/((S395*(1+'参数'!$B$39*P395))+'参数'!$B$22*(I395)))*(1+'参数'!$B$42*P395)/'参数'!$J$7)*(1+'参数'!$B$37*('参数'!$B$38-1))*'参数'!$B$25</x:f>
        <x:v>68074.69622887956</x:v>
      </x:c>
      <x:c r="W395" s="19" t="n">
        <x:f>(('参数'!$K$5*(((Q395*(1+'参数'!$B$39*P395))^2/((Q395*(1+'参数'!$B$39*P395))+'参数'!$B$22*(M395)))*(1+'参数'!$B$42*P395)/'参数'!$J$5+((Q395*'参数'!$B$43*(1+'参数'!$B$39*P395))^2/((Q395*'参数'!$B$43*(1+'参数'!$B$39*P395))+'参数'!$B$22*(M395)))/'参数'!$B$44))+(((R395*(1+'参数'!$B$39*P395))^2/((R395*(1+'参数'!$B$39*P395))+'参数'!$B$22*(M395)))*(1+'参数'!$B$42*P395)/'参数'!$J$6+((R395*'参数'!$B$45*(1+'参数'!$B$39*P395))^2/((R395*'参数'!$B$45*(1+'参数'!$B$39*P395))+'参数'!$B$22*(M395)))/'参数'!$B$46)+((S395*(1+'参数'!$B$39*P395))^2/((S395*(1+'参数'!$B$39*P395))+'参数'!$B$22*(M395)))*(1+'参数'!$B$42*P395)/'参数'!$J$7)*(1+'参数'!$B$37*('参数'!$B$38-1))</x:f>
        <x:v>52445.746688054394</x:v>
      </x:c>
      <x:c r="X395" s="26" t="n">
        <x:f>('参数'!$B$26+'参数'!$B$27*(D395-1)/99)*'参数'!$K$29*AD395</x:f>
        <x:v>25.188277310924374</x:v>
      </x:c>
      <x:c r="Y395" s="26" t="n">
        <x:f>('参数'!$B$28+'参数'!$B$29*(D395-1)/99)*'参数'!$K$29*AD395*IF(AE395=1,'参数'!$B$51,1)</x:f>
        <x:v>69.96743697478992</x:v>
      </x:c>
      <x:c r="Z395" s="22" t="n">
        <x:f>MIN('参数'!$B$36,U395/(U395+'参数'!$B$35))</x:f>
        <x:v>0.6117560486461108</x:v>
      </x:c>
      <x:c r="AA395" s="19" t="n">
        <x:f>T395*'参数'!$B$30/('参数'!$B$32*'参数'!$B$33)/(1-Z395)*AC395</x:f>
        <x:v>8952.086119635382</x:v>
      </x:c>
      <x:c r="AB395" s="19" t="n">
        <x:f>T395*'参数'!$B$31/'参数'!$B$34/(1-Z395)*AC395</x:f>
        <x:v>17904.172239270763</x:v>
      </x:c>
      <x:c r="AC395" s="20" t="n">
        <x:f>'参数'!$L$29*(1+'参数'!$B$53*(B395-1)/119)</x:f>
        <x:v>1.2233949579831933</x:v>
      </x:c>
      <x:c r="AD395" s="20" t="n">
        <x:f>1+'参数'!$B$52*(B395-1)/119</x:f>
        <x:v>1.0365546218487396</x:v>
      </x:c>
      <x:c r="AE395" s="19" t="n">
        <x:f>IF(MOD(B395,12)=0,1,0)</x:f>
        <x:v>0</x:v>
      </x:c>
    </x:row>
    <x:row r="396" ht="22" customHeight="1">
      <x:c r="A396" s="18" t="str">
        <x:v>地狱</x:v>
      </x:c>
      <x:c r="B396" s="18" t="n">
        <x:v>31</x:v>
      </x:c>
      <x:c r="C396" s="18" t="n">
        <x:f>ROUNDUP(B396/12,0)</x:f>
        <x:v>3</x:v>
      </x:c>
      <x:c r="D396" s="18" t="n">
        <x:f>ROUND(MAX('参数'!$G$29,E396)+(IF(C396&lt;10,INDEX('参数'!$G$37:$P$37,1,MIN(10,C396+1)),'参数'!$H$29)-MAX('参数'!$G$29,E396))*MOD(B396-1,12)/11,0)</x:f>
        <x:v>100</x:v>
      </x:c>
      <x:c r="E396" s="18" t="n">
        <x:f>INDEX('参数'!$G$37:$P$37,1,C396)</x:f>
        <x:v>100</x:v>
      </x:c>
      <x:c r="F396" s="15" t="n">
        <x:f>'参数'!$I$29</x:f>
        <x:v>1.29</x:v>
      </x:c>
      <x:c r="G396" s="18" t="n">
        <x:f>ROUND(V396*X396/'参数'!$B$56,0)</x:f>
        <x:v>373211</x:v>
      </x:c>
      <x:c r="H396" s="18" t="n">
        <x:f>ROUND((AA396+SQRT(AA396^2+4*AA396*'参数'!$B$22*U396))/2,0)</x:f>
        <x:v>13999</x:v>
      </x:c>
      <x:c r="I396" s="18" t="n">
        <x:f>ROUND(Q396*'参数'!$B$23/'参数'!$B$22,0)</x:f>
        <x:v>2008</x:v>
      </x:c>
      <x:c r="J396" s="18" t="n">
        <x:f>ROUND(G396*'参数'!$B$50,0)</x:f>
        <x:v>1119633</x:v>
      </x:c>
      <x:c r="K396" s="18" t="n">
        <x:f>ROUND(W396*Y396,0)</x:f>
        <x:v>3673957</x:v>
      </x:c>
      <x:c r="L396" s="18" t="n">
        <x:f>ROUND((AB396+SQRT(AB396^2+4*AB396*'参数'!$B$22*U396))/2,0)</x:f>
        <x:v>23837</x:v>
      </x:c>
      <x:c r="M396" s="18" t="n">
        <x:f>ROUND(I396*'参数'!$B$24,0)</x:f>
        <x:v>2510</x:v>
      </x:c>
      <x:c r="N396" s="18" t="n">
        <x:f>'参数'!$B$9*'参数'!$B$10^(D396-1)</x:f>
        <x:v>11195.319600498813</x:v>
      </x:c>
      <x:c r="O396" s="18" t="n">
        <x:f>'参数'!$B$18*'参数'!$B$19^(MIN(E396,MAX(1,5*INT(D396/5)))-1)*F396*'参数'!$J$29*P396</x:f>
        <x:v>1897.6106812882254</x:v>
      </x:c>
      <x:c r="P396" s="21" t="n">
        <x:f>MIN(1,(D396-1)/19)</x:f>
        <x:v>1</x:v>
      </x:c>
      <x:c r="Q396" s="18" t="n">
        <x:f>INDEX('角色成长'!$F$6:$F$105,D396)+O396*'参数'!$K$21</x:f>
        <x:v>10042.190441671442</x:v>
      </x:c>
      <x:c r="R396" s="18" t="n">
        <x:f>INDEX('角色成长'!$I$6:$I$105,D396)+O396*'参数'!$K$21</x:f>
        <x:v>8744.190441671442</x:v>
      </x:c>
      <x:c r="S396" s="18" t="n">
        <x:f>INDEX('角色成长'!$L$6:$L$105,D396)+O396*'参数'!$K$21</x:f>
        <x:v>8003.190441671442</x:v>
      </x:c>
      <x:c r="T396" s="18" t="n">
        <x:f>(INDEX('角色成长'!$J$6:$J$105,D396)+O396*'参数'!$L$21)*(1+'参数'!$B$40*P396)</x:f>
        <x:v>113637.65283705847</x:v>
      </x:c>
      <x:c r="U396" s="18" t="n">
        <x:f>(INDEX('角色成长'!$K$6:$K$105,D396)+O396*'参数'!$M$21)*(1+'参数'!$B$41*P396)</x:f>
        <x:v>6302.800561479835</x:v>
      </x:c>
      <x:c r="V396" s="18" t="n">
        <x:f>(('参数'!$K$5*(((Q396*(1+'参数'!$B$39*P396))^2/((Q396*(1+'参数'!$B$39*P396))+'参数'!$B$22*(I396)))*(1+'参数'!$B$42*P396)/'参数'!$J$5+((Q396*'参数'!$B$43*(1+'参数'!$B$39*P396))^2/((Q396*'参数'!$B$43*(1+'参数'!$B$39*P396))+'参数'!$B$22*(I396)))/'参数'!$B$44))+(((R396*(1+'参数'!$B$39*P396))^2/((R396*(1+'参数'!$B$39*P396))+'参数'!$B$22*(I396)))*(1+'参数'!$B$42*P396)/'参数'!$J$6+((R396*'参数'!$B$45*(1+'参数'!$B$39*P396))^2/((R396*'参数'!$B$45*(1+'参数'!$B$39*P396))+'参数'!$B$22*(I396)))/'参数'!$B$46)+((S396*(1+'参数'!$B$39*P396))^2/((S396*(1+'参数'!$B$39*P396))+'参数'!$B$22*(I396)))*(1+'参数'!$B$42*P396)/'参数'!$J$7)*(1+'参数'!$B$37*('参数'!$B$38-1))*'参数'!$B$25</x:f>
        <x:v>68074.69622887956</x:v>
      </x:c>
      <x:c r="W396" s="18" t="n">
        <x:f>(('参数'!$K$5*(((Q396*(1+'参数'!$B$39*P396))^2/((Q396*(1+'参数'!$B$39*P396))+'参数'!$B$22*(M396)))*(1+'参数'!$B$42*P396)/'参数'!$J$5+((Q396*'参数'!$B$43*(1+'参数'!$B$39*P396))^2/((Q396*'参数'!$B$43*(1+'参数'!$B$39*P396))+'参数'!$B$22*(M396)))/'参数'!$B$44))+(((R396*(1+'参数'!$B$39*P396))^2/((R396*(1+'参数'!$B$39*P396))+'参数'!$B$22*(M396)))*(1+'参数'!$B$42*P396)/'参数'!$J$6+((R396*'参数'!$B$45*(1+'参数'!$B$39*P396))^2/((R396*'参数'!$B$45*(1+'参数'!$B$39*P396))+'参数'!$B$22*(M396)))/'参数'!$B$46)+((S396*(1+'参数'!$B$39*P396))^2/((S396*(1+'参数'!$B$39*P396))+'参数'!$B$22*(M396)))*(1+'参数'!$B$42*P396)/'参数'!$J$7)*(1+'参数'!$B$37*('参数'!$B$38-1))</x:f>
        <x:v>52445.746688054394</x:v>
      </x:c>
      <x:c r="X396" s="25" t="n">
        <x:f>('参数'!$B$26+'参数'!$B$27*(D396-1)/99)*'参数'!$K$29*AD396</x:f>
        <x:v>25.218907563025212</x:v>
      </x:c>
      <x:c r="Y396" s="25" t="n">
        <x:f>('参数'!$B$28+'参数'!$B$29*(D396-1)/99)*'参数'!$K$29*AD396*IF(AE396=1,'参数'!$B$51,1)</x:f>
        <x:v>70.05252100840336</x:v>
      </x:c>
      <x:c r="Z396" s="21" t="n">
        <x:f>MIN('参数'!$B$36,U396/(U396+'参数'!$B$35))</x:f>
        <x:v>0.6117560486461108</x:v>
      </x:c>
      <x:c r="AA396" s="18" t="n">
        <x:f>T396*'参数'!$B$30/('参数'!$B$32*'参数'!$B$33)/(1-Z396)*AC396</x:f>
        <x:v>8957.989242694819</x:v>
      </x:c>
      <x:c r="AB396" s="18" t="n">
        <x:f>T396*'参数'!$B$31/'参数'!$B$34/(1-Z396)*AC396</x:f>
        <x:v>17915.978485389638</x:v>
      </x:c>
      <x:c r="AC396" s="15" t="n">
        <x:f>'参数'!$L$29*(1+'参数'!$B$53*(B396-1)/119)</x:f>
        <x:v>1.2242016806722689</x:v>
      </x:c>
      <x:c r="AD396" s="15" t="n">
        <x:f>1+'参数'!$B$52*(B396-1)/119</x:f>
        <x:v>1.0378151260504203</x:v>
      </x:c>
      <x:c r="AE396" s="18" t="n">
        <x:f>IF(MOD(B396,12)=0,1,0)</x:f>
        <x:v>0</x:v>
      </x:c>
    </x:row>
    <x:row r="397" ht="22" customHeight="1">
      <x:c r="A397" s="19" t="str">
        <x:v>地狱</x:v>
      </x:c>
      <x:c r="B397" s="19" t="n">
        <x:v>32</x:v>
      </x:c>
      <x:c r="C397" s="19" t="n">
        <x:f>ROUNDUP(B397/12,0)</x:f>
        <x:v>3</x:v>
      </x:c>
      <x:c r="D397" s="19" t="n">
        <x:f>ROUND(MAX('参数'!$G$29,E397)+(IF(C397&lt;10,INDEX('参数'!$G$37:$P$37,1,MIN(10,C397+1)),'参数'!$H$29)-MAX('参数'!$G$29,E397))*MOD(B397-1,12)/11,0)</x:f>
        <x:v>100</x:v>
      </x:c>
      <x:c r="E397" s="19" t="n">
        <x:f>INDEX('参数'!$G$37:$P$37,1,C397)</x:f>
        <x:v>100</x:v>
      </x:c>
      <x:c r="F397" s="20" t="n">
        <x:f>'参数'!$I$29</x:f>
        <x:v>1.29</x:v>
      </x:c>
      <x:c r="G397" s="19" t="n">
        <x:f>ROUND(V397*X397/'参数'!$B$56,0)</x:f>
        <x:v>373664</x:v>
      </x:c>
      <x:c r="H397" s="19" t="n">
        <x:f>ROUND((AA397+SQRT(AA397^2+4*AA397*'参数'!$B$22*U397))/2,0)</x:f>
        <x:v>14006</x:v>
      </x:c>
      <x:c r="I397" s="19" t="n">
        <x:f>ROUND(Q397*'参数'!$B$23/'参数'!$B$22,0)</x:f>
        <x:v>2008</x:v>
      </x:c>
      <x:c r="J397" s="19" t="n">
        <x:f>ROUND(G397*'参数'!$B$50,0)</x:f>
        <x:v>1120992</x:v>
      </x:c>
      <x:c r="K397" s="19" t="n">
        <x:f>ROUND(W397*Y397,0)</x:f>
        <x:v>3678419</x:v>
      </x:c>
      <x:c r="L397" s="19" t="n">
        <x:f>ROUND((AB397+SQRT(AB397^2+4*AB397*'参数'!$B$22*U397))/2,0)</x:f>
        <x:v>23850</x:v>
      </x:c>
      <x:c r="M397" s="19" t="n">
        <x:f>ROUND(I397*'参数'!$B$24,0)</x:f>
        <x:v>2510</x:v>
      </x:c>
      <x:c r="N397" s="19" t="n">
        <x:f>'参数'!$B$9*'参数'!$B$10^(D397-1)</x:f>
        <x:v>11195.319600498813</x:v>
      </x:c>
      <x:c r="O397" s="19" t="n">
        <x:f>'参数'!$B$18*'参数'!$B$19^(MIN(E397,MAX(1,5*INT(D397/5)))-1)*F397*'参数'!$J$29*P397</x:f>
        <x:v>1897.6106812882254</x:v>
      </x:c>
      <x:c r="P397" s="22" t="n">
        <x:f>MIN(1,(D397-1)/19)</x:f>
        <x:v>1</x:v>
      </x:c>
      <x:c r="Q397" s="19" t="n">
        <x:f>INDEX('角色成长'!$F$6:$F$105,D397)+O397*'参数'!$K$21</x:f>
        <x:v>10042.190441671442</x:v>
      </x:c>
      <x:c r="R397" s="19" t="n">
        <x:f>INDEX('角色成长'!$I$6:$I$105,D397)+O397*'参数'!$K$21</x:f>
        <x:v>8744.190441671442</x:v>
      </x:c>
      <x:c r="S397" s="19" t="n">
        <x:f>INDEX('角色成长'!$L$6:$L$105,D397)+O397*'参数'!$K$21</x:f>
        <x:v>8003.190441671442</x:v>
      </x:c>
      <x:c r="T397" s="19" t="n">
        <x:f>(INDEX('角色成长'!$J$6:$J$105,D397)+O397*'参数'!$L$21)*(1+'参数'!$B$40*P397)</x:f>
        <x:v>113637.65283705847</x:v>
      </x:c>
      <x:c r="U397" s="19" t="n">
        <x:f>(INDEX('角色成长'!$K$6:$K$105,D397)+O397*'参数'!$M$21)*(1+'参数'!$B$41*P397)</x:f>
        <x:v>6302.800561479835</x:v>
      </x:c>
      <x:c r="V397" s="19" t="n">
        <x:f>(('参数'!$K$5*(((Q397*(1+'参数'!$B$39*P397))^2/((Q397*(1+'参数'!$B$39*P397))+'参数'!$B$22*(I397)))*(1+'参数'!$B$42*P397)/'参数'!$J$5+((Q397*'参数'!$B$43*(1+'参数'!$B$39*P397))^2/((Q397*'参数'!$B$43*(1+'参数'!$B$39*P397))+'参数'!$B$22*(I397)))/'参数'!$B$44))+(((R397*(1+'参数'!$B$39*P397))^2/((R397*(1+'参数'!$B$39*P397))+'参数'!$B$22*(I397)))*(1+'参数'!$B$42*P397)/'参数'!$J$6+((R397*'参数'!$B$45*(1+'参数'!$B$39*P397))^2/((R397*'参数'!$B$45*(1+'参数'!$B$39*P397))+'参数'!$B$22*(I397)))/'参数'!$B$46)+((S397*(1+'参数'!$B$39*P397))^2/((S397*(1+'参数'!$B$39*P397))+'参数'!$B$22*(I397)))*(1+'参数'!$B$42*P397)/'参数'!$J$7)*(1+'参数'!$B$37*('参数'!$B$38-1))*'参数'!$B$25</x:f>
        <x:v>68074.69622887956</x:v>
      </x:c>
      <x:c r="W397" s="19" t="n">
        <x:f>(('参数'!$K$5*(((Q397*(1+'参数'!$B$39*P397))^2/((Q397*(1+'参数'!$B$39*P397))+'参数'!$B$22*(M397)))*(1+'参数'!$B$42*P397)/'参数'!$J$5+((Q397*'参数'!$B$43*(1+'参数'!$B$39*P397))^2/((Q397*'参数'!$B$43*(1+'参数'!$B$39*P397))+'参数'!$B$22*(M397)))/'参数'!$B$44))+(((R397*(1+'参数'!$B$39*P397))^2/((R397*(1+'参数'!$B$39*P397))+'参数'!$B$22*(M397)))*(1+'参数'!$B$42*P397)/'参数'!$J$6+((R397*'参数'!$B$45*(1+'参数'!$B$39*P397))^2/((R397*'参数'!$B$45*(1+'参数'!$B$39*P397))+'参数'!$B$22*(M397)))/'参数'!$B$46)+((S397*(1+'参数'!$B$39*P397))^2/((S397*(1+'参数'!$B$39*P397))+'参数'!$B$22*(M397)))*(1+'参数'!$B$42*P397)/'参数'!$J$7)*(1+'参数'!$B$37*('参数'!$B$38-1))</x:f>
        <x:v>52445.746688054394</x:v>
      </x:c>
      <x:c r="X397" s="26" t="n">
        <x:f>('参数'!$B$26+'参数'!$B$27*(D397-1)/99)*'参数'!$K$29*AD397</x:f>
        <x:v>25.249537815126054</x:v>
      </x:c>
      <x:c r="Y397" s="26" t="n">
        <x:f>('参数'!$B$28+'参数'!$B$29*(D397-1)/99)*'参数'!$K$29*AD397*IF(AE397=1,'参数'!$B$51,1)</x:f>
        <x:v>70.13760504201682</x:v>
      </x:c>
      <x:c r="Z397" s="22" t="n">
        <x:f>MIN('参数'!$B$36,U397/(U397+'参数'!$B$35))</x:f>
        <x:v>0.6117560486461108</x:v>
      </x:c>
      <x:c r="AA397" s="19" t="n">
        <x:f>T397*'参数'!$B$30/('参数'!$B$32*'参数'!$B$33)/(1-Z397)*AC397</x:f>
        <x:v>8963.892365754255</x:v>
      </x:c>
      <x:c r="AB397" s="19" t="n">
        <x:f>T397*'参数'!$B$31/'参数'!$B$34/(1-Z397)*AC397</x:f>
        <x:v>17927.78473150851</x:v>
      </x:c>
      <x:c r="AC397" s="20" t="n">
        <x:f>'参数'!$L$29*(1+'参数'!$B$53*(B397-1)/119)</x:f>
        <x:v>1.2250084033613444</x:v>
      </x:c>
      <x:c r="AD397" s="20" t="n">
        <x:f>1+'参数'!$B$52*(B397-1)/119</x:f>
        <x:v>1.039075630252101</x:v>
      </x:c>
      <x:c r="AE397" s="19" t="n">
        <x:f>IF(MOD(B397,12)=0,1,0)</x:f>
        <x:v>0</x:v>
      </x:c>
    </x:row>
    <x:row r="398" ht="22" customHeight="1">
      <x:c r="A398" s="18" t="str">
        <x:v>地狱</x:v>
      </x:c>
      <x:c r="B398" s="18" t="n">
        <x:v>33</x:v>
      </x:c>
      <x:c r="C398" s="18" t="n">
        <x:f>ROUNDUP(B398/12,0)</x:f>
        <x:v>3</x:v>
      </x:c>
      <x:c r="D398" s="18" t="n">
        <x:f>ROUND(MAX('参数'!$G$29,E398)+(IF(C398&lt;10,INDEX('参数'!$G$37:$P$37,1,MIN(10,C398+1)),'参数'!$H$29)-MAX('参数'!$G$29,E398))*MOD(B398-1,12)/11,0)</x:f>
        <x:v>100</x:v>
      </x:c>
      <x:c r="E398" s="18" t="n">
        <x:f>INDEX('参数'!$G$37:$P$37,1,C398)</x:f>
        <x:v>100</x:v>
      </x:c>
      <x:c r="F398" s="15" t="n">
        <x:f>'参数'!$I$29</x:f>
        <x:v>1.29</x:v>
      </x:c>
      <x:c r="G398" s="18" t="n">
        <x:f>ROUND(V398*X398/'参数'!$B$56,0)</x:f>
        <x:v>374117</x:v>
      </x:c>
      <x:c r="H398" s="18" t="n">
        <x:f>ROUND((AA398+SQRT(AA398^2+4*AA398*'参数'!$B$22*U398))/2,0)</x:f>
        <x:v>14013</x:v>
      </x:c>
      <x:c r="I398" s="18" t="n">
        <x:f>ROUND(Q398*'参数'!$B$23/'参数'!$B$22,0)</x:f>
        <x:v>2008</x:v>
      </x:c>
      <x:c r="J398" s="18" t="n">
        <x:f>ROUND(G398*'参数'!$B$50,0)</x:f>
        <x:v>1122351</x:v>
      </x:c>
      <x:c r="K398" s="18" t="n">
        <x:f>ROUND(W398*Y398,0)</x:f>
        <x:v>3682881</x:v>
      </x:c>
      <x:c r="L398" s="18" t="n">
        <x:f>ROUND((AB398+SQRT(AB398^2+4*AB398*'参数'!$B$22*U398))/2,0)</x:f>
        <x:v>23863</x:v>
      </x:c>
      <x:c r="M398" s="18" t="n">
        <x:f>ROUND(I398*'参数'!$B$24,0)</x:f>
        <x:v>2510</x:v>
      </x:c>
      <x:c r="N398" s="18" t="n">
        <x:f>'参数'!$B$9*'参数'!$B$10^(D398-1)</x:f>
        <x:v>11195.319600498813</x:v>
      </x:c>
      <x:c r="O398" s="18" t="n">
        <x:f>'参数'!$B$18*'参数'!$B$19^(MIN(E398,MAX(1,5*INT(D398/5)))-1)*F398*'参数'!$J$29*P398</x:f>
        <x:v>1897.6106812882254</x:v>
      </x:c>
      <x:c r="P398" s="21" t="n">
        <x:f>MIN(1,(D398-1)/19)</x:f>
        <x:v>1</x:v>
      </x:c>
      <x:c r="Q398" s="18" t="n">
        <x:f>INDEX('角色成长'!$F$6:$F$105,D398)+O398*'参数'!$K$21</x:f>
        <x:v>10042.190441671442</x:v>
      </x:c>
      <x:c r="R398" s="18" t="n">
        <x:f>INDEX('角色成长'!$I$6:$I$105,D398)+O398*'参数'!$K$21</x:f>
        <x:v>8744.190441671442</x:v>
      </x:c>
      <x:c r="S398" s="18" t="n">
        <x:f>INDEX('角色成长'!$L$6:$L$105,D398)+O398*'参数'!$K$21</x:f>
        <x:v>8003.190441671442</x:v>
      </x:c>
      <x:c r="T398" s="18" t="n">
        <x:f>(INDEX('角色成长'!$J$6:$J$105,D398)+O398*'参数'!$L$21)*(1+'参数'!$B$40*P398)</x:f>
        <x:v>113637.65283705847</x:v>
      </x:c>
      <x:c r="U398" s="18" t="n">
        <x:f>(INDEX('角色成长'!$K$6:$K$105,D398)+O398*'参数'!$M$21)*(1+'参数'!$B$41*P398)</x:f>
        <x:v>6302.800561479835</x:v>
      </x:c>
      <x:c r="V398" s="18" t="n">
        <x:f>(('参数'!$K$5*(((Q398*(1+'参数'!$B$39*P398))^2/((Q398*(1+'参数'!$B$39*P398))+'参数'!$B$22*(I398)))*(1+'参数'!$B$42*P398)/'参数'!$J$5+((Q398*'参数'!$B$43*(1+'参数'!$B$39*P398))^2/((Q398*'参数'!$B$43*(1+'参数'!$B$39*P398))+'参数'!$B$22*(I398)))/'参数'!$B$44))+(((R398*(1+'参数'!$B$39*P398))^2/((R398*(1+'参数'!$B$39*P398))+'参数'!$B$22*(I398)))*(1+'参数'!$B$42*P398)/'参数'!$J$6+((R398*'参数'!$B$45*(1+'参数'!$B$39*P398))^2/((R398*'参数'!$B$45*(1+'参数'!$B$39*P398))+'参数'!$B$22*(I398)))/'参数'!$B$46)+((S398*(1+'参数'!$B$39*P398))^2/((S398*(1+'参数'!$B$39*P398))+'参数'!$B$22*(I398)))*(1+'参数'!$B$42*P398)/'参数'!$J$7)*(1+'参数'!$B$37*('参数'!$B$38-1))*'参数'!$B$25</x:f>
        <x:v>68074.69622887956</x:v>
      </x:c>
      <x:c r="W398" s="18" t="n">
        <x:f>(('参数'!$K$5*(((Q398*(1+'参数'!$B$39*P398))^2/((Q398*(1+'参数'!$B$39*P398))+'参数'!$B$22*(M398)))*(1+'参数'!$B$42*P398)/'参数'!$J$5+((Q398*'参数'!$B$43*(1+'参数'!$B$39*P398))^2/((Q398*'参数'!$B$43*(1+'参数'!$B$39*P398))+'参数'!$B$22*(M398)))/'参数'!$B$44))+(((R398*(1+'参数'!$B$39*P398))^2/((R398*(1+'参数'!$B$39*P398))+'参数'!$B$22*(M398)))*(1+'参数'!$B$42*P398)/'参数'!$J$6+((R398*'参数'!$B$45*(1+'参数'!$B$39*P398))^2/((R398*'参数'!$B$45*(1+'参数'!$B$39*P398))+'参数'!$B$22*(M398)))/'参数'!$B$46)+((S398*(1+'参数'!$B$39*P398))^2/((S398*(1+'参数'!$B$39*P398))+'参数'!$B$22*(M398)))*(1+'参数'!$B$42*P398)/'参数'!$J$7)*(1+'参数'!$B$37*('参数'!$B$38-1))</x:f>
        <x:v>52445.746688054394</x:v>
      </x:c>
      <x:c r="X398" s="25" t="n">
        <x:f>('参数'!$B$26+'参数'!$B$27*(D398-1)/99)*'参数'!$K$29*AD398</x:f>
        <x:v>25.280168067226892</x:v>
      </x:c>
      <x:c r="Y398" s="25" t="n">
        <x:f>('参数'!$B$28+'参数'!$B$29*(D398-1)/99)*'参数'!$K$29*AD398*IF(AE398=1,'参数'!$B$51,1)</x:f>
        <x:v>70.22268907563026</x:v>
      </x:c>
      <x:c r="Z398" s="21" t="n">
        <x:f>MIN('参数'!$B$36,U398/(U398+'参数'!$B$35))</x:f>
        <x:v>0.6117560486461108</x:v>
      </x:c>
      <x:c r="AA398" s="18" t="n">
        <x:f>T398*'参数'!$B$30/('参数'!$B$32*'参数'!$B$33)/(1-Z398)*AC398</x:f>
        <x:v>8969.795488813692</x:v>
      </x:c>
      <x:c r="AB398" s="18" t="n">
        <x:f>T398*'参数'!$B$31/'参数'!$B$34/(1-Z398)*AC398</x:f>
        <x:v>17939.590977627384</x:v>
      </x:c>
      <x:c r="AC398" s="15" t="n">
        <x:f>'参数'!$L$29*(1+'参数'!$B$53*(B398-1)/119)</x:f>
        <x:v>1.2258151260504202</x:v>
      </x:c>
      <x:c r="AD398" s="15" t="n">
        <x:f>1+'参数'!$B$52*(B398-1)/119</x:f>
        <x:v>1.0403361344537816</x:v>
      </x:c>
      <x:c r="AE398" s="18" t="n">
        <x:f>IF(MOD(B398,12)=0,1,0)</x:f>
        <x:v>0</x:v>
      </x:c>
    </x:row>
    <x:row r="399" ht="22" customHeight="1">
      <x:c r="A399" s="19" t="str">
        <x:v>地狱</x:v>
      </x:c>
      <x:c r="B399" s="19" t="n">
        <x:v>34</x:v>
      </x:c>
      <x:c r="C399" s="19" t="n">
        <x:f>ROUNDUP(B399/12,0)</x:f>
        <x:v>3</x:v>
      </x:c>
      <x:c r="D399" s="19" t="n">
        <x:f>ROUND(MAX('参数'!$G$29,E399)+(IF(C399&lt;10,INDEX('参数'!$G$37:$P$37,1,MIN(10,C399+1)),'参数'!$H$29)-MAX('参数'!$G$29,E399))*MOD(B399-1,12)/11,0)</x:f>
        <x:v>100</x:v>
      </x:c>
      <x:c r="E399" s="19" t="n">
        <x:f>INDEX('参数'!$G$37:$P$37,1,C399)</x:f>
        <x:v>100</x:v>
      </x:c>
      <x:c r="F399" s="20" t="n">
        <x:f>'参数'!$I$29</x:f>
        <x:v>1.29</x:v>
      </x:c>
      <x:c r="G399" s="19" t="n">
        <x:f>ROUND(V399*X399/'参数'!$B$56,0)</x:f>
        <x:v>374571</x:v>
      </x:c>
      <x:c r="H399" s="19" t="n">
        <x:f>ROUND((AA399+SQRT(AA399^2+4*AA399*'参数'!$B$22*U399))/2,0)</x:f>
        <x:v>14020</x:v>
      </x:c>
      <x:c r="I399" s="19" t="n">
        <x:f>ROUND(Q399*'参数'!$B$23/'参数'!$B$22,0)</x:f>
        <x:v>2008</x:v>
      </x:c>
      <x:c r="J399" s="19" t="n">
        <x:f>ROUND(G399*'参数'!$B$50,0)</x:f>
        <x:v>1123713</x:v>
      </x:c>
      <x:c r="K399" s="19" t="n">
        <x:f>ROUND(W399*Y399,0)</x:f>
        <x:v>3687344</x:v>
      </x:c>
      <x:c r="L399" s="19" t="n">
        <x:f>ROUND((AB399+SQRT(AB399^2+4*AB399*'参数'!$B$22*U399))/2,0)</x:f>
        <x:v>23875</x:v>
      </x:c>
      <x:c r="M399" s="19" t="n">
        <x:f>ROUND(I399*'参数'!$B$24,0)</x:f>
        <x:v>2510</x:v>
      </x:c>
      <x:c r="N399" s="19" t="n">
        <x:f>'参数'!$B$9*'参数'!$B$10^(D399-1)</x:f>
        <x:v>11195.319600498813</x:v>
      </x:c>
      <x:c r="O399" s="19" t="n">
        <x:f>'参数'!$B$18*'参数'!$B$19^(MIN(E399,MAX(1,5*INT(D399/5)))-1)*F399*'参数'!$J$29*P399</x:f>
        <x:v>1897.6106812882254</x:v>
      </x:c>
      <x:c r="P399" s="22" t="n">
        <x:f>MIN(1,(D399-1)/19)</x:f>
        <x:v>1</x:v>
      </x:c>
      <x:c r="Q399" s="19" t="n">
        <x:f>INDEX('角色成长'!$F$6:$F$105,D399)+O399*'参数'!$K$21</x:f>
        <x:v>10042.190441671442</x:v>
      </x:c>
      <x:c r="R399" s="19" t="n">
        <x:f>INDEX('角色成长'!$I$6:$I$105,D399)+O399*'参数'!$K$21</x:f>
        <x:v>8744.190441671442</x:v>
      </x:c>
      <x:c r="S399" s="19" t="n">
        <x:f>INDEX('角色成长'!$L$6:$L$105,D399)+O399*'参数'!$K$21</x:f>
        <x:v>8003.190441671442</x:v>
      </x:c>
      <x:c r="T399" s="19" t="n">
        <x:f>(INDEX('角色成长'!$J$6:$J$105,D399)+O399*'参数'!$L$21)*(1+'参数'!$B$40*P399)</x:f>
        <x:v>113637.65283705847</x:v>
      </x:c>
      <x:c r="U399" s="19" t="n">
        <x:f>(INDEX('角色成长'!$K$6:$K$105,D399)+O399*'参数'!$M$21)*(1+'参数'!$B$41*P399)</x:f>
        <x:v>6302.800561479835</x:v>
      </x:c>
      <x:c r="V399" s="19" t="n">
        <x:f>(('参数'!$K$5*(((Q399*(1+'参数'!$B$39*P399))^2/((Q399*(1+'参数'!$B$39*P399))+'参数'!$B$22*(I399)))*(1+'参数'!$B$42*P399)/'参数'!$J$5+((Q399*'参数'!$B$43*(1+'参数'!$B$39*P399))^2/((Q399*'参数'!$B$43*(1+'参数'!$B$39*P399))+'参数'!$B$22*(I399)))/'参数'!$B$44))+(((R399*(1+'参数'!$B$39*P399))^2/((R399*(1+'参数'!$B$39*P399))+'参数'!$B$22*(I399)))*(1+'参数'!$B$42*P399)/'参数'!$J$6+((R399*'参数'!$B$45*(1+'参数'!$B$39*P399))^2/((R399*'参数'!$B$45*(1+'参数'!$B$39*P399))+'参数'!$B$22*(I399)))/'参数'!$B$46)+((S399*(1+'参数'!$B$39*P399))^2/((S399*(1+'参数'!$B$39*P399))+'参数'!$B$22*(I399)))*(1+'参数'!$B$42*P399)/'参数'!$J$7)*(1+'参数'!$B$37*('参数'!$B$38-1))*'参数'!$B$25</x:f>
        <x:v>68074.69622887956</x:v>
      </x:c>
      <x:c r="W399" s="19" t="n">
        <x:f>(('参数'!$K$5*(((Q399*(1+'参数'!$B$39*P399))^2/((Q399*(1+'参数'!$B$39*P399))+'参数'!$B$22*(M399)))*(1+'参数'!$B$42*P399)/'参数'!$J$5+((Q399*'参数'!$B$43*(1+'参数'!$B$39*P399))^2/((Q399*'参数'!$B$43*(1+'参数'!$B$39*P399))+'参数'!$B$22*(M399)))/'参数'!$B$44))+(((R399*(1+'参数'!$B$39*P399))^2/((R399*(1+'参数'!$B$39*P399))+'参数'!$B$22*(M399)))*(1+'参数'!$B$42*P399)/'参数'!$J$6+((R399*'参数'!$B$45*(1+'参数'!$B$39*P399))^2/((R399*'参数'!$B$45*(1+'参数'!$B$39*P399))+'参数'!$B$22*(M399)))/'参数'!$B$46)+((S399*(1+'参数'!$B$39*P399))^2/((S399*(1+'参数'!$B$39*P399))+'参数'!$B$22*(M399)))*(1+'参数'!$B$42*P399)/'参数'!$J$7)*(1+'参数'!$B$37*('参数'!$B$38-1))</x:f>
        <x:v>52445.746688054394</x:v>
      </x:c>
      <x:c r="X399" s="26" t="n">
        <x:f>('参数'!$B$26+'参数'!$B$27*(D399-1)/99)*'参数'!$K$29*AD399</x:f>
        <x:v>25.310798319327734</x:v>
      </x:c>
      <x:c r="Y399" s="26" t="n">
        <x:f>('参数'!$B$28+'参数'!$B$29*(D399-1)/99)*'参数'!$K$29*AD399*IF(AE399=1,'参数'!$B$51,1)</x:f>
        <x:v>70.3077731092437</x:v>
      </x:c>
      <x:c r="Z399" s="22" t="n">
        <x:f>MIN('参数'!$B$36,U399/(U399+'参数'!$B$35))</x:f>
        <x:v>0.6117560486461108</x:v>
      </x:c>
      <x:c r="AA399" s="19" t="n">
        <x:f>T399*'参数'!$B$30/('参数'!$B$32*'参数'!$B$33)/(1-Z399)*AC399</x:f>
        <x:v>8975.698611873127</x:v>
      </x:c>
      <x:c r="AB399" s="19" t="n">
        <x:f>T399*'参数'!$B$31/'参数'!$B$34/(1-Z399)*AC399</x:f>
        <x:v>17951.397223746255</x:v>
      </x:c>
      <x:c r="AC399" s="20" t="n">
        <x:f>'参数'!$L$29*(1+'参数'!$B$53*(B399-1)/119)</x:f>
        <x:v>1.2266218487394958</x:v>
      </x:c>
      <x:c r="AD399" s="20" t="n">
        <x:f>1+'参数'!$B$52*(B399-1)/119</x:f>
        <x:v>1.0415966386554623</x:v>
      </x:c>
      <x:c r="AE399" s="19" t="n">
        <x:f>IF(MOD(B399,12)=0,1,0)</x:f>
        <x:v>0</x:v>
      </x:c>
    </x:row>
    <x:row r="400" ht="22" customHeight="1">
      <x:c r="A400" s="18" t="str">
        <x:v>地狱</x:v>
      </x:c>
      <x:c r="B400" s="18" t="n">
        <x:v>35</x:v>
      </x:c>
      <x:c r="C400" s="18" t="n">
        <x:f>ROUNDUP(B400/12,0)</x:f>
        <x:v>3</x:v>
      </x:c>
      <x:c r="D400" s="18" t="n">
        <x:f>ROUND(MAX('参数'!$G$29,E400)+(IF(C400&lt;10,INDEX('参数'!$G$37:$P$37,1,MIN(10,C400+1)),'参数'!$H$29)-MAX('参数'!$G$29,E400))*MOD(B400-1,12)/11,0)</x:f>
        <x:v>100</x:v>
      </x:c>
      <x:c r="E400" s="18" t="n">
        <x:f>INDEX('参数'!$G$37:$P$37,1,C400)</x:f>
        <x:v>100</x:v>
      </x:c>
      <x:c r="F400" s="15" t="n">
        <x:f>'参数'!$I$29</x:f>
        <x:v>1.29</x:v>
      </x:c>
      <x:c r="G400" s="18" t="n">
        <x:f>ROUND(V400*X400/'参数'!$B$56,0)</x:f>
        <x:v>375024</x:v>
      </x:c>
      <x:c r="H400" s="18" t="n">
        <x:f>ROUND((AA400+SQRT(AA400^2+4*AA400*'参数'!$B$22*U400))/2,0)</x:f>
        <x:v>14026</x:v>
      </x:c>
      <x:c r="I400" s="18" t="n">
        <x:f>ROUND(Q400*'参数'!$B$23/'参数'!$B$22,0)</x:f>
        <x:v>2008</x:v>
      </x:c>
      <x:c r="J400" s="18" t="n">
        <x:f>ROUND(G400*'参数'!$B$50,0)</x:f>
        <x:v>1125072</x:v>
      </x:c>
      <x:c r="K400" s="18" t="n">
        <x:f>ROUND(W400*Y400,0)</x:f>
        <x:v>3691806</x:v>
      </x:c>
      <x:c r="L400" s="18" t="n">
        <x:f>ROUND((AB400+SQRT(AB400^2+4*AB400*'参数'!$B$22*U400))/2,0)</x:f>
        <x:v>23888</x:v>
      </x:c>
      <x:c r="M400" s="18" t="n">
        <x:f>ROUND(I400*'参数'!$B$24,0)</x:f>
        <x:v>2510</x:v>
      </x:c>
      <x:c r="N400" s="18" t="n">
        <x:f>'参数'!$B$9*'参数'!$B$10^(D400-1)</x:f>
        <x:v>11195.319600498813</x:v>
      </x:c>
      <x:c r="O400" s="18" t="n">
        <x:f>'参数'!$B$18*'参数'!$B$19^(MIN(E400,MAX(1,5*INT(D400/5)))-1)*F400*'参数'!$J$29*P400</x:f>
        <x:v>1897.6106812882254</x:v>
      </x:c>
      <x:c r="P400" s="21" t="n">
        <x:f>MIN(1,(D400-1)/19)</x:f>
        <x:v>1</x:v>
      </x:c>
      <x:c r="Q400" s="18" t="n">
        <x:f>INDEX('角色成长'!$F$6:$F$105,D400)+O400*'参数'!$K$21</x:f>
        <x:v>10042.190441671442</x:v>
      </x:c>
      <x:c r="R400" s="18" t="n">
        <x:f>INDEX('角色成长'!$I$6:$I$105,D400)+O400*'参数'!$K$21</x:f>
        <x:v>8744.190441671442</x:v>
      </x:c>
      <x:c r="S400" s="18" t="n">
        <x:f>INDEX('角色成长'!$L$6:$L$105,D400)+O400*'参数'!$K$21</x:f>
        <x:v>8003.190441671442</x:v>
      </x:c>
      <x:c r="T400" s="18" t="n">
        <x:f>(INDEX('角色成长'!$J$6:$J$105,D400)+O400*'参数'!$L$21)*(1+'参数'!$B$40*P400)</x:f>
        <x:v>113637.65283705847</x:v>
      </x:c>
      <x:c r="U400" s="18" t="n">
        <x:f>(INDEX('角色成长'!$K$6:$K$105,D400)+O400*'参数'!$M$21)*(1+'参数'!$B$41*P400)</x:f>
        <x:v>6302.800561479835</x:v>
      </x:c>
      <x:c r="V400" s="18" t="n">
        <x:f>(('参数'!$K$5*(((Q400*(1+'参数'!$B$39*P400))^2/((Q400*(1+'参数'!$B$39*P400))+'参数'!$B$22*(I400)))*(1+'参数'!$B$42*P400)/'参数'!$J$5+((Q400*'参数'!$B$43*(1+'参数'!$B$39*P400))^2/((Q400*'参数'!$B$43*(1+'参数'!$B$39*P400))+'参数'!$B$22*(I400)))/'参数'!$B$44))+(((R400*(1+'参数'!$B$39*P400))^2/((R400*(1+'参数'!$B$39*P400))+'参数'!$B$22*(I400)))*(1+'参数'!$B$42*P400)/'参数'!$J$6+((R400*'参数'!$B$45*(1+'参数'!$B$39*P400))^2/((R400*'参数'!$B$45*(1+'参数'!$B$39*P400))+'参数'!$B$22*(I400)))/'参数'!$B$46)+((S400*(1+'参数'!$B$39*P400))^2/((S400*(1+'参数'!$B$39*P400))+'参数'!$B$22*(I400)))*(1+'参数'!$B$42*P400)/'参数'!$J$7)*(1+'参数'!$B$37*('参数'!$B$38-1))*'参数'!$B$25</x:f>
        <x:v>68074.69622887956</x:v>
      </x:c>
      <x:c r="W400" s="18" t="n">
        <x:f>(('参数'!$K$5*(((Q400*(1+'参数'!$B$39*P400))^2/((Q400*(1+'参数'!$B$39*P400))+'参数'!$B$22*(M400)))*(1+'参数'!$B$42*P400)/'参数'!$J$5+((Q400*'参数'!$B$43*(1+'参数'!$B$39*P400))^2/((Q400*'参数'!$B$43*(1+'参数'!$B$39*P400))+'参数'!$B$22*(M400)))/'参数'!$B$44))+(((R400*(1+'参数'!$B$39*P400))^2/((R400*(1+'参数'!$B$39*P400))+'参数'!$B$22*(M400)))*(1+'参数'!$B$42*P400)/'参数'!$J$6+((R400*'参数'!$B$45*(1+'参数'!$B$39*P400))^2/((R400*'参数'!$B$45*(1+'参数'!$B$39*P400))+'参数'!$B$22*(M400)))/'参数'!$B$46)+((S400*(1+'参数'!$B$39*P400))^2/((S400*(1+'参数'!$B$39*P400))+'参数'!$B$22*(M400)))*(1+'参数'!$B$42*P400)/'参数'!$J$7)*(1+'参数'!$B$37*('参数'!$B$38-1))</x:f>
        <x:v>52445.746688054394</x:v>
      </x:c>
      <x:c r="X400" s="25" t="n">
        <x:f>('参数'!$B$26+'参数'!$B$27*(D400-1)/99)*'参数'!$K$29*AD400</x:f>
        <x:v>25.341428571428573</x:v>
      </x:c>
      <x:c r="Y400" s="25" t="n">
        <x:f>('参数'!$B$28+'参数'!$B$29*(D400-1)/99)*'参数'!$K$29*AD400*IF(AE400=1,'参数'!$B$51,1)</x:f>
        <x:v>70.39285714285715</x:v>
      </x:c>
      <x:c r="Z400" s="21" t="n">
        <x:f>MIN('参数'!$B$36,U400/(U400+'参数'!$B$35))</x:f>
        <x:v>0.6117560486461108</x:v>
      </x:c>
      <x:c r="AA400" s="18" t="n">
        <x:f>T400*'参数'!$B$30/('参数'!$B$32*'参数'!$B$33)/(1-Z400)*AC400</x:f>
        <x:v>8981.601734932565</x:v>
      </x:c>
      <x:c r="AB400" s="18" t="n">
        <x:f>T400*'参数'!$B$31/'参数'!$B$34/(1-Z400)*AC400</x:f>
        <x:v>17963.20346986513</x:v>
      </x:c>
      <x:c r="AC400" s="15" t="n">
        <x:f>'参数'!$L$29*(1+'参数'!$B$53*(B400-1)/119)</x:f>
        <x:v>1.2274285714285715</x:v>
      </x:c>
      <x:c r="AD400" s="15" t="n">
        <x:f>1+'参数'!$B$52*(B400-1)/119</x:f>
        <x:v>1.042857142857143</x:v>
      </x:c>
      <x:c r="AE400" s="18" t="n">
        <x:f>IF(MOD(B400,12)=0,1,0)</x:f>
        <x:v>0</x:v>
      </x:c>
    </x:row>
    <x:row r="401" ht="22" customHeight="1">
      <x:c r="A401" s="19" t="str">
        <x:v>地狱</x:v>
      </x:c>
      <x:c r="B401" s="19" t="n">
        <x:v>36</x:v>
      </x:c>
      <x:c r="C401" s="19" t="n">
        <x:f>ROUNDUP(B401/12,0)</x:f>
        <x:v>3</x:v>
      </x:c>
      <x:c r="D401" s="19" t="n">
        <x:f>ROUND(MAX('参数'!$G$29,E401)+(IF(C401&lt;10,INDEX('参数'!$G$37:$P$37,1,MIN(10,C401+1)),'参数'!$H$29)-MAX('参数'!$G$29,E401))*MOD(B401-1,12)/11,0)</x:f>
        <x:v>100</x:v>
      </x:c>
      <x:c r="E401" s="19" t="n">
        <x:f>INDEX('参数'!$G$37:$P$37,1,C401)</x:f>
        <x:v>100</x:v>
      </x:c>
      <x:c r="F401" s="20" t="n">
        <x:f>'参数'!$I$29</x:f>
        <x:v>1.29</x:v>
      </x:c>
      <x:c r="G401" s="19" t="n">
        <x:f>ROUND(V401*X401/'参数'!$B$56,0)</x:f>
        <x:v>375477</x:v>
      </x:c>
      <x:c r="H401" s="19" t="n">
        <x:f>ROUND((AA401+SQRT(AA401^2+4*AA401*'参数'!$B$22*U401))/2,0)</x:f>
        <x:v>14033</x:v>
      </x:c>
      <x:c r="I401" s="19" t="n">
        <x:f>ROUND(Q401*'参数'!$B$23/'参数'!$B$22,0)</x:f>
        <x:v>2008</x:v>
      </x:c>
      <x:c r="J401" s="19" t="n">
        <x:f>ROUND(G401*'参数'!$B$50,0)</x:f>
        <x:v>1126431</x:v>
      </x:c>
      <x:c r="K401" s="19" t="n">
        <x:f>ROUND(W401*Y401,0)</x:f>
        <x:v>4250708</x:v>
      </x:c>
      <x:c r="L401" s="19" t="n">
        <x:f>ROUND((AB401+SQRT(AB401^2+4*AB401*'参数'!$B$22*U401))/2,0)</x:f>
        <x:v>23900</x:v>
      </x:c>
      <x:c r="M401" s="19" t="n">
        <x:f>ROUND(I401*'参数'!$B$24,0)</x:f>
        <x:v>2510</x:v>
      </x:c>
      <x:c r="N401" s="19" t="n">
        <x:f>'参数'!$B$9*'参数'!$B$10^(D401-1)</x:f>
        <x:v>11195.319600498813</x:v>
      </x:c>
      <x:c r="O401" s="19" t="n">
        <x:f>'参数'!$B$18*'参数'!$B$19^(MIN(E401,MAX(1,5*INT(D401/5)))-1)*F401*'参数'!$J$29*P401</x:f>
        <x:v>1897.6106812882254</x:v>
      </x:c>
      <x:c r="P401" s="22" t="n">
        <x:f>MIN(1,(D401-1)/19)</x:f>
        <x:v>1</x:v>
      </x:c>
      <x:c r="Q401" s="19" t="n">
        <x:f>INDEX('角色成长'!$F$6:$F$105,D401)+O401*'参数'!$K$21</x:f>
        <x:v>10042.190441671442</x:v>
      </x:c>
      <x:c r="R401" s="19" t="n">
        <x:f>INDEX('角色成长'!$I$6:$I$105,D401)+O401*'参数'!$K$21</x:f>
        <x:v>8744.190441671442</x:v>
      </x:c>
      <x:c r="S401" s="19" t="n">
        <x:f>INDEX('角色成长'!$L$6:$L$105,D401)+O401*'参数'!$K$21</x:f>
        <x:v>8003.190441671442</x:v>
      </x:c>
      <x:c r="T401" s="19" t="n">
        <x:f>(INDEX('角色成长'!$J$6:$J$105,D401)+O401*'参数'!$L$21)*(1+'参数'!$B$40*P401)</x:f>
        <x:v>113637.65283705847</x:v>
      </x:c>
      <x:c r="U401" s="19" t="n">
        <x:f>(INDEX('角色成长'!$K$6:$K$105,D401)+O401*'参数'!$M$21)*(1+'参数'!$B$41*P401)</x:f>
        <x:v>6302.800561479835</x:v>
      </x:c>
      <x:c r="V401" s="19" t="n">
        <x:f>(('参数'!$K$5*(((Q401*(1+'参数'!$B$39*P401))^2/((Q401*(1+'参数'!$B$39*P401))+'参数'!$B$22*(I401)))*(1+'参数'!$B$42*P401)/'参数'!$J$5+((Q401*'参数'!$B$43*(1+'参数'!$B$39*P401))^2/((Q401*'参数'!$B$43*(1+'参数'!$B$39*P401))+'参数'!$B$22*(I401)))/'参数'!$B$44))+(((R401*(1+'参数'!$B$39*P401))^2/((R401*(1+'参数'!$B$39*P401))+'参数'!$B$22*(I401)))*(1+'参数'!$B$42*P401)/'参数'!$J$6+((R401*'参数'!$B$45*(1+'参数'!$B$39*P401))^2/((R401*'参数'!$B$45*(1+'参数'!$B$39*P401))+'参数'!$B$22*(I401)))/'参数'!$B$46)+((S401*(1+'参数'!$B$39*P401))^2/((S401*(1+'参数'!$B$39*P401))+'参数'!$B$22*(I401)))*(1+'参数'!$B$42*P401)/'参数'!$J$7)*(1+'参数'!$B$37*('参数'!$B$38-1))*'参数'!$B$25</x:f>
        <x:v>68074.69622887956</x:v>
      </x:c>
      <x:c r="W401" s="19" t="n">
        <x:f>(('参数'!$K$5*(((Q401*(1+'参数'!$B$39*P401))^2/((Q401*(1+'参数'!$B$39*P401))+'参数'!$B$22*(M401)))*(1+'参数'!$B$42*P401)/'参数'!$J$5+((Q401*'参数'!$B$43*(1+'参数'!$B$39*P401))^2/((Q401*'参数'!$B$43*(1+'参数'!$B$39*P401))+'参数'!$B$22*(M401)))/'参数'!$B$44))+(((R401*(1+'参数'!$B$39*P401))^2/((R401*(1+'参数'!$B$39*P401))+'参数'!$B$22*(M401)))*(1+'参数'!$B$42*P401)/'参数'!$J$6+((R401*'参数'!$B$45*(1+'参数'!$B$39*P401))^2/((R401*'参数'!$B$45*(1+'参数'!$B$39*P401))+'参数'!$B$22*(M401)))/'参数'!$B$46)+((S401*(1+'参数'!$B$39*P401))^2/((S401*(1+'参数'!$B$39*P401))+'参数'!$B$22*(M401)))*(1+'参数'!$B$42*P401)/'参数'!$J$7)*(1+'参数'!$B$37*('参数'!$B$38-1))</x:f>
        <x:v>52445.746688054394</x:v>
      </x:c>
      <x:c r="X401" s="26" t="n">
        <x:f>('参数'!$B$26+'参数'!$B$27*(D401-1)/99)*'参数'!$K$29*AD401</x:f>
        <x:v>25.372058823529414</x:v>
      </x:c>
      <x:c r="Y401" s="26" t="n">
        <x:f>('参数'!$B$28+'参数'!$B$29*(D401-1)/99)*'参数'!$K$29*AD401*IF(AE401=1,'参数'!$B$51,1)</x:f>
        <x:v>81.04963235294117</x:v>
      </x:c>
      <x:c r="Z401" s="22" t="n">
        <x:f>MIN('参数'!$B$36,U401/(U401+'参数'!$B$35))</x:f>
        <x:v>0.6117560486461108</x:v>
      </x:c>
      <x:c r="AA401" s="19" t="n">
        <x:f>T401*'参数'!$B$30/('参数'!$B$32*'参数'!$B$33)/(1-Z401)*AC401</x:f>
        <x:v>8987.504857992</x:v>
      </x:c>
      <x:c r="AB401" s="19" t="n">
        <x:f>T401*'参数'!$B$31/'参数'!$B$34/(1-Z401)*AC401</x:f>
        <x:v>17975.009715984</x:v>
      </x:c>
      <x:c r="AC401" s="20" t="n">
        <x:f>'参数'!$L$29*(1+'参数'!$B$53*(B401-1)/119)</x:f>
        <x:v>1.2282352941176469</x:v>
      </x:c>
      <x:c r="AD401" s="20" t="n">
        <x:f>1+'参数'!$B$52*(B401-1)/119</x:f>
        <x:v>1.0441176470588236</x:v>
      </x:c>
      <x:c r="AE401" s="19" t="n">
        <x:f>IF(MOD(B401,12)=0,1,0)</x:f>
        <x:v>1</x:v>
      </x:c>
    </x:row>
    <x:row r="402" ht="22" customHeight="1">
      <x:c r="A402" s="18" t="str">
        <x:v>地狱</x:v>
      </x:c>
      <x:c r="B402" s="18" t="n">
        <x:v>37</x:v>
      </x:c>
      <x:c r="C402" s="18" t="n">
        <x:f>ROUNDUP(B402/12,0)</x:f>
        <x:v>4</x:v>
      </x:c>
      <x:c r="D402" s="18" t="n">
        <x:f>ROUND(MAX('参数'!$G$29,E402)+(IF(C402&lt;10,INDEX('参数'!$G$37:$P$37,1,MIN(10,C402+1)),'参数'!$H$29)-MAX('参数'!$G$29,E402))*MOD(B402-1,12)/11,0)</x:f>
        <x:v>100</x:v>
      </x:c>
      <x:c r="E402" s="18" t="n">
        <x:f>INDEX('参数'!$G$37:$P$37,1,C402)</x:f>
        <x:v>100</x:v>
      </x:c>
      <x:c r="F402" s="15" t="n">
        <x:f>'参数'!$I$29</x:f>
        <x:v>1.29</x:v>
      </x:c>
      <x:c r="G402" s="18" t="n">
        <x:f>ROUND(V402*X402/'参数'!$B$56,0)</x:f>
        <x:v>375931</x:v>
      </x:c>
      <x:c r="H402" s="18" t="n">
        <x:f>ROUND((AA402+SQRT(AA402^2+4*AA402*'参数'!$B$22*U402))/2,0)</x:f>
        <x:v>14040</x:v>
      </x:c>
      <x:c r="I402" s="18" t="n">
        <x:f>ROUND(Q402*'参数'!$B$23/'参数'!$B$22,0)</x:f>
        <x:v>2008</x:v>
      </x:c>
      <x:c r="J402" s="18" t="n">
        <x:f>ROUND(G402*'参数'!$B$50,0)</x:f>
        <x:v>1127793</x:v>
      </x:c>
      <x:c r="K402" s="18" t="n">
        <x:f>ROUND(W402*Y402,0)</x:f>
        <x:v>3700731</x:v>
      </x:c>
      <x:c r="L402" s="18" t="n">
        <x:f>ROUND((AB402+SQRT(AB402^2+4*AB402*'参数'!$B$22*U402))/2,0)</x:f>
        <x:v>23913</x:v>
      </x:c>
      <x:c r="M402" s="18" t="n">
        <x:f>ROUND(I402*'参数'!$B$24,0)</x:f>
        <x:v>2510</x:v>
      </x:c>
      <x:c r="N402" s="18" t="n">
        <x:f>'参数'!$B$9*'参数'!$B$10^(D402-1)</x:f>
        <x:v>11195.319600498813</x:v>
      </x:c>
      <x:c r="O402" s="18" t="n">
        <x:f>'参数'!$B$18*'参数'!$B$19^(MIN(E402,MAX(1,5*INT(D402/5)))-1)*F402*'参数'!$J$29*P402</x:f>
        <x:v>1897.6106812882254</x:v>
      </x:c>
      <x:c r="P402" s="21" t="n">
        <x:f>MIN(1,(D402-1)/19)</x:f>
        <x:v>1</x:v>
      </x:c>
      <x:c r="Q402" s="18" t="n">
        <x:f>INDEX('角色成长'!$F$6:$F$105,D402)+O402*'参数'!$K$21</x:f>
        <x:v>10042.190441671442</x:v>
      </x:c>
      <x:c r="R402" s="18" t="n">
        <x:f>INDEX('角色成长'!$I$6:$I$105,D402)+O402*'参数'!$K$21</x:f>
        <x:v>8744.190441671442</x:v>
      </x:c>
      <x:c r="S402" s="18" t="n">
        <x:f>INDEX('角色成长'!$L$6:$L$105,D402)+O402*'参数'!$K$21</x:f>
        <x:v>8003.190441671442</x:v>
      </x:c>
      <x:c r="T402" s="18" t="n">
        <x:f>(INDEX('角色成长'!$J$6:$J$105,D402)+O402*'参数'!$L$21)*(1+'参数'!$B$40*P402)</x:f>
        <x:v>113637.65283705847</x:v>
      </x:c>
      <x:c r="U402" s="18" t="n">
        <x:f>(INDEX('角色成长'!$K$6:$K$105,D402)+O402*'参数'!$M$21)*(1+'参数'!$B$41*P402)</x:f>
        <x:v>6302.800561479835</x:v>
      </x:c>
      <x:c r="V402" s="18" t="n">
        <x:f>(('参数'!$K$5*(((Q402*(1+'参数'!$B$39*P402))^2/((Q402*(1+'参数'!$B$39*P402))+'参数'!$B$22*(I402)))*(1+'参数'!$B$42*P402)/'参数'!$J$5+((Q402*'参数'!$B$43*(1+'参数'!$B$39*P402))^2/((Q402*'参数'!$B$43*(1+'参数'!$B$39*P402))+'参数'!$B$22*(I402)))/'参数'!$B$44))+(((R402*(1+'参数'!$B$39*P402))^2/((R402*(1+'参数'!$B$39*P402))+'参数'!$B$22*(I402)))*(1+'参数'!$B$42*P402)/'参数'!$J$6+((R402*'参数'!$B$45*(1+'参数'!$B$39*P402))^2/((R402*'参数'!$B$45*(1+'参数'!$B$39*P402))+'参数'!$B$22*(I402)))/'参数'!$B$46)+((S402*(1+'参数'!$B$39*P402))^2/((S402*(1+'参数'!$B$39*P402))+'参数'!$B$22*(I402)))*(1+'参数'!$B$42*P402)/'参数'!$J$7)*(1+'参数'!$B$37*('参数'!$B$38-1))*'参数'!$B$25</x:f>
        <x:v>68074.69622887956</x:v>
      </x:c>
      <x:c r="W402" s="18" t="n">
        <x:f>(('参数'!$K$5*(((Q402*(1+'参数'!$B$39*P402))^2/((Q402*(1+'参数'!$B$39*P402))+'参数'!$B$22*(M402)))*(1+'参数'!$B$42*P402)/'参数'!$J$5+((Q402*'参数'!$B$43*(1+'参数'!$B$39*P402))^2/((Q402*'参数'!$B$43*(1+'参数'!$B$39*P402))+'参数'!$B$22*(M402)))/'参数'!$B$44))+(((R402*(1+'参数'!$B$39*P402))^2/((R402*(1+'参数'!$B$39*P402))+'参数'!$B$22*(M402)))*(1+'参数'!$B$42*P402)/'参数'!$J$6+((R402*'参数'!$B$45*(1+'参数'!$B$39*P402))^2/((R402*'参数'!$B$45*(1+'参数'!$B$39*P402))+'参数'!$B$22*(M402)))/'参数'!$B$46)+((S402*(1+'参数'!$B$39*P402))^2/((S402*(1+'参数'!$B$39*P402))+'参数'!$B$22*(M402)))*(1+'参数'!$B$42*P402)/'参数'!$J$7)*(1+'参数'!$B$37*('参数'!$B$38-1))</x:f>
        <x:v>52445.746688054394</x:v>
      </x:c>
      <x:c r="X402" s="25" t="n">
        <x:f>('参数'!$B$26+'参数'!$B$27*(D402-1)/99)*'参数'!$K$29*AD402</x:f>
        <x:v>25.402689075630253</x:v>
      </x:c>
      <x:c r="Y402" s="25" t="n">
        <x:f>('参数'!$B$28+'参数'!$B$29*(D402-1)/99)*'参数'!$K$29*AD402*IF(AE402=1,'参数'!$B$51,1)</x:f>
        <x:v>70.56302521008404</x:v>
      </x:c>
      <x:c r="Z402" s="21" t="n">
        <x:f>MIN('参数'!$B$36,U402/(U402+'参数'!$B$35))</x:f>
        <x:v>0.6117560486461108</x:v>
      </x:c>
      <x:c r="AA402" s="18" t="n">
        <x:f>T402*'参数'!$B$30/('参数'!$B$32*'参数'!$B$33)/(1-Z402)*AC402</x:f>
        <x:v>8993.407981051438</x:v>
      </x:c>
      <x:c r="AB402" s="18" t="n">
        <x:f>T402*'参数'!$B$31/'参数'!$B$34/(1-Z402)*AC402</x:f>
        <x:v>17986.815962102875</x:v>
      </x:c>
      <x:c r="AC402" s="15" t="n">
        <x:f>'参数'!$L$29*(1+'参数'!$B$53*(B402-1)/119)</x:f>
        <x:v>1.2290420168067226</x:v>
      </x:c>
      <x:c r="AD402" s="15" t="n">
        <x:f>1+'参数'!$B$52*(B402-1)/119</x:f>
        <x:v>1.0453781512605043</x:v>
      </x:c>
      <x:c r="AE402" s="18" t="n">
        <x:f>IF(MOD(B402,12)=0,1,0)</x:f>
        <x:v>0</x:v>
      </x:c>
    </x:row>
    <x:row r="403" ht="22" customHeight="1">
      <x:c r="A403" s="19" t="str">
        <x:v>地狱</x:v>
      </x:c>
      <x:c r="B403" s="19" t="n">
        <x:v>38</x:v>
      </x:c>
      <x:c r="C403" s="19" t="n">
        <x:f>ROUNDUP(B403/12,0)</x:f>
        <x:v>4</x:v>
      </x:c>
      <x:c r="D403" s="19" t="n">
        <x:f>ROUND(MAX('参数'!$G$29,E403)+(IF(C403&lt;10,INDEX('参数'!$G$37:$P$37,1,MIN(10,C403+1)),'参数'!$H$29)-MAX('参数'!$G$29,E403))*MOD(B403-1,12)/11,0)</x:f>
        <x:v>100</x:v>
      </x:c>
      <x:c r="E403" s="19" t="n">
        <x:f>INDEX('参数'!$G$37:$P$37,1,C403)</x:f>
        <x:v>100</x:v>
      </x:c>
      <x:c r="F403" s="20" t="n">
        <x:f>'参数'!$I$29</x:f>
        <x:v>1.29</x:v>
      </x:c>
      <x:c r="G403" s="19" t="n">
        <x:f>ROUND(V403*X403/'参数'!$B$56,0)</x:f>
        <x:v>376384</x:v>
      </x:c>
      <x:c r="H403" s="19" t="n">
        <x:f>ROUND((AA403+SQRT(AA403^2+4*AA403*'参数'!$B$22*U403))/2,0)</x:f>
        <x:v>14047</x:v>
      </x:c>
      <x:c r="I403" s="19" t="n">
        <x:f>ROUND(Q403*'参数'!$B$23/'参数'!$B$22,0)</x:f>
        <x:v>2008</x:v>
      </x:c>
      <x:c r="J403" s="19" t="n">
        <x:f>ROUND(G403*'参数'!$B$50,0)</x:f>
        <x:v>1129152</x:v>
      </x:c>
      <x:c r="K403" s="19" t="n">
        <x:f>ROUND(W403*Y403,0)</x:f>
        <x:v>3705193</x:v>
      </x:c>
      <x:c r="L403" s="19" t="n">
        <x:f>ROUND((AB403+SQRT(AB403^2+4*AB403*'参数'!$B$22*U403))/2,0)</x:f>
        <x:v>23925</x:v>
      </x:c>
      <x:c r="M403" s="19" t="n">
        <x:f>ROUND(I403*'参数'!$B$24,0)</x:f>
        <x:v>2510</x:v>
      </x:c>
      <x:c r="N403" s="19" t="n">
        <x:f>'参数'!$B$9*'参数'!$B$10^(D403-1)</x:f>
        <x:v>11195.319600498813</x:v>
      </x:c>
      <x:c r="O403" s="19" t="n">
        <x:f>'参数'!$B$18*'参数'!$B$19^(MIN(E403,MAX(1,5*INT(D403/5)))-1)*F403*'参数'!$J$29*P403</x:f>
        <x:v>1897.6106812882254</x:v>
      </x:c>
      <x:c r="P403" s="22" t="n">
        <x:f>MIN(1,(D403-1)/19)</x:f>
        <x:v>1</x:v>
      </x:c>
      <x:c r="Q403" s="19" t="n">
        <x:f>INDEX('角色成长'!$F$6:$F$105,D403)+O403*'参数'!$K$21</x:f>
        <x:v>10042.190441671442</x:v>
      </x:c>
      <x:c r="R403" s="19" t="n">
        <x:f>INDEX('角色成长'!$I$6:$I$105,D403)+O403*'参数'!$K$21</x:f>
        <x:v>8744.190441671442</x:v>
      </x:c>
      <x:c r="S403" s="19" t="n">
        <x:f>INDEX('角色成长'!$L$6:$L$105,D403)+O403*'参数'!$K$21</x:f>
        <x:v>8003.190441671442</x:v>
      </x:c>
      <x:c r="T403" s="19" t="n">
        <x:f>(INDEX('角色成长'!$J$6:$J$105,D403)+O403*'参数'!$L$21)*(1+'参数'!$B$40*P403)</x:f>
        <x:v>113637.65283705847</x:v>
      </x:c>
      <x:c r="U403" s="19" t="n">
        <x:f>(INDEX('角色成长'!$K$6:$K$105,D403)+O403*'参数'!$M$21)*(1+'参数'!$B$41*P403)</x:f>
        <x:v>6302.800561479835</x:v>
      </x:c>
      <x:c r="V403" s="19" t="n">
        <x:f>(('参数'!$K$5*(((Q403*(1+'参数'!$B$39*P403))^2/((Q403*(1+'参数'!$B$39*P403))+'参数'!$B$22*(I403)))*(1+'参数'!$B$42*P403)/'参数'!$J$5+((Q403*'参数'!$B$43*(1+'参数'!$B$39*P403))^2/((Q403*'参数'!$B$43*(1+'参数'!$B$39*P403))+'参数'!$B$22*(I403)))/'参数'!$B$44))+(((R403*(1+'参数'!$B$39*P403))^2/((R403*(1+'参数'!$B$39*P403))+'参数'!$B$22*(I403)))*(1+'参数'!$B$42*P403)/'参数'!$J$6+((R403*'参数'!$B$45*(1+'参数'!$B$39*P403))^2/((R403*'参数'!$B$45*(1+'参数'!$B$39*P403))+'参数'!$B$22*(I403)))/'参数'!$B$46)+((S403*(1+'参数'!$B$39*P403))^2/((S403*(1+'参数'!$B$39*P403))+'参数'!$B$22*(I403)))*(1+'参数'!$B$42*P403)/'参数'!$J$7)*(1+'参数'!$B$37*('参数'!$B$38-1))*'参数'!$B$25</x:f>
        <x:v>68074.69622887956</x:v>
      </x:c>
      <x:c r="W403" s="19" t="n">
        <x:f>(('参数'!$K$5*(((Q403*(1+'参数'!$B$39*P403))^2/((Q403*(1+'参数'!$B$39*P403))+'参数'!$B$22*(M403)))*(1+'参数'!$B$42*P403)/'参数'!$J$5+((Q403*'参数'!$B$43*(1+'参数'!$B$39*P403))^2/((Q403*'参数'!$B$43*(1+'参数'!$B$39*P403))+'参数'!$B$22*(M403)))/'参数'!$B$44))+(((R403*(1+'参数'!$B$39*P403))^2/((R403*(1+'参数'!$B$39*P403))+'参数'!$B$22*(M403)))*(1+'参数'!$B$42*P403)/'参数'!$J$6+((R403*'参数'!$B$45*(1+'参数'!$B$39*P403))^2/((R403*'参数'!$B$45*(1+'参数'!$B$39*P403))+'参数'!$B$22*(M403)))/'参数'!$B$46)+((S403*(1+'参数'!$B$39*P403))^2/((S403*(1+'参数'!$B$39*P403))+'参数'!$B$22*(M403)))*(1+'参数'!$B$42*P403)/'参数'!$J$7)*(1+'参数'!$B$37*('参数'!$B$38-1))</x:f>
        <x:v>52445.746688054394</x:v>
      </x:c>
      <x:c r="X403" s="26" t="n">
        <x:f>('参数'!$B$26+'参数'!$B$27*(D403-1)/99)*'参数'!$K$29*AD403</x:f>
        <x:v>25.433319327731095</x:v>
      </x:c>
      <x:c r="Y403" s="26" t="n">
        <x:f>('参数'!$B$28+'参数'!$B$29*(D403-1)/99)*'参数'!$K$29*AD403*IF(AE403=1,'参数'!$B$51,1)</x:f>
        <x:v>70.64810924369748</x:v>
      </x:c>
      <x:c r="Z403" s="22" t="n">
        <x:f>MIN('参数'!$B$36,U403/(U403+'参数'!$B$35))</x:f>
        <x:v>0.6117560486461108</x:v>
      </x:c>
      <x:c r="AA403" s="19" t="n">
        <x:f>T403*'参数'!$B$30/('参数'!$B$32*'参数'!$B$33)/(1-Z403)*AC403</x:f>
        <x:v>8999.311104110875</x:v>
      </x:c>
      <x:c r="AB403" s="19" t="n">
        <x:f>T403*'参数'!$B$31/'参数'!$B$34/(1-Z403)*AC403</x:f>
        <x:v>17998.62220822175</x:v>
      </x:c>
      <x:c r="AC403" s="20" t="n">
        <x:f>'参数'!$L$29*(1+'参数'!$B$53*(B403-1)/119)</x:f>
        <x:v>1.2298487394957984</x:v>
      </x:c>
      <x:c r="AD403" s="20" t="n">
        <x:f>1+'参数'!$B$52*(B403-1)/119</x:f>
        <x:v>1.046638655462185</x:v>
      </x:c>
      <x:c r="AE403" s="19" t="n">
        <x:f>IF(MOD(B403,12)=0,1,0)</x:f>
        <x:v>0</x:v>
      </x:c>
    </x:row>
    <x:row r="404" ht="22" customHeight="1">
      <x:c r="A404" s="18" t="str">
        <x:v>地狱</x:v>
      </x:c>
      <x:c r="B404" s="18" t="n">
        <x:v>39</x:v>
      </x:c>
      <x:c r="C404" s="18" t="n">
        <x:f>ROUNDUP(B404/12,0)</x:f>
        <x:v>4</x:v>
      </x:c>
      <x:c r="D404" s="18" t="n">
        <x:f>ROUND(MAX('参数'!$G$29,E404)+(IF(C404&lt;10,INDEX('参数'!$G$37:$P$37,1,MIN(10,C404+1)),'参数'!$H$29)-MAX('参数'!$G$29,E404))*MOD(B404-1,12)/11,0)</x:f>
        <x:v>100</x:v>
      </x:c>
      <x:c r="E404" s="18" t="n">
        <x:f>INDEX('参数'!$G$37:$P$37,1,C404)</x:f>
        <x:v>100</x:v>
      </x:c>
      <x:c r="F404" s="15" t="n">
        <x:f>'参数'!$I$29</x:f>
        <x:v>1.29</x:v>
      </x:c>
      <x:c r="G404" s="18" t="n">
        <x:f>ROUND(V404*X404/'参数'!$B$56,0)</x:f>
        <x:v>376837</x:v>
      </x:c>
      <x:c r="H404" s="18" t="n">
        <x:f>ROUND((AA404+SQRT(AA404^2+4*AA404*'参数'!$B$22*U404))/2,0)</x:f>
        <x:v>14054</x:v>
      </x:c>
      <x:c r="I404" s="18" t="n">
        <x:f>ROUND(Q404*'参数'!$B$23/'参数'!$B$22,0)</x:f>
        <x:v>2008</x:v>
      </x:c>
      <x:c r="J404" s="18" t="n">
        <x:f>ROUND(G404*'参数'!$B$50,0)</x:f>
        <x:v>1130511</x:v>
      </x:c>
      <x:c r="K404" s="18" t="n">
        <x:f>ROUND(W404*Y404,0)</x:f>
        <x:v>3709655</x:v>
      </x:c>
      <x:c r="L404" s="18" t="n">
        <x:f>ROUND((AB404+SQRT(AB404^2+4*AB404*'参数'!$B$22*U404))/2,0)</x:f>
        <x:v>23938</x:v>
      </x:c>
      <x:c r="M404" s="18" t="n">
        <x:f>ROUND(I404*'参数'!$B$24,0)</x:f>
        <x:v>2510</x:v>
      </x:c>
      <x:c r="N404" s="18" t="n">
        <x:f>'参数'!$B$9*'参数'!$B$10^(D404-1)</x:f>
        <x:v>11195.319600498813</x:v>
      </x:c>
      <x:c r="O404" s="18" t="n">
        <x:f>'参数'!$B$18*'参数'!$B$19^(MIN(E404,MAX(1,5*INT(D404/5)))-1)*F404*'参数'!$J$29*P404</x:f>
        <x:v>1897.6106812882254</x:v>
      </x:c>
      <x:c r="P404" s="21" t="n">
        <x:f>MIN(1,(D404-1)/19)</x:f>
        <x:v>1</x:v>
      </x:c>
      <x:c r="Q404" s="18" t="n">
        <x:f>INDEX('角色成长'!$F$6:$F$105,D404)+O404*'参数'!$K$21</x:f>
        <x:v>10042.190441671442</x:v>
      </x:c>
      <x:c r="R404" s="18" t="n">
        <x:f>INDEX('角色成长'!$I$6:$I$105,D404)+O404*'参数'!$K$21</x:f>
        <x:v>8744.190441671442</x:v>
      </x:c>
      <x:c r="S404" s="18" t="n">
        <x:f>INDEX('角色成长'!$L$6:$L$105,D404)+O404*'参数'!$K$21</x:f>
        <x:v>8003.190441671442</x:v>
      </x:c>
      <x:c r="T404" s="18" t="n">
        <x:f>(INDEX('角色成长'!$J$6:$J$105,D404)+O404*'参数'!$L$21)*(1+'参数'!$B$40*P404)</x:f>
        <x:v>113637.65283705847</x:v>
      </x:c>
      <x:c r="U404" s="18" t="n">
        <x:f>(INDEX('角色成长'!$K$6:$K$105,D404)+O404*'参数'!$M$21)*(1+'参数'!$B$41*P404)</x:f>
        <x:v>6302.800561479835</x:v>
      </x:c>
      <x:c r="V404" s="18" t="n">
        <x:f>(('参数'!$K$5*(((Q404*(1+'参数'!$B$39*P404))^2/((Q404*(1+'参数'!$B$39*P404))+'参数'!$B$22*(I404)))*(1+'参数'!$B$42*P404)/'参数'!$J$5+((Q404*'参数'!$B$43*(1+'参数'!$B$39*P404))^2/((Q404*'参数'!$B$43*(1+'参数'!$B$39*P404))+'参数'!$B$22*(I404)))/'参数'!$B$44))+(((R404*(1+'参数'!$B$39*P404))^2/((R404*(1+'参数'!$B$39*P404))+'参数'!$B$22*(I404)))*(1+'参数'!$B$42*P404)/'参数'!$J$6+((R404*'参数'!$B$45*(1+'参数'!$B$39*P404))^2/((R404*'参数'!$B$45*(1+'参数'!$B$39*P404))+'参数'!$B$22*(I404)))/'参数'!$B$46)+((S404*(1+'参数'!$B$39*P404))^2/((S404*(1+'参数'!$B$39*P404))+'参数'!$B$22*(I404)))*(1+'参数'!$B$42*P404)/'参数'!$J$7)*(1+'参数'!$B$37*('参数'!$B$38-1))*'参数'!$B$25</x:f>
        <x:v>68074.69622887956</x:v>
      </x:c>
      <x:c r="W404" s="18" t="n">
        <x:f>(('参数'!$K$5*(((Q404*(1+'参数'!$B$39*P404))^2/((Q404*(1+'参数'!$B$39*P404))+'参数'!$B$22*(M404)))*(1+'参数'!$B$42*P404)/'参数'!$J$5+((Q404*'参数'!$B$43*(1+'参数'!$B$39*P404))^2/((Q404*'参数'!$B$43*(1+'参数'!$B$39*P404))+'参数'!$B$22*(M404)))/'参数'!$B$44))+(((R404*(1+'参数'!$B$39*P404))^2/((R404*(1+'参数'!$B$39*P404))+'参数'!$B$22*(M404)))*(1+'参数'!$B$42*P404)/'参数'!$J$6+((R404*'参数'!$B$45*(1+'参数'!$B$39*P404))^2/((R404*'参数'!$B$45*(1+'参数'!$B$39*P404))+'参数'!$B$22*(M404)))/'参数'!$B$46)+((S404*(1+'参数'!$B$39*P404))^2/((S404*(1+'参数'!$B$39*P404))+'参数'!$B$22*(M404)))*(1+'参数'!$B$42*P404)/'参数'!$J$7)*(1+'参数'!$B$37*('参数'!$B$38-1))</x:f>
        <x:v>52445.746688054394</x:v>
      </x:c>
      <x:c r="X404" s="25" t="n">
        <x:f>('参数'!$B$26+'参数'!$B$27*(D404-1)/99)*'参数'!$K$29*AD404</x:f>
        <x:v>25.463949579831933</x:v>
      </x:c>
      <x:c r="Y404" s="25" t="n">
        <x:f>('参数'!$B$28+'参数'!$B$29*(D404-1)/99)*'参数'!$K$29*AD404*IF(AE404=1,'参数'!$B$51,1)</x:f>
        <x:v>70.73319327731093</x:v>
      </x:c>
      <x:c r="Z404" s="21" t="n">
        <x:f>MIN('参数'!$B$36,U404/(U404+'参数'!$B$35))</x:f>
        <x:v>0.6117560486461108</x:v>
      </x:c>
      <x:c r="AA404" s="18" t="n">
        <x:f>T404*'参数'!$B$30/('参数'!$B$32*'参数'!$B$33)/(1-Z404)*AC404</x:f>
        <x:v>9005.214227170309</x:v>
      </x:c>
      <x:c r="AB404" s="18" t="n">
        <x:f>T404*'参数'!$B$31/'参数'!$B$34/(1-Z404)*AC404</x:f>
        <x:v>18010.428454340617</x:v>
      </x:c>
      <x:c r="AC404" s="15" t="n">
        <x:f>'参数'!$L$29*(1+'参数'!$B$53*(B404-1)/119)</x:f>
        <x:v>1.2306554621848738</x:v>
      </x:c>
      <x:c r="AD404" s="15" t="n">
        <x:f>1+'参数'!$B$52*(B404-1)/119</x:f>
        <x:v>1.0478991596638656</x:v>
      </x:c>
      <x:c r="AE404" s="18" t="n">
        <x:f>IF(MOD(B404,12)=0,1,0)</x:f>
        <x:v>0</x:v>
      </x:c>
    </x:row>
    <x:row r="405" ht="22" customHeight="1">
      <x:c r="A405" s="19" t="str">
        <x:v>地狱</x:v>
      </x:c>
      <x:c r="B405" s="19" t="n">
        <x:v>40</x:v>
      </x:c>
      <x:c r="C405" s="19" t="n">
        <x:f>ROUNDUP(B405/12,0)</x:f>
        <x:v>4</x:v>
      </x:c>
      <x:c r="D405" s="19" t="n">
        <x:f>ROUND(MAX('参数'!$G$29,E405)+(IF(C405&lt;10,INDEX('参数'!$G$37:$P$37,1,MIN(10,C405+1)),'参数'!$H$29)-MAX('参数'!$G$29,E405))*MOD(B405-1,12)/11,0)</x:f>
        <x:v>100</x:v>
      </x:c>
      <x:c r="E405" s="19" t="n">
        <x:f>INDEX('参数'!$G$37:$P$37,1,C405)</x:f>
        <x:v>100</x:v>
      </x:c>
      <x:c r="F405" s="20" t="n">
        <x:f>'参数'!$I$29</x:f>
        <x:v>1.29</x:v>
      </x:c>
      <x:c r="G405" s="19" t="n">
        <x:f>ROUND(V405*X405/'参数'!$B$56,0)</x:f>
        <x:v>377290</x:v>
      </x:c>
      <x:c r="H405" s="19" t="n">
        <x:f>ROUND((AA405+SQRT(AA405^2+4*AA405*'参数'!$B$22*U405))/2,0)</x:f>
        <x:v>14060</x:v>
      </x:c>
      <x:c r="I405" s="19" t="n">
        <x:f>ROUND(Q405*'参数'!$B$23/'参数'!$B$22,0)</x:f>
        <x:v>2008</x:v>
      </x:c>
      <x:c r="J405" s="19" t="n">
        <x:f>ROUND(G405*'参数'!$B$50,0)</x:f>
        <x:v>1131870</x:v>
      </x:c>
      <x:c r="K405" s="19" t="n">
        <x:f>ROUND(W405*Y405,0)</x:f>
        <x:v>3714117</x:v>
      </x:c>
      <x:c r="L405" s="19" t="n">
        <x:f>ROUND((AB405+SQRT(AB405^2+4*AB405*'参数'!$B$22*U405))/2,0)</x:f>
        <x:v>23951</x:v>
      </x:c>
      <x:c r="M405" s="19" t="n">
        <x:f>ROUND(I405*'参数'!$B$24,0)</x:f>
        <x:v>2510</x:v>
      </x:c>
      <x:c r="N405" s="19" t="n">
        <x:f>'参数'!$B$9*'参数'!$B$10^(D405-1)</x:f>
        <x:v>11195.319600498813</x:v>
      </x:c>
      <x:c r="O405" s="19" t="n">
        <x:f>'参数'!$B$18*'参数'!$B$19^(MIN(E405,MAX(1,5*INT(D405/5)))-1)*F405*'参数'!$J$29*P405</x:f>
        <x:v>1897.6106812882254</x:v>
      </x:c>
      <x:c r="P405" s="22" t="n">
        <x:f>MIN(1,(D405-1)/19)</x:f>
        <x:v>1</x:v>
      </x:c>
      <x:c r="Q405" s="19" t="n">
        <x:f>INDEX('角色成长'!$F$6:$F$105,D405)+O405*'参数'!$K$21</x:f>
        <x:v>10042.190441671442</x:v>
      </x:c>
      <x:c r="R405" s="19" t="n">
        <x:f>INDEX('角色成长'!$I$6:$I$105,D405)+O405*'参数'!$K$21</x:f>
        <x:v>8744.190441671442</x:v>
      </x:c>
      <x:c r="S405" s="19" t="n">
        <x:f>INDEX('角色成长'!$L$6:$L$105,D405)+O405*'参数'!$K$21</x:f>
        <x:v>8003.190441671442</x:v>
      </x:c>
      <x:c r="T405" s="19" t="n">
        <x:f>(INDEX('角色成长'!$J$6:$J$105,D405)+O405*'参数'!$L$21)*(1+'参数'!$B$40*P405)</x:f>
        <x:v>113637.65283705847</x:v>
      </x:c>
      <x:c r="U405" s="19" t="n">
        <x:f>(INDEX('角色成长'!$K$6:$K$105,D405)+O405*'参数'!$M$21)*(1+'参数'!$B$41*P405)</x:f>
        <x:v>6302.800561479835</x:v>
      </x:c>
      <x:c r="V405" s="19" t="n">
        <x:f>(('参数'!$K$5*(((Q405*(1+'参数'!$B$39*P405))^2/((Q405*(1+'参数'!$B$39*P405))+'参数'!$B$22*(I405)))*(1+'参数'!$B$42*P405)/'参数'!$J$5+((Q405*'参数'!$B$43*(1+'参数'!$B$39*P405))^2/((Q405*'参数'!$B$43*(1+'参数'!$B$39*P405))+'参数'!$B$22*(I405)))/'参数'!$B$44))+(((R405*(1+'参数'!$B$39*P405))^2/((R405*(1+'参数'!$B$39*P405))+'参数'!$B$22*(I405)))*(1+'参数'!$B$42*P405)/'参数'!$J$6+((R405*'参数'!$B$45*(1+'参数'!$B$39*P405))^2/((R405*'参数'!$B$45*(1+'参数'!$B$39*P405))+'参数'!$B$22*(I405)))/'参数'!$B$46)+((S405*(1+'参数'!$B$39*P405))^2/((S405*(1+'参数'!$B$39*P405))+'参数'!$B$22*(I405)))*(1+'参数'!$B$42*P405)/'参数'!$J$7)*(1+'参数'!$B$37*('参数'!$B$38-1))*'参数'!$B$25</x:f>
        <x:v>68074.69622887956</x:v>
      </x:c>
      <x:c r="W405" s="19" t="n">
        <x:f>(('参数'!$K$5*(((Q405*(1+'参数'!$B$39*P405))^2/((Q405*(1+'参数'!$B$39*P405))+'参数'!$B$22*(M405)))*(1+'参数'!$B$42*P405)/'参数'!$J$5+((Q405*'参数'!$B$43*(1+'参数'!$B$39*P405))^2/((Q405*'参数'!$B$43*(1+'参数'!$B$39*P405))+'参数'!$B$22*(M405)))/'参数'!$B$44))+(((R405*(1+'参数'!$B$39*P405))^2/((R405*(1+'参数'!$B$39*P405))+'参数'!$B$22*(M405)))*(1+'参数'!$B$42*P405)/'参数'!$J$6+((R405*'参数'!$B$45*(1+'参数'!$B$39*P405))^2/((R405*'参数'!$B$45*(1+'参数'!$B$39*P405))+'参数'!$B$22*(M405)))/'参数'!$B$46)+((S405*(1+'参数'!$B$39*P405))^2/((S405*(1+'参数'!$B$39*P405))+'参数'!$B$22*(M405)))*(1+'参数'!$B$42*P405)/'参数'!$J$7)*(1+'参数'!$B$37*('参数'!$B$38-1))</x:f>
        <x:v>52445.746688054394</x:v>
      </x:c>
      <x:c r="X405" s="26" t="n">
        <x:f>('参数'!$B$26+'参数'!$B$27*(D405-1)/99)*'参数'!$K$29*AD405</x:f>
        <x:v>25.494579831932775</x:v>
      </x:c>
      <x:c r="Y405" s="26" t="n">
        <x:f>('参数'!$B$28+'参数'!$B$29*(D405-1)/99)*'参数'!$K$29*AD405*IF(AE405=1,'参数'!$B$51,1)</x:f>
        <x:v>70.81827731092437</x:v>
      </x:c>
      <x:c r="Z405" s="22" t="n">
        <x:f>MIN('参数'!$B$36,U405/(U405+'参数'!$B$35))</x:f>
        <x:v>0.6117560486461108</x:v>
      </x:c>
      <x:c r="AA405" s="19" t="n">
        <x:f>T405*'参数'!$B$30/('参数'!$B$32*'参数'!$B$33)/(1-Z405)*AC405</x:f>
        <x:v>9011.117350229746</x:v>
      </x:c>
      <x:c r="AB405" s="19" t="n">
        <x:f>T405*'参数'!$B$31/'参数'!$B$34/(1-Z405)*AC405</x:f>
        <x:v>18022.234700459492</x:v>
      </x:c>
      <x:c r="AC405" s="20" t="n">
        <x:f>'参数'!$L$29*(1+'参数'!$B$53*(B405-1)/119)</x:f>
        <x:v>1.2314621848739495</x:v>
      </x:c>
      <x:c r="AD405" s="20" t="n">
        <x:f>1+'参数'!$B$52*(B405-1)/119</x:f>
        <x:v>1.0491596638655463</x:v>
      </x:c>
      <x:c r="AE405" s="19" t="n">
        <x:f>IF(MOD(B405,12)=0,1,0)</x:f>
        <x:v>0</x:v>
      </x:c>
    </x:row>
    <x:row r="406" ht="22" customHeight="1">
      <x:c r="A406" s="18" t="str">
        <x:v>地狱</x:v>
      </x:c>
      <x:c r="B406" s="18" t="n">
        <x:v>41</x:v>
      </x:c>
      <x:c r="C406" s="18" t="n">
        <x:f>ROUNDUP(B406/12,0)</x:f>
        <x:v>4</x:v>
      </x:c>
      <x:c r="D406" s="18" t="n">
        <x:f>ROUND(MAX('参数'!$G$29,E406)+(IF(C406&lt;10,INDEX('参数'!$G$37:$P$37,1,MIN(10,C406+1)),'参数'!$H$29)-MAX('参数'!$G$29,E406))*MOD(B406-1,12)/11,0)</x:f>
        <x:v>100</x:v>
      </x:c>
      <x:c r="E406" s="18" t="n">
        <x:f>INDEX('参数'!$G$37:$P$37,1,C406)</x:f>
        <x:v>100</x:v>
      </x:c>
      <x:c r="F406" s="15" t="n">
        <x:f>'参数'!$I$29</x:f>
        <x:v>1.29</x:v>
      </x:c>
      <x:c r="G406" s="18" t="n">
        <x:f>ROUND(V406*X406/'参数'!$B$56,0)</x:f>
        <x:v>377744</x:v>
      </x:c>
      <x:c r="H406" s="18" t="n">
        <x:f>ROUND((AA406+SQRT(AA406^2+4*AA406*'参数'!$B$22*U406))/2,0)</x:f>
        <x:v>14067</x:v>
      </x:c>
      <x:c r="I406" s="18" t="n">
        <x:f>ROUND(Q406*'参数'!$B$23/'参数'!$B$22,0)</x:f>
        <x:v>2008</x:v>
      </x:c>
      <x:c r="J406" s="18" t="n">
        <x:f>ROUND(G406*'参数'!$B$50,0)</x:f>
        <x:v>1133232</x:v>
      </x:c>
      <x:c r="K406" s="18" t="n">
        <x:f>ROUND(W406*Y406,0)</x:f>
        <x:v>3718580</x:v>
      </x:c>
      <x:c r="L406" s="18" t="n">
        <x:f>ROUND((AB406+SQRT(AB406^2+4*AB406*'参数'!$B$22*U406))/2,0)</x:f>
        <x:v>23963</x:v>
      </x:c>
      <x:c r="M406" s="18" t="n">
        <x:f>ROUND(I406*'参数'!$B$24,0)</x:f>
        <x:v>2510</x:v>
      </x:c>
      <x:c r="N406" s="18" t="n">
        <x:f>'参数'!$B$9*'参数'!$B$10^(D406-1)</x:f>
        <x:v>11195.319600498813</x:v>
      </x:c>
      <x:c r="O406" s="18" t="n">
        <x:f>'参数'!$B$18*'参数'!$B$19^(MIN(E406,MAX(1,5*INT(D406/5)))-1)*F406*'参数'!$J$29*P406</x:f>
        <x:v>1897.6106812882254</x:v>
      </x:c>
      <x:c r="P406" s="21" t="n">
        <x:f>MIN(1,(D406-1)/19)</x:f>
        <x:v>1</x:v>
      </x:c>
      <x:c r="Q406" s="18" t="n">
        <x:f>INDEX('角色成长'!$F$6:$F$105,D406)+O406*'参数'!$K$21</x:f>
        <x:v>10042.190441671442</x:v>
      </x:c>
      <x:c r="R406" s="18" t="n">
        <x:f>INDEX('角色成长'!$I$6:$I$105,D406)+O406*'参数'!$K$21</x:f>
        <x:v>8744.190441671442</x:v>
      </x:c>
      <x:c r="S406" s="18" t="n">
        <x:f>INDEX('角色成长'!$L$6:$L$105,D406)+O406*'参数'!$K$21</x:f>
        <x:v>8003.190441671442</x:v>
      </x:c>
      <x:c r="T406" s="18" t="n">
        <x:f>(INDEX('角色成长'!$J$6:$J$105,D406)+O406*'参数'!$L$21)*(1+'参数'!$B$40*P406)</x:f>
        <x:v>113637.65283705847</x:v>
      </x:c>
      <x:c r="U406" s="18" t="n">
        <x:f>(INDEX('角色成长'!$K$6:$K$105,D406)+O406*'参数'!$M$21)*(1+'参数'!$B$41*P406)</x:f>
        <x:v>6302.800561479835</x:v>
      </x:c>
      <x:c r="V406" s="18" t="n">
        <x:f>(('参数'!$K$5*(((Q406*(1+'参数'!$B$39*P406))^2/((Q406*(1+'参数'!$B$39*P406))+'参数'!$B$22*(I406)))*(1+'参数'!$B$42*P406)/'参数'!$J$5+((Q406*'参数'!$B$43*(1+'参数'!$B$39*P406))^2/((Q406*'参数'!$B$43*(1+'参数'!$B$39*P406))+'参数'!$B$22*(I406)))/'参数'!$B$44))+(((R406*(1+'参数'!$B$39*P406))^2/((R406*(1+'参数'!$B$39*P406))+'参数'!$B$22*(I406)))*(1+'参数'!$B$42*P406)/'参数'!$J$6+((R406*'参数'!$B$45*(1+'参数'!$B$39*P406))^2/((R406*'参数'!$B$45*(1+'参数'!$B$39*P406))+'参数'!$B$22*(I406)))/'参数'!$B$46)+((S406*(1+'参数'!$B$39*P406))^2/((S406*(1+'参数'!$B$39*P406))+'参数'!$B$22*(I406)))*(1+'参数'!$B$42*P406)/'参数'!$J$7)*(1+'参数'!$B$37*('参数'!$B$38-1))*'参数'!$B$25</x:f>
        <x:v>68074.69622887956</x:v>
      </x:c>
      <x:c r="W406" s="18" t="n">
        <x:f>(('参数'!$K$5*(((Q406*(1+'参数'!$B$39*P406))^2/((Q406*(1+'参数'!$B$39*P406))+'参数'!$B$22*(M406)))*(1+'参数'!$B$42*P406)/'参数'!$J$5+((Q406*'参数'!$B$43*(1+'参数'!$B$39*P406))^2/((Q406*'参数'!$B$43*(1+'参数'!$B$39*P406))+'参数'!$B$22*(M406)))/'参数'!$B$44))+(((R406*(1+'参数'!$B$39*P406))^2/((R406*(1+'参数'!$B$39*P406))+'参数'!$B$22*(M406)))*(1+'参数'!$B$42*P406)/'参数'!$J$6+((R406*'参数'!$B$45*(1+'参数'!$B$39*P406))^2/((R406*'参数'!$B$45*(1+'参数'!$B$39*P406))+'参数'!$B$22*(M406)))/'参数'!$B$46)+((S406*(1+'参数'!$B$39*P406))^2/((S406*(1+'参数'!$B$39*P406))+'参数'!$B$22*(M406)))*(1+'参数'!$B$42*P406)/'参数'!$J$7)*(1+'参数'!$B$37*('参数'!$B$38-1))</x:f>
        <x:v>52445.746688054394</x:v>
      </x:c>
      <x:c r="X406" s="25" t="n">
        <x:f>('参数'!$B$26+'参数'!$B$27*(D406-1)/99)*'参数'!$K$29*AD406</x:f>
        <x:v>25.525210084033617</x:v>
      </x:c>
      <x:c r="Y406" s="25" t="n">
        <x:f>('参数'!$B$28+'参数'!$B$29*(D406-1)/99)*'参数'!$K$29*AD406*IF(AE406=1,'参数'!$B$51,1)</x:f>
        <x:v>70.90336134453781</x:v>
      </x:c>
      <x:c r="Z406" s="21" t="n">
        <x:f>MIN('参数'!$B$36,U406/(U406+'参数'!$B$35))</x:f>
        <x:v>0.6117560486461108</x:v>
      </x:c>
      <x:c r="AA406" s="18" t="n">
        <x:f>T406*'参数'!$B$30/('参数'!$B$32*'参数'!$B$33)/(1-Z406)*AC406</x:f>
        <x:v>9017.020473289182</x:v>
      </x:c>
      <x:c r="AB406" s="18" t="n">
        <x:f>T406*'参数'!$B$31/'参数'!$B$34/(1-Z406)*AC406</x:f>
        <x:v>18034.040946578363</x:v>
      </x:c>
      <x:c r="AC406" s="15" t="n">
        <x:f>'参数'!$L$29*(1+'参数'!$B$53*(B406-1)/119)</x:f>
        <x:v>1.232268907563025</x:v>
      </x:c>
      <x:c r="AD406" s="15" t="n">
        <x:f>1+'参数'!$B$52*(B406-1)/119</x:f>
        <x:v>1.050420168067227</x:v>
      </x:c>
      <x:c r="AE406" s="18" t="n">
        <x:f>IF(MOD(B406,12)=0,1,0)</x:f>
        <x:v>0</x:v>
      </x:c>
    </x:row>
    <x:row r="407" ht="22" customHeight="1">
      <x:c r="A407" s="19" t="str">
        <x:v>地狱</x:v>
      </x:c>
      <x:c r="B407" s="19" t="n">
        <x:v>42</x:v>
      </x:c>
      <x:c r="C407" s="19" t="n">
        <x:f>ROUNDUP(B407/12,0)</x:f>
        <x:v>4</x:v>
      </x:c>
      <x:c r="D407" s="19" t="n">
        <x:f>ROUND(MAX('参数'!$G$29,E407)+(IF(C407&lt;10,INDEX('参数'!$G$37:$P$37,1,MIN(10,C407+1)),'参数'!$H$29)-MAX('参数'!$G$29,E407))*MOD(B407-1,12)/11,0)</x:f>
        <x:v>100</x:v>
      </x:c>
      <x:c r="E407" s="19" t="n">
        <x:f>INDEX('参数'!$G$37:$P$37,1,C407)</x:f>
        <x:v>100</x:v>
      </x:c>
      <x:c r="F407" s="20" t="n">
        <x:f>'参数'!$I$29</x:f>
        <x:v>1.29</x:v>
      </x:c>
      <x:c r="G407" s="19" t="n">
        <x:f>ROUND(V407*X407/'参数'!$B$56,0)</x:f>
        <x:v>378197</x:v>
      </x:c>
      <x:c r="H407" s="19" t="n">
        <x:f>ROUND((AA407+SQRT(AA407^2+4*AA407*'参数'!$B$22*U407))/2,0)</x:f>
        <x:v>14074</x:v>
      </x:c>
      <x:c r="I407" s="19" t="n">
        <x:f>ROUND(Q407*'参数'!$B$23/'参数'!$B$22,0)</x:f>
        <x:v>2008</x:v>
      </x:c>
      <x:c r="J407" s="19" t="n">
        <x:f>ROUND(G407*'参数'!$B$50,0)</x:f>
        <x:v>1134591</x:v>
      </x:c>
      <x:c r="K407" s="19" t="n">
        <x:f>ROUND(W407*Y407,0)</x:f>
        <x:v>3723042</x:v>
      </x:c>
      <x:c r="L407" s="19" t="n">
        <x:f>ROUND((AB407+SQRT(AB407^2+4*AB407*'参数'!$B$22*U407))/2,0)</x:f>
        <x:v>23976</x:v>
      </x:c>
      <x:c r="M407" s="19" t="n">
        <x:f>ROUND(I407*'参数'!$B$24,0)</x:f>
        <x:v>2510</x:v>
      </x:c>
      <x:c r="N407" s="19" t="n">
        <x:f>'参数'!$B$9*'参数'!$B$10^(D407-1)</x:f>
        <x:v>11195.319600498813</x:v>
      </x:c>
      <x:c r="O407" s="19" t="n">
        <x:f>'参数'!$B$18*'参数'!$B$19^(MIN(E407,MAX(1,5*INT(D407/5)))-1)*F407*'参数'!$J$29*P407</x:f>
        <x:v>1897.6106812882254</x:v>
      </x:c>
      <x:c r="P407" s="22" t="n">
        <x:f>MIN(1,(D407-1)/19)</x:f>
        <x:v>1</x:v>
      </x:c>
      <x:c r="Q407" s="19" t="n">
        <x:f>INDEX('角色成长'!$F$6:$F$105,D407)+O407*'参数'!$K$21</x:f>
        <x:v>10042.190441671442</x:v>
      </x:c>
      <x:c r="R407" s="19" t="n">
        <x:f>INDEX('角色成长'!$I$6:$I$105,D407)+O407*'参数'!$K$21</x:f>
        <x:v>8744.190441671442</x:v>
      </x:c>
      <x:c r="S407" s="19" t="n">
        <x:f>INDEX('角色成长'!$L$6:$L$105,D407)+O407*'参数'!$K$21</x:f>
        <x:v>8003.190441671442</x:v>
      </x:c>
      <x:c r="T407" s="19" t="n">
        <x:f>(INDEX('角色成长'!$J$6:$J$105,D407)+O407*'参数'!$L$21)*(1+'参数'!$B$40*P407)</x:f>
        <x:v>113637.65283705847</x:v>
      </x:c>
      <x:c r="U407" s="19" t="n">
        <x:f>(INDEX('角色成长'!$K$6:$K$105,D407)+O407*'参数'!$M$21)*(1+'参数'!$B$41*P407)</x:f>
        <x:v>6302.800561479835</x:v>
      </x:c>
      <x:c r="V407" s="19" t="n">
        <x:f>(('参数'!$K$5*(((Q407*(1+'参数'!$B$39*P407))^2/((Q407*(1+'参数'!$B$39*P407))+'参数'!$B$22*(I407)))*(1+'参数'!$B$42*P407)/'参数'!$J$5+((Q407*'参数'!$B$43*(1+'参数'!$B$39*P407))^2/((Q407*'参数'!$B$43*(1+'参数'!$B$39*P407))+'参数'!$B$22*(I407)))/'参数'!$B$44))+(((R407*(1+'参数'!$B$39*P407))^2/((R407*(1+'参数'!$B$39*P407))+'参数'!$B$22*(I407)))*(1+'参数'!$B$42*P407)/'参数'!$J$6+((R407*'参数'!$B$45*(1+'参数'!$B$39*P407))^2/((R407*'参数'!$B$45*(1+'参数'!$B$39*P407))+'参数'!$B$22*(I407)))/'参数'!$B$46)+((S407*(1+'参数'!$B$39*P407))^2/((S407*(1+'参数'!$B$39*P407))+'参数'!$B$22*(I407)))*(1+'参数'!$B$42*P407)/'参数'!$J$7)*(1+'参数'!$B$37*('参数'!$B$38-1))*'参数'!$B$25</x:f>
        <x:v>68074.69622887956</x:v>
      </x:c>
      <x:c r="W407" s="19" t="n">
        <x:f>(('参数'!$K$5*(((Q407*(1+'参数'!$B$39*P407))^2/((Q407*(1+'参数'!$B$39*P407))+'参数'!$B$22*(M407)))*(1+'参数'!$B$42*P407)/'参数'!$J$5+((Q407*'参数'!$B$43*(1+'参数'!$B$39*P407))^2/((Q407*'参数'!$B$43*(1+'参数'!$B$39*P407))+'参数'!$B$22*(M407)))/'参数'!$B$44))+(((R407*(1+'参数'!$B$39*P407))^2/((R407*(1+'参数'!$B$39*P407))+'参数'!$B$22*(M407)))*(1+'参数'!$B$42*P407)/'参数'!$J$6+((R407*'参数'!$B$45*(1+'参数'!$B$39*P407))^2/((R407*'参数'!$B$45*(1+'参数'!$B$39*P407))+'参数'!$B$22*(M407)))/'参数'!$B$46)+((S407*(1+'参数'!$B$39*P407))^2/((S407*(1+'参数'!$B$39*P407))+'参数'!$B$22*(M407)))*(1+'参数'!$B$42*P407)/'参数'!$J$7)*(1+'参数'!$B$37*('参数'!$B$38-1))</x:f>
        <x:v>52445.746688054394</x:v>
      </x:c>
      <x:c r="X407" s="26" t="n">
        <x:f>('参数'!$B$26+'参数'!$B$27*(D407-1)/99)*'参数'!$K$29*AD407</x:f>
        <x:v>25.555840336134455</x:v>
      </x:c>
      <x:c r="Y407" s="26" t="n">
        <x:f>('参数'!$B$28+'参数'!$B$29*(D407-1)/99)*'参数'!$K$29*AD407*IF(AE407=1,'参数'!$B$51,1)</x:f>
        <x:v>70.98844537815127</x:v>
      </x:c>
      <x:c r="Z407" s="22" t="n">
        <x:f>MIN('参数'!$B$36,U407/(U407+'参数'!$B$35))</x:f>
        <x:v>0.6117560486461108</x:v>
      </x:c>
      <x:c r="AA407" s="19" t="n">
        <x:f>T407*'参数'!$B$30/('参数'!$B$32*'参数'!$B$33)/(1-Z407)*AC407</x:f>
        <x:v>9022.92359634862</x:v>
      </x:c>
      <x:c r="AB407" s="19" t="n">
        <x:f>T407*'参数'!$B$31/'参数'!$B$34/(1-Z407)*AC407</x:f>
        <x:v>18045.84719269724</x:v>
      </x:c>
      <x:c r="AC407" s="20" t="n">
        <x:f>'参数'!$L$29*(1+'参数'!$B$53*(B407-1)/119)</x:f>
        <x:v>1.2330756302521009</x:v>
      </x:c>
      <x:c r="AD407" s="20" t="n">
        <x:f>1+'参数'!$B$52*(B407-1)/119</x:f>
        <x:v>1.0516806722689076</x:v>
      </x:c>
      <x:c r="AE407" s="19" t="n">
        <x:f>IF(MOD(B407,12)=0,1,0)</x:f>
        <x:v>0</x:v>
      </x:c>
    </x:row>
    <x:row r="408" ht="22" customHeight="1">
      <x:c r="A408" s="18" t="str">
        <x:v>地狱</x:v>
      </x:c>
      <x:c r="B408" s="18" t="n">
        <x:v>43</x:v>
      </x:c>
      <x:c r="C408" s="18" t="n">
        <x:f>ROUNDUP(B408/12,0)</x:f>
        <x:v>4</x:v>
      </x:c>
      <x:c r="D408" s="18" t="n">
        <x:f>ROUND(MAX('参数'!$G$29,E408)+(IF(C408&lt;10,INDEX('参数'!$G$37:$P$37,1,MIN(10,C408+1)),'参数'!$H$29)-MAX('参数'!$G$29,E408))*MOD(B408-1,12)/11,0)</x:f>
        <x:v>100</x:v>
      </x:c>
      <x:c r="E408" s="18" t="n">
        <x:f>INDEX('参数'!$G$37:$P$37,1,C408)</x:f>
        <x:v>100</x:v>
      </x:c>
      <x:c r="F408" s="15" t="n">
        <x:f>'参数'!$I$29</x:f>
        <x:v>1.29</x:v>
      </x:c>
      <x:c r="G408" s="18" t="n">
        <x:f>ROUND(V408*X408/'参数'!$B$56,0)</x:f>
        <x:v>378650</x:v>
      </x:c>
      <x:c r="H408" s="18" t="n">
        <x:f>ROUND((AA408+SQRT(AA408^2+4*AA408*'参数'!$B$22*U408))/2,0)</x:f>
        <x:v>14081</x:v>
      </x:c>
      <x:c r="I408" s="18" t="n">
        <x:f>ROUND(Q408*'参数'!$B$23/'参数'!$B$22,0)</x:f>
        <x:v>2008</x:v>
      </x:c>
      <x:c r="J408" s="18" t="n">
        <x:f>ROUND(G408*'参数'!$B$50,0)</x:f>
        <x:v>1135950</x:v>
      </x:c>
      <x:c r="K408" s="18" t="n">
        <x:f>ROUND(W408*Y408,0)</x:f>
        <x:v>3727504</x:v>
      </x:c>
      <x:c r="L408" s="18" t="n">
        <x:f>ROUND((AB408+SQRT(AB408^2+4*AB408*'参数'!$B$22*U408))/2,0)</x:f>
        <x:v>23988</x:v>
      </x:c>
      <x:c r="M408" s="18" t="n">
        <x:f>ROUND(I408*'参数'!$B$24,0)</x:f>
        <x:v>2510</x:v>
      </x:c>
      <x:c r="N408" s="18" t="n">
        <x:f>'参数'!$B$9*'参数'!$B$10^(D408-1)</x:f>
        <x:v>11195.319600498813</x:v>
      </x:c>
      <x:c r="O408" s="18" t="n">
        <x:f>'参数'!$B$18*'参数'!$B$19^(MIN(E408,MAX(1,5*INT(D408/5)))-1)*F408*'参数'!$J$29*P408</x:f>
        <x:v>1897.6106812882254</x:v>
      </x:c>
      <x:c r="P408" s="21" t="n">
        <x:f>MIN(1,(D408-1)/19)</x:f>
        <x:v>1</x:v>
      </x:c>
      <x:c r="Q408" s="18" t="n">
        <x:f>INDEX('角色成长'!$F$6:$F$105,D408)+O408*'参数'!$K$21</x:f>
        <x:v>10042.190441671442</x:v>
      </x:c>
      <x:c r="R408" s="18" t="n">
        <x:f>INDEX('角色成长'!$I$6:$I$105,D408)+O408*'参数'!$K$21</x:f>
        <x:v>8744.190441671442</x:v>
      </x:c>
      <x:c r="S408" s="18" t="n">
        <x:f>INDEX('角色成长'!$L$6:$L$105,D408)+O408*'参数'!$K$21</x:f>
        <x:v>8003.190441671442</x:v>
      </x:c>
      <x:c r="T408" s="18" t="n">
        <x:f>(INDEX('角色成长'!$J$6:$J$105,D408)+O408*'参数'!$L$21)*(1+'参数'!$B$40*P408)</x:f>
        <x:v>113637.65283705847</x:v>
      </x:c>
      <x:c r="U408" s="18" t="n">
        <x:f>(INDEX('角色成长'!$K$6:$K$105,D408)+O408*'参数'!$M$21)*(1+'参数'!$B$41*P408)</x:f>
        <x:v>6302.800561479835</x:v>
      </x:c>
      <x:c r="V408" s="18" t="n">
        <x:f>(('参数'!$K$5*(((Q408*(1+'参数'!$B$39*P408))^2/((Q408*(1+'参数'!$B$39*P408))+'参数'!$B$22*(I408)))*(1+'参数'!$B$42*P408)/'参数'!$J$5+((Q408*'参数'!$B$43*(1+'参数'!$B$39*P408))^2/((Q408*'参数'!$B$43*(1+'参数'!$B$39*P408))+'参数'!$B$22*(I408)))/'参数'!$B$44))+(((R408*(1+'参数'!$B$39*P408))^2/((R408*(1+'参数'!$B$39*P408))+'参数'!$B$22*(I408)))*(1+'参数'!$B$42*P408)/'参数'!$J$6+((R408*'参数'!$B$45*(1+'参数'!$B$39*P408))^2/((R408*'参数'!$B$45*(1+'参数'!$B$39*P408))+'参数'!$B$22*(I408)))/'参数'!$B$46)+((S408*(1+'参数'!$B$39*P408))^2/((S408*(1+'参数'!$B$39*P408))+'参数'!$B$22*(I408)))*(1+'参数'!$B$42*P408)/'参数'!$J$7)*(1+'参数'!$B$37*('参数'!$B$38-1))*'参数'!$B$25</x:f>
        <x:v>68074.69622887956</x:v>
      </x:c>
      <x:c r="W408" s="18" t="n">
        <x:f>(('参数'!$K$5*(((Q408*(1+'参数'!$B$39*P408))^2/((Q408*(1+'参数'!$B$39*P408))+'参数'!$B$22*(M408)))*(1+'参数'!$B$42*P408)/'参数'!$J$5+((Q408*'参数'!$B$43*(1+'参数'!$B$39*P408))^2/((Q408*'参数'!$B$43*(1+'参数'!$B$39*P408))+'参数'!$B$22*(M408)))/'参数'!$B$44))+(((R408*(1+'参数'!$B$39*P408))^2/((R408*(1+'参数'!$B$39*P408))+'参数'!$B$22*(M408)))*(1+'参数'!$B$42*P408)/'参数'!$J$6+((R408*'参数'!$B$45*(1+'参数'!$B$39*P408))^2/((R408*'参数'!$B$45*(1+'参数'!$B$39*P408))+'参数'!$B$22*(M408)))/'参数'!$B$46)+((S408*(1+'参数'!$B$39*P408))^2/((S408*(1+'参数'!$B$39*P408))+'参数'!$B$22*(M408)))*(1+'参数'!$B$42*P408)/'参数'!$J$7)*(1+'参数'!$B$37*('参数'!$B$38-1))</x:f>
        <x:v>52445.746688054394</x:v>
      </x:c>
      <x:c r="X408" s="25" t="n">
        <x:f>('参数'!$B$26+'参数'!$B$27*(D408-1)/99)*'参数'!$K$29*AD408</x:f>
        <x:v>25.586470588235297</x:v>
      </x:c>
      <x:c r="Y408" s="25" t="n">
        <x:f>('参数'!$B$28+'参数'!$B$29*(D408-1)/99)*'参数'!$K$29*AD408*IF(AE408=1,'参数'!$B$51,1)</x:f>
        <x:v>71.07352941176471</x:v>
      </x:c>
      <x:c r="Z408" s="21" t="n">
        <x:f>MIN('参数'!$B$36,U408/(U408+'参数'!$B$35))</x:f>
        <x:v>0.6117560486461108</x:v>
      </x:c>
      <x:c r="AA408" s="18" t="n">
        <x:f>T408*'参数'!$B$30/('参数'!$B$32*'参数'!$B$33)/(1-Z408)*AC408</x:f>
        <x:v>9028.826719408056</x:v>
      </x:c>
      <x:c r="AB408" s="18" t="n">
        <x:f>T408*'参数'!$B$31/'参数'!$B$34/(1-Z408)*AC408</x:f>
        <x:v>18057.653438816113</x:v>
      </x:c>
      <x:c r="AC408" s="15" t="n">
        <x:f>'参数'!$L$29*(1+'参数'!$B$53*(B408-1)/119)</x:f>
        <x:v>1.2338823529411764</x:v>
      </x:c>
      <x:c r="AD408" s="15" t="n">
        <x:f>1+'参数'!$B$52*(B408-1)/119</x:f>
        <x:v>1.0529411764705883</x:v>
      </x:c>
      <x:c r="AE408" s="18" t="n">
        <x:f>IF(MOD(B408,12)=0,1,0)</x:f>
        <x:v>0</x:v>
      </x:c>
    </x:row>
    <x:row r="409" ht="22" customHeight="1">
      <x:c r="A409" s="19" t="str">
        <x:v>地狱</x:v>
      </x:c>
      <x:c r="B409" s="19" t="n">
        <x:v>44</x:v>
      </x:c>
      <x:c r="C409" s="19" t="n">
        <x:f>ROUNDUP(B409/12,0)</x:f>
        <x:v>4</x:v>
      </x:c>
      <x:c r="D409" s="19" t="n">
        <x:f>ROUND(MAX('参数'!$G$29,E409)+(IF(C409&lt;10,INDEX('参数'!$G$37:$P$37,1,MIN(10,C409+1)),'参数'!$H$29)-MAX('参数'!$G$29,E409))*MOD(B409-1,12)/11,0)</x:f>
        <x:v>100</x:v>
      </x:c>
      <x:c r="E409" s="19" t="n">
        <x:f>INDEX('参数'!$G$37:$P$37,1,C409)</x:f>
        <x:v>100</x:v>
      </x:c>
      <x:c r="F409" s="20" t="n">
        <x:f>'参数'!$I$29</x:f>
        <x:v>1.29</x:v>
      </x:c>
      <x:c r="G409" s="19" t="n">
        <x:f>ROUND(V409*X409/'参数'!$B$56,0)</x:f>
        <x:v>379104</x:v>
      </x:c>
      <x:c r="H409" s="19" t="n">
        <x:f>ROUND((AA409+SQRT(AA409^2+4*AA409*'参数'!$B$22*U409))/2,0)</x:f>
        <x:v>14087</x:v>
      </x:c>
      <x:c r="I409" s="19" t="n">
        <x:f>ROUND(Q409*'参数'!$B$23/'参数'!$B$22,0)</x:f>
        <x:v>2008</x:v>
      </x:c>
      <x:c r="J409" s="19" t="n">
        <x:f>ROUND(G409*'参数'!$B$50,0)</x:f>
        <x:v>1137312</x:v>
      </x:c>
      <x:c r="K409" s="19" t="n">
        <x:f>ROUND(W409*Y409,0)</x:f>
        <x:v>3731967</x:v>
      </x:c>
      <x:c r="L409" s="19" t="n">
        <x:f>ROUND((AB409+SQRT(AB409^2+4*AB409*'参数'!$B$22*U409))/2,0)</x:f>
        <x:v>24001</x:v>
      </x:c>
      <x:c r="M409" s="19" t="n">
        <x:f>ROUND(I409*'参数'!$B$24,0)</x:f>
        <x:v>2510</x:v>
      </x:c>
      <x:c r="N409" s="19" t="n">
        <x:f>'参数'!$B$9*'参数'!$B$10^(D409-1)</x:f>
        <x:v>11195.319600498813</x:v>
      </x:c>
      <x:c r="O409" s="19" t="n">
        <x:f>'参数'!$B$18*'参数'!$B$19^(MIN(E409,MAX(1,5*INT(D409/5)))-1)*F409*'参数'!$J$29*P409</x:f>
        <x:v>1897.6106812882254</x:v>
      </x:c>
      <x:c r="P409" s="22" t="n">
        <x:f>MIN(1,(D409-1)/19)</x:f>
        <x:v>1</x:v>
      </x:c>
      <x:c r="Q409" s="19" t="n">
        <x:f>INDEX('角色成长'!$F$6:$F$105,D409)+O409*'参数'!$K$21</x:f>
        <x:v>10042.190441671442</x:v>
      </x:c>
      <x:c r="R409" s="19" t="n">
        <x:f>INDEX('角色成长'!$I$6:$I$105,D409)+O409*'参数'!$K$21</x:f>
        <x:v>8744.190441671442</x:v>
      </x:c>
      <x:c r="S409" s="19" t="n">
        <x:f>INDEX('角色成长'!$L$6:$L$105,D409)+O409*'参数'!$K$21</x:f>
        <x:v>8003.190441671442</x:v>
      </x:c>
      <x:c r="T409" s="19" t="n">
        <x:f>(INDEX('角色成长'!$J$6:$J$105,D409)+O409*'参数'!$L$21)*(1+'参数'!$B$40*P409)</x:f>
        <x:v>113637.65283705847</x:v>
      </x:c>
      <x:c r="U409" s="19" t="n">
        <x:f>(INDEX('角色成长'!$K$6:$K$105,D409)+O409*'参数'!$M$21)*(1+'参数'!$B$41*P409)</x:f>
        <x:v>6302.800561479835</x:v>
      </x:c>
      <x:c r="V409" s="19" t="n">
        <x:f>(('参数'!$K$5*(((Q409*(1+'参数'!$B$39*P409))^2/((Q409*(1+'参数'!$B$39*P409))+'参数'!$B$22*(I409)))*(1+'参数'!$B$42*P409)/'参数'!$J$5+((Q409*'参数'!$B$43*(1+'参数'!$B$39*P409))^2/((Q409*'参数'!$B$43*(1+'参数'!$B$39*P409))+'参数'!$B$22*(I409)))/'参数'!$B$44))+(((R409*(1+'参数'!$B$39*P409))^2/((R409*(1+'参数'!$B$39*P409))+'参数'!$B$22*(I409)))*(1+'参数'!$B$42*P409)/'参数'!$J$6+((R409*'参数'!$B$45*(1+'参数'!$B$39*P409))^2/((R409*'参数'!$B$45*(1+'参数'!$B$39*P409))+'参数'!$B$22*(I409)))/'参数'!$B$46)+((S409*(1+'参数'!$B$39*P409))^2/((S409*(1+'参数'!$B$39*P409))+'参数'!$B$22*(I409)))*(1+'参数'!$B$42*P409)/'参数'!$J$7)*(1+'参数'!$B$37*('参数'!$B$38-1))*'参数'!$B$25</x:f>
        <x:v>68074.69622887956</x:v>
      </x:c>
      <x:c r="W409" s="19" t="n">
        <x:f>(('参数'!$K$5*(((Q409*(1+'参数'!$B$39*P409))^2/((Q409*(1+'参数'!$B$39*P409))+'参数'!$B$22*(M409)))*(1+'参数'!$B$42*P409)/'参数'!$J$5+((Q409*'参数'!$B$43*(1+'参数'!$B$39*P409))^2/((Q409*'参数'!$B$43*(1+'参数'!$B$39*P409))+'参数'!$B$22*(M409)))/'参数'!$B$44))+(((R409*(1+'参数'!$B$39*P409))^2/((R409*(1+'参数'!$B$39*P409))+'参数'!$B$22*(M409)))*(1+'参数'!$B$42*P409)/'参数'!$J$6+((R409*'参数'!$B$45*(1+'参数'!$B$39*P409))^2/((R409*'参数'!$B$45*(1+'参数'!$B$39*P409))+'参数'!$B$22*(M409)))/'参数'!$B$46)+((S409*(1+'参数'!$B$39*P409))^2/((S409*(1+'参数'!$B$39*P409))+'参数'!$B$22*(M409)))*(1+'参数'!$B$42*P409)/'参数'!$J$7)*(1+'参数'!$B$37*('参数'!$B$38-1))</x:f>
        <x:v>52445.746688054394</x:v>
      </x:c>
      <x:c r="X409" s="26" t="n">
        <x:f>('参数'!$B$26+'参数'!$B$27*(D409-1)/99)*'参数'!$K$29*AD409</x:f>
        <x:v>25.617100840336136</x:v>
      </x:c>
      <x:c r="Y409" s="26" t="n">
        <x:f>('参数'!$B$28+'参数'!$B$29*(D409-1)/99)*'参数'!$K$29*AD409*IF(AE409=1,'参数'!$B$51,1)</x:f>
        <x:v>71.15861344537815</x:v>
      </x:c>
      <x:c r="Z409" s="22" t="n">
        <x:f>MIN('参数'!$B$36,U409/(U409+'参数'!$B$35))</x:f>
        <x:v>0.6117560486461108</x:v>
      </x:c>
      <x:c r="AA409" s="19" t="n">
        <x:f>T409*'参数'!$B$30/('参数'!$B$32*'参数'!$B$33)/(1-Z409)*AC409</x:f>
        <x:v>9034.729842467492</x:v>
      </x:c>
      <x:c r="AB409" s="19" t="n">
        <x:f>T409*'参数'!$B$31/'参数'!$B$34/(1-Z409)*AC409</x:f>
        <x:v>18069.459684934984</x:v>
      </x:c>
      <x:c r="AC409" s="20" t="n">
        <x:f>'参数'!$L$29*(1+'参数'!$B$53*(B409-1)/119)</x:f>
        <x:v>1.234689075630252</x:v>
      </x:c>
      <x:c r="AD409" s="20" t="n">
        <x:f>1+'参数'!$B$52*(B409-1)/119</x:f>
        <x:v>1.054201680672269</x:v>
      </x:c>
      <x:c r="AE409" s="19" t="n">
        <x:f>IF(MOD(B409,12)=0,1,0)</x:f>
        <x:v>0</x:v>
      </x:c>
    </x:row>
    <x:row r="410" ht="22" customHeight="1">
      <x:c r="A410" s="18" t="str">
        <x:v>地狱</x:v>
      </x:c>
      <x:c r="B410" s="18" t="n">
        <x:v>45</x:v>
      </x:c>
      <x:c r="C410" s="18" t="n">
        <x:f>ROUNDUP(B410/12,0)</x:f>
        <x:v>4</x:v>
      </x:c>
      <x:c r="D410" s="18" t="n">
        <x:f>ROUND(MAX('参数'!$G$29,E410)+(IF(C410&lt;10,INDEX('参数'!$G$37:$P$37,1,MIN(10,C410+1)),'参数'!$H$29)-MAX('参数'!$G$29,E410))*MOD(B410-1,12)/11,0)</x:f>
        <x:v>100</x:v>
      </x:c>
      <x:c r="E410" s="18" t="n">
        <x:f>INDEX('参数'!$G$37:$P$37,1,C410)</x:f>
        <x:v>100</x:v>
      </x:c>
      <x:c r="F410" s="15" t="n">
        <x:f>'参数'!$I$29</x:f>
        <x:v>1.29</x:v>
      </x:c>
      <x:c r="G410" s="18" t="n">
        <x:f>ROUND(V410*X410/'参数'!$B$56,0)</x:f>
        <x:v>379557</x:v>
      </x:c>
      <x:c r="H410" s="18" t="n">
        <x:f>ROUND((AA410+SQRT(AA410^2+4*AA410*'参数'!$B$22*U410))/2,0)</x:f>
        <x:v>14094</x:v>
      </x:c>
      <x:c r="I410" s="18" t="n">
        <x:f>ROUND(Q410*'参数'!$B$23/'参数'!$B$22,0)</x:f>
        <x:v>2008</x:v>
      </x:c>
      <x:c r="J410" s="18" t="n">
        <x:f>ROUND(G410*'参数'!$B$50,0)</x:f>
        <x:v>1138671</x:v>
      </x:c>
      <x:c r="K410" s="18" t="n">
        <x:f>ROUND(W410*Y410,0)</x:f>
        <x:v>3736429</x:v>
      </x:c>
      <x:c r="L410" s="18" t="n">
        <x:f>ROUND((AB410+SQRT(AB410^2+4*AB410*'参数'!$B$22*U410))/2,0)</x:f>
        <x:v>24013</x:v>
      </x:c>
      <x:c r="M410" s="18" t="n">
        <x:f>ROUND(I410*'参数'!$B$24,0)</x:f>
        <x:v>2510</x:v>
      </x:c>
      <x:c r="N410" s="18" t="n">
        <x:f>'参数'!$B$9*'参数'!$B$10^(D410-1)</x:f>
        <x:v>11195.319600498813</x:v>
      </x:c>
      <x:c r="O410" s="18" t="n">
        <x:f>'参数'!$B$18*'参数'!$B$19^(MIN(E410,MAX(1,5*INT(D410/5)))-1)*F410*'参数'!$J$29*P410</x:f>
        <x:v>1897.6106812882254</x:v>
      </x:c>
      <x:c r="P410" s="21" t="n">
        <x:f>MIN(1,(D410-1)/19)</x:f>
        <x:v>1</x:v>
      </x:c>
      <x:c r="Q410" s="18" t="n">
        <x:f>INDEX('角色成长'!$F$6:$F$105,D410)+O410*'参数'!$K$21</x:f>
        <x:v>10042.190441671442</x:v>
      </x:c>
      <x:c r="R410" s="18" t="n">
        <x:f>INDEX('角色成长'!$I$6:$I$105,D410)+O410*'参数'!$K$21</x:f>
        <x:v>8744.190441671442</x:v>
      </x:c>
      <x:c r="S410" s="18" t="n">
        <x:f>INDEX('角色成长'!$L$6:$L$105,D410)+O410*'参数'!$K$21</x:f>
        <x:v>8003.190441671442</x:v>
      </x:c>
      <x:c r="T410" s="18" t="n">
        <x:f>(INDEX('角色成长'!$J$6:$J$105,D410)+O410*'参数'!$L$21)*(1+'参数'!$B$40*P410)</x:f>
        <x:v>113637.65283705847</x:v>
      </x:c>
      <x:c r="U410" s="18" t="n">
        <x:f>(INDEX('角色成长'!$K$6:$K$105,D410)+O410*'参数'!$M$21)*(1+'参数'!$B$41*P410)</x:f>
        <x:v>6302.800561479835</x:v>
      </x:c>
      <x:c r="V410" s="18" t="n">
        <x:f>(('参数'!$K$5*(((Q410*(1+'参数'!$B$39*P410))^2/((Q410*(1+'参数'!$B$39*P410))+'参数'!$B$22*(I410)))*(1+'参数'!$B$42*P410)/'参数'!$J$5+((Q410*'参数'!$B$43*(1+'参数'!$B$39*P410))^2/((Q410*'参数'!$B$43*(1+'参数'!$B$39*P410))+'参数'!$B$22*(I410)))/'参数'!$B$44))+(((R410*(1+'参数'!$B$39*P410))^2/((R410*(1+'参数'!$B$39*P410))+'参数'!$B$22*(I410)))*(1+'参数'!$B$42*P410)/'参数'!$J$6+((R410*'参数'!$B$45*(1+'参数'!$B$39*P410))^2/((R410*'参数'!$B$45*(1+'参数'!$B$39*P410))+'参数'!$B$22*(I410)))/'参数'!$B$46)+((S410*(1+'参数'!$B$39*P410))^2/((S410*(1+'参数'!$B$39*P410))+'参数'!$B$22*(I410)))*(1+'参数'!$B$42*P410)/'参数'!$J$7)*(1+'参数'!$B$37*('参数'!$B$38-1))*'参数'!$B$25</x:f>
        <x:v>68074.69622887956</x:v>
      </x:c>
      <x:c r="W410" s="18" t="n">
        <x:f>(('参数'!$K$5*(((Q410*(1+'参数'!$B$39*P410))^2/((Q410*(1+'参数'!$B$39*P410))+'参数'!$B$22*(M410)))*(1+'参数'!$B$42*P410)/'参数'!$J$5+((Q410*'参数'!$B$43*(1+'参数'!$B$39*P410))^2/((Q410*'参数'!$B$43*(1+'参数'!$B$39*P410))+'参数'!$B$22*(M410)))/'参数'!$B$44))+(((R410*(1+'参数'!$B$39*P410))^2/((R410*(1+'参数'!$B$39*P410))+'参数'!$B$22*(M410)))*(1+'参数'!$B$42*P410)/'参数'!$J$6+((R410*'参数'!$B$45*(1+'参数'!$B$39*P410))^2/((R410*'参数'!$B$45*(1+'参数'!$B$39*P410))+'参数'!$B$22*(M410)))/'参数'!$B$46)+((S410*(1+'参数'!$B$39*P410))^2/((S410*(1+'参数'!$B$39*P410))+'参数'!$B$22*(M410)))*(1+'参数'!$B$42*P410)/'参数'!$J$7)*(1+'参数'!$B$37*('参数'!$B$38-1))</x:f>
        <x:v>52445.746688054394</x:v>
      </x:c>
      <x:c r="X410" s="25" t="n">
        <x:f>('参数'!$B$26+'参数'!$B$27*(D410-1)/99)*'参数'!$K$29*AD410</x:f>
        <x:v>25.647731092436977</x:v>
      </x:c>
      <x:c r="Y410" s="25" t="n">
        <x:f>('参数'!$B$28+'参数'!$B$29*(D410-1)/99)*'参数'!$K$29*AD410*IF(AE410=1,'参数'!$B$51,1)</x:f>
        <x:v>71.24369747899159</x:v>
      </x:c>
      <x:c r="Z410" s="21" t="n">
        <x:f>MIN('参数'!$B$36,U410/(U410+'参数'!$B$35))</x:f>
        <x:v>0.6117560486461108</x:v>
      </x:c>
      <x:c r="AA410" s="18" t="n">
        <x:f>T410*'参数'!$B$30/('参数'!$B$32*'参数'!$B$33)/(1-Z410)*AC410</x:f>
        <x:v>9040.63296552693</x:v>
      </x:c>
      <x:c r="AB410" s="18" t="n">
        <x:f>T410*'参数'!$B$31/'参数'!$B$34/(1-Z410)*AC410</x:f>
        <x:v>18081.26593105386</x:v>
      </x:c>
      <x:c r="AC410" s="15" t="n">
        <x:f>'参数'!$L$29*(1+'参数'!$B$53*(B410-1)/119)</x:f>
        <x:v>1.2354957983193278</x:v>
      </x:c>
      <x:c r="AD410" s="15" t="n">
        <x:f>1+'参数'!$B$52*(B410-1)/119</x:f>
        <x:v>1.0554621848739496</x:v>
      </x:c>
      <x:c r="AE410" s="18" t="n">
        <x:f>IF(MOD(B410,12)=0,1,0)</x:f>
        <x:v>0</x:v>
      </x:c>
    </x:row>
    <x:row r="411" ht="22" customHeight="1">
      <x:c r="A411" s="19" t="str">
        <x:v>地狱</x:v>
      </x:c>
      <x:c r="B411" s="19" t="n">
        <x:v>46</x:v>
      </x:c>
      <x:c r="C411" s="19" t="n">
        <x:f>ROUNDUP(B411/12,0)</x:f>
        <x:v>4</x:v>
      </x:c>
      <x:c r="D411" s="19" t="n">
        <x:f>ROUND(MAX('参数'!$G$29,E411)+(IF(C411&lt;10,INDEX('参数'!$G$37:$P$37,1,MIN(10,C411+1)),'参数'!$H$29)-MAX('参数'!$G$29,E411))*MOD(B411-1,12)/11,0)</x:f>
        <x:v>100</x:v>
      </x:c>
      <x:c r="E411" s="19" t="n">
        <x:f>INDEX('参数'!$G$37:$P$37,1,C411)</x:f>
        <x:v>100</x:v>
      </x:c>
      <x:c r="F411" s="20" t="n">
        <x:f>'参数'!$I$29</x:f>
        <x:v>1.29</x:v>
      </x:c>
      <x:c r="G411" s="19" t="n">
        <x:f>ROUND(V411*X411/'参数'!$B$56,0)</x:f>
        <x:v>380010</x:v>
      </x:c>
      <x:c r="H411" s="19" t="n">
        <x:f>ROUND((AA411+SQRT(AA411^2+4*AA411*'参数'!$B$22*U411))/2,0)</x:f>
        <x:v>14101</x:v>
      </x:c>
      <x:c r="I411" s="19" t="n">
        <x:f>ROUND(Q411*'参数'!$B$23/'参数'!$B$22,0)</x:f>
        <x:v>2008</x:v>
      </x:c>
      <x:c r="J411" s="19" t="n">
        <x:f>ROUND(G411*'参数'!$B$50,0)</x:f>
        <x:v>1140030</x:v>
      </x:c>
      <x:c r="K411" s="19" t="n">
        <x:f>ROUND(W411*Y411,0)</x:f>
        <x:v>3740891</x:v>
      </x:c>
      <x:c r="L411" s="19" t="n">
        <x:f>ROUND((AB411+SQRT(AB411^2+4*AB411*'参数'!$B$22*U411))/2,0)</x:f>
        <x:v>24026</x:v>
      </x:c>
      <x:c r="M411" s="19" t="n">
        <x:f>ROUND(I411*'参数'!$B$24,0)</x:f>
        <x:v>2510</x:v>
      </x:c>
      <x:c r="N411" s="19" t="n">
        <x:f>'参数'!$B$9*'参数'!$B$10^(D411-1)</x:f>
        <x:v>11195.319600498813</x:v>
      </x:c>
      <x:c r="O411" s="19" t="n">
        <x:f>'参数'!$B$18*'参数'!$B$19^(MIN(E411,MAX(1,5*INT(D411/5)))-1)*F411*'参数'!$J$29*P411</x:f>
        <x:v>1897.6106812882254</x:v>
      </x:c>
      <x:c r="P411" s="22" t="n">
        <x:f>MIN(1,(D411-1)/19)</x:f>
        <x:v>1</x:v>
      </x:c>
      <x:c r="Q411" s="19" t="n">
        <x:f>INDEX('角色成长'!$F$6:$F$105,D411)+O411*'参数'!$K$21</x:f>
        <x:v>10042.190441671442</x:v>
      </x:c>
      <x:c r="R411" s="19" t="n">
        <x:f>INDEX('角色成长'!$I$6:$I$105,D411)+O411*'参数'!$K$21</x:f>
        <x:v>8744.190441671442</x:v>
      </x:c>
      <x:c r="S411" s="19" t="n">
        <x:f>INDEX('角色成长'!$L$6:$L$105,D411)+O411*'参数'!$K$21</x:f>
        <x:v>8003.190441671442</x:v>
      </x:c>
      <x:c r="T411" s="19" t="n">
        <x:f>(INDEX('角色成长'!$J$6:$J$105,D411)+O411*'参数'!$L$21)*(1+'参数'!$B$40*P411)</x:f>
        <x:v>113637.65283705847</x:v>
      </x:c>
      <x:c r="U411" s="19" t="n">
        <x:f>(INDEX('角色成长'!$K$6:$K$105,D411)+O411*'参数'!$M$21)*(1+'参数'!$B$41*P411)</x:f>
        <x:v>6302.800561479835</x:v>
      </x:c>
      <x:c r="V411" s="19" t="n">
        <x:f>(('参数'!$K$5*(((Q411*(1+'参数'!$B$39*P411))^2/((Q411*(1+'参数'!$B$39*P411))+'参数'!$B$22*(I411)))*(1+'参数'!$B$42*P411)/'参数'!$J$5+((Q411*'参数'!$B$43*(1+'参数'!$B$39*P411))^2/((Q411*'参数'!$B$43*(1+'参数'!$B$39*P411))+'参数'!$B$22*(I411)))/'参数'!$B$44))+(((R411*(1+'参数'!$B$39*P411))^2/((R411*(1+'参数'!$B$39*P411))+'参数'!$B$22*(I411)))*(1+'参数'!$B$42*P411)/'参数'!$J$6+((R411*'参数'!$B$45*(1+'参数'!$B$39*P411))^2/((R411*'参数'!$B$45*(1+'参数'!$B$39*P411))+'参数'!$B$22*(I411)))/'参数'!$B$46)+((S411*(1+'参数'!$B$39*P411))^2/((S411*(1+'参数'!$B$39*P411))+'参数'!$B$22*(I411)))*(1+'参数'!$B$42*P411)/'参数'!$J$7)*(1+'参数'!$B$37*('参数'!$B$38-1))*'参数'!$B$25</x:f>
        <x:v>68074.69622887956</x:v>
      </x:c>
      <x:c r="W411" s="19" t="n">
        <x:f>(('参数'!$K$5*(((Q411*(1+'参数'!$B$39*P411))^2/((Q411*(1+'参数'!$B$39*P411))+'参数'!$B$22*(M411)))*(1+'参数'!$B$42*P411)/'参数'!$J$5+((Q411*'参数'!$B$43*(1+'参数'!$B$39*P411))^2/((Q411*'参数'!$B$43*(1+'参数'!$B$39*P411))+'参数'!$B$22*(M411)))/'参数'!$B$44))+(((R411*(1+'参数'!$B$39*P411))^2/((R411*(1+'参数'!$B$39*P411))+'参数'!$B$22*(M411)))*(1+'参数'!$B$42*P411)/'参数'!$J$6+((R411*'参数'!$B$45*(1+'参数'!$B$39*P411))^2/((R411*'参数'!$B$45*(1+'参数'!$B$39*P411))+'参数'!$B$22*(M411)))/'参数'!$B$46)+((S411*(1+'参数'!$B$39*P411))^2/((S411*(1+'参数'!$B$39*P411))+'参数'!$B$22*(M411)))*(1+'参数'!$B$42*P411)/'参数'!$J$7)*(1+'参数'!$B$37*('参数'!$B$38-1))</x:f>
        <x:v>52445.746688054394</x:v>
      </x:c>
      <x:c r="X411" s="26" t="n">
        <x:f>('参数'!$B$26+'参数'!$B$27*(D411-1)/99)*'参数'!$K$29*AD411</x:f>
        <x:v>25.678361344537816</x:v>
      </x:c>
      <x:c r="Y411" s="26" t="n">
        <x:f>('参数'!$B$28+'参数'!$B$29*(D411-1)/99)*'参数'!$K$29*AD411*IF(AE411=1,'参数'!$B$51,1)</x:f>
        <x:v>71.32878151260505</x:v>
      </x:c>
      <x:c r="Z411" s="22" t="n">
        <x:f>MIN('参数'!$B$36,U411/(U411+'参数'!$B$35))</x:f>
        <x:v>0.6117560486461108</x:v>
      </x:c>
      <x:c r="AA411" s="19" t="n">
        <x:f>T411*'参数'!$B$30/('参数'!$B$32*'参数'!$B$33)/(1-Z411)*AC411</x:f>
        <x:v>9046.536088586363</x:v>
      </x:c>
      <x:c r="AB411" s="19" t="n">
        <x:f>T411*'参数'!$B$31/'参数'!$B$34/(1-Z411)*AC411</x:f>
        <x:v>18093.072177172726</x:v>
      </x:c>
      <x:c r="AC411" s="20" t="n">
        <x:f>'参数'!$L$29*(1+'参数'!$B$53*(B411-1)/119)</x:f>
        <x:v>1.236302521008403</x:v>
      </x:c>
      <x:c r="AD411" s="20" t="n">
        <x:f>1+'参数'!$B$52*(B411-1)/119</x:f>
        <x:v>1.0567226890756303</x:v>
      </x:c>
      <x:c r="AE411" s="19" t="n">
        <x:f>IF(MOD(B411,12)=0,1,0)</x:f>
        <x:v>0</x:v>
      </x:c>
    </x:row>
    <x:row r="412" ht="22" customHeight="1">
      <x:c r="A412" s="18" t="str">
        <x:v>地狱</x:v>
      </x:c>
      <x:c r="B412" s="18" t="n">
        <x:v>47</x:v>
      </x:c>
      <x:c r="C412" s="18" t="n">
        <x:f>ROUNDUP(B412/12,0)</x:f>
        <x:v>4</x:v>
      </x:c>
      <x:c r="D412" s="18" t="n">
        <x:f>ROUND(MAX('参数'!$G$29,E412)+(IF(C412&lt;10,INDEX('参数'!$G$37:$P$37,1,MIN(10,C412+1)),'参数'!$H$29)-MAX('参数'!$G$29,E412))*MOD(B412-1,12)/11,0)</x:f>
        <x:v>100</x:v>
      </x:c>
      <x:c r="E412" s="18" t="n">
        <x:f>INDEX('参数'!$G$37:$P$37,1,C412)</x:f>
        <x:v>100</x:v>
      </x:c>
      <x:c r="F412" s="15" t="n">
        <x:f>'参数'!$I$29</x:f>
        <x:v>1.29</x:v>
      </x:c>
      <x:c r="G412" s="18" t="n">
        <x:f>ROUND(V412*X412/'参数'!$B$56,0)</x:f>
        <x:v>380463</x:v>
      </x:c>
      <x:c r="H412" s="18" t="n">
        <x:f>ROUND((AA412+SQRT(AA412^2+4*AA412*'参数'!$B$22*U412))/2,0)</x:f>
        <x:v>14108</x:v>
      </x:c>
      <x:c r="I412" s="18" t="n">
        <x:f>ROUND(Q412*'参数'!$B$23/'参数'!$B$22,0)</x:f>
        <x:v>2008</x:v>
      </x:c>
      <x:c r="J412" s="18" t="n">
        <x:f>ROUND(G412*'参数'!$B$50,0)</x:f>
        <x:v>1141389</x:v>
      </x:c>
      <x:c r="K412" s="18" t="n">
        <x:f>ROUND(W412*Y412,0)</x:f>
        <x:v>3745354</x:v>
      </x:c>
      <x:c r="L412" s="18" t="n">
        <x:f>ROUND((AB412+SQRT(AB412^2+4*AB412*'参数'!$B$22*U412))/2,0)</x:f>
        <x:v>24039</x:v>
      </x:c>
      <x:c r="M412" s="18" t="n">
        <x:f>ROUND(I412*'参数'!$B$24,0)</x:f>
        <x:v>2510</x:v>
      </x:c>
      <x:c r="N412" s="18" t="n">
        <x:f>'参数'!$B$9*'参数'!$B$10^(D412-1)</x:f>
        <x:v>11195.319600498813</x:v>
      </x:c>
      <x:c r="O412" s="18" t="n">
        <x:f>'参数'!$B$18*'参数'!$B$19^(MIN(E412,MAX(1,5*INT(D412/5)))-1)*F412*'参数'!$J$29*P412</x:f>
        <x:v>1897.6106812882254</x:v>
      </x:c>
      <x:c r="P412" s="21" t="n">
        <x:f>MIN(1,(D412-1)/19)</x:f>
        <x:v>1</x:v>
      </x:c>
      <x:c r="Q412" s="18" t="n">
        <x:f>INDEX('角色成长'!$F$6:$F$105,D412)+O412*'参数'!$K$21</x:f>
        <x:v>10042.190441671442</x:v>
      </x:c>
      <x:c r="R412" s="18" t="n">
        <x:f>INDEX('角色成长'!$I$6:$I$105,D412)+O412*'参数'!$K$21</x:f>
        <x:v>8744.190441671442</x:v>
      </x:c>
      <x:c r="S412" s="18" t="n">
        <x:f>INDEX('角色成长'!$L$6:$L$105,D412)+O412*'参数'!$K$21</x:f>
        <x:v>8003.190441671442</x:v>
      </x:c>
      <x:c r="T412" s="18" t="n">
        <x:f>(INDEX('角色成长'!$J$6:$J$105,D412)+O412*'参数'!$L$21)*(1+'参数'!$B$40*P412)</x:f>
        <x:v>113637.65283705847</x:v>
      </x:c>
      <x:c r="U412" s="18" t="n">
        <x:f>(INDEX('角色成长'!$K$6:$K$105,D412)+O412*'参数'!$M$21)*(1+'参数'!$B$41*P412)</x:f>
        <x:v>6302.800561479835</x:v>
      </x:c>
      <x:c r="V412" s="18" t="n">
        <x:f>(('参数'!$K$5*(((Q412*(1+'参数'!$B$39*P412))^2/((Q412*(1+'参数'!$B$39*P412))+'参数'!$B$22*(I412)))*(1+'参数'!$B$42*P412)/'参数'!$J$5+((Q412*'参数'!$B$43*(1+'参数'!$B$39*P412))^2/((Q412*'参数'!$B$43*(1+'参数'!$B$39*P412))+'参数'!$B$22*(I412)))/'参数'!$B$44))+(((R412*(1+'参数'!$B$39*P412))^2/((R412*(1+'参数'!$B$39*P412))+'参数'!$B$22*(I412)))*(1+'参数'!$B$42*P412)/'参数'!$J$6+((R412*'参数'!$B$45*(1+'参数'!$B$39*P412))^2/((R412*'参数'!$B$45*(1+'参数'!$B$39*P412))+'参数'!$B$22*(I412)))/'参数'!$B$46)+((S412*(1+'参数'!$B$39*P412))^2/((S412*(1+'参数'!$B$39*P412))+'参数'!$B$22*(I412)))*(1+'参数'!$B$42*P412)/'参数'!$J$7)*(1+'参数'!$B$37*('参数'!$B$38-1))*'参数'!$B$25</x:f>
        <x:v>68074.69622887956</x:v>
      </x:c>
      <x:c r="W412" s="18" t="n">
        <x:f>(('参数'!$K$5*(((Q412*(1+'参数'!$B$39*P412))^2/((Q412*(1+'参数'!$B$39*P412))+'参数'!$B$22*(M412)))*(1+'参数'!$B$42*P412)/'参数'!$J$5+((Q412*'参数'!$B$43*(1+'参数'!$B$39*P412))^2/((Q412*'参数'!$B$43*(1+'参数'!$B$39*P412))+'参数'!$B$22*(M412)))/'参数'!$B$44))+(((R412*(1+'参数'!$B$39*P412))^2/((R412*(1+'参数'!$B$39*P412))+'参数'!$B$22*(M412)))*(1+'参数'!$B$42*P412)/'参数'!$J$6+((R412*'参数'!$B$45*(1+'参数'!$B$39*P412))^2/((R412*'参数'!$B$45*(1+'参数'!$B$39*P412))+'参数'!$B$22*(M412)))/'参数'!$B$46)+((S412*(1+'参数'!$B$39*P412))^2/((S412*(1+'参数'!$B$39*P412))+'参数'!$B$22*(M412)))*(1+'参数'!$B$42*P412)/'参数'!$J$7)*(1+'参数'!$B$37*('参数'!$B$38-1))</x:f>
        <x:v>52445.746688054394</x:v>
      </x:c>
      <x:c r="X412" s="25" t="n">
        <x:f>('参数'!$B$26+'参数'!$B$27*(D412-1)/99)*'参数'!$K$29*AD412</x:f>
        <x:v>25.708991596638658</x:v>
      </x:c>
      <x:c r="Y412" s="25" t="n">
        <x:f>('参数'!$B$28+'参数'!$B$29*(D412-1)/99)*'参数'!$K$29*AD412*IF(AE412=1,'参数'!$B$51,1)</x:f>
        <x:v>71.41386554621849</x:v>
      </x:c>
      <x:c r="Z412" s="21" t="n">
        <x:f>MIN('参数'!$B$36,U412/(U412+'参数'!$B$35))</x:f>
        <x:v>0.6117560486461108</x:v>
      </x:c>
      <x:c r="AA412" s="18" t="n">
        <x:f>T412*'参数'!$B$30/('参数'!$B$32*'参数'!$B$33)/(1-Z412)*AC412</x:f>
        <x:v>9052.439211645802</x:v>
      </x:c>
      <x:c r="AB412" s="18" t="n">
        <x:f>T412*'参数'!$B$31/'参数'!$B$34/(1-Z412)*AC412</x:f>
        <x:v>18104.878423291604</x:v>
      </x:c>
      <x:c r="AC412" s="15" t="n">
        <x:f>'参数'!$L$29*(1+'参数'!$B$53*(B412-1)/119)</x:f>
        <x:v>1.2371092436974789</x:v>
      </x:c>
      <x:c r="AD412" s="15" t="n">
        <x:f>1+'参数'!$B$52*(B412-1)/119</x:f>
        <x:v>1.057983193277311</x:v>
      </x:c>
      <x:c r="AE412" s="18" t="n">
        <x:f>IF(MOD(B412,12)=0,1,0)</x:f>
        <x:v>0</x:v>
      </x:c>
    </x:row>
    <x:row r="413" ht="22" customHeight="1">
      <x:c r="A413" s="19" t="str">
        <x:v>地狱</x:v>
      </x:c>
      <x:c r="B413" s="19" t="n">
        <x:v>48</x:v>
      </x:c>
      <x:c r="C413" s="19" t="n">
        <x:f>ROUNDUP(B413/12,0)</x:f>
        <x:v>4</x:v>
      </x:c>
      <x:c r="D413" s="19" t="n">
        <x:f>ROUND(MAX('参数'!$G$29,E413)+(IF(C413&lt;10,INDEX('参数'!$G$37:$P$37,1,MIN(10,C413+1)),'参数'!$H$29)-MAX('参数'!$G$29,E413))*MOD(B413-1,12)/11,0)</x:f>
        <x:v>100</x:v>
      </x:c>
      <x:c r="E413" s="19" t="n">
        <x:f>INDEX('参数'!$G$37:$P$37,1,C413)</x:f>
        <x:v>100</x:v>
      </x:c>
      <x:c r="F413" s="20" t="n">
        <x:f>'参数'!$I$29</x:f>
        <x:v>1.29</x:v>
      </x:c>
      <x:c r="G413" s="19" t="n">
        <x:f>ROUND(V413*X413/'参数'!$B$56,0)</x:f>
        <x:v>380917</x:v>
      </x:c>
      <x:c r="H413" s="19" t="n">
        <x:f>ROUND((AA413+SQRT(AA413^2+4*AA413*'参数'!$B$22*U413))/2,0)</x:f>
        <x:v>14115</x:v>
      </x:c>
      <x:c r="I413" s="19" t="n">
        <x:f>ROUND(Q413*'参数'!$B$23/'参数'!$B$22,0)</x:f>
        <x:v>2008</x:v>
      </x:c>
      <x:c r="J413" s="19" t="n">
        <x:f>ROUND(G413*'参数'!$B$50,0)</x:f>
        <x:v>1142751</x:v>
      </x:c>
      <x:c r="K413" s="19" t="n">
        <x:f>ROUND(W413*Y413,0)</x:f>
        <x:v>4312288</x:v>
      </x:c>
      <x:c r="L413" s="19" t="n">
        <x:f>ROUND((AB413+SQRT(AB413^2+4*AB413*'参数'!$B$22*U413))/2,0)</x:f>
        <x:v>24051</x:v>
      </x:c>
      <x:c r="M413" s="19" t="n">
        <x:f>ROUND(I413*'参数'!$B$24,0)</x:f>
        <x:v>2510</x:v>
      </x:c>
      <x:c r="N413" s="19" t="n">
        <x:f>'参数'!$B$9*'参数'!$B$10^(D413-1)</x:f>
        <x:v>11195.319600498813</x:v>
      </x:c>
      <x:c r="O413" s="19" t="n">
        <x:f>'参数'!$B$18*'参数'!$B$19^(MIN(E413,MAX(1,5*INT(D413/5)))-1)*F413*'参数'!$J$29*P413</x:f>
        <x:v>1897.6106812882254</x:v>
      </x:c>
      <x:c r="P413" s="22" t="n">
        <x:f>MIN(1,(D413-1)/19)</x:f>
        <x:v>1</x:v>
      </x:c>
      <x:c r="Q413" s="19" t="n">
        <x:f>INDEX('角色成长'!$F$6:$F$105,D413)+O413*'参数'!$K$21</x:f>
        <x:v>10042.190441671442</x:v>
      </x:c>
      <x:c r="R413" s="19" t="n">
        <x:f>INDEX('角色成长'!$I$6:$I$105,D413)+O413*'参数'!$K$21</x:f>
        <x:v>8744.190441671442</x:v>
      </x:c>
      <x:c r="S413" s="19" t="n">
        <x:f>INDEX('角色成长'!$L$6:$L$105,D413)+O413*'参数'!$K$21</x:f>
        <x:v>8003.190441671442</x:v>
      </x:c>
      <x:c r="T413" s="19" t="n">
        <x:f>(INDEX('角色成长'!$J$6:$J$105,D413)+O413*'参数'!$L$21)*(1+'参数'!$B$40*P413)</x:f>
        <x:v>113637.65283705847</x:v>
      </x:c>
      <x:c r="U413" s="19" t="n">
        <x:f>(INDEX('角色成长'!$K$6:$K$105,D413)+O413*'参数'!$M$21)*(1+'参数'!$B$41*P413)</x:f>
        <x:v>6302.800561479835</x:v>
      </x:c>
      <x:c r="V413" s="19" t="n">
        <x:f>(('参数'!$K$5*(((Q413*(1+'参数'!$B$39*P413))^2/((Q413*(1+'参数'!$B$39*P413))+'参数'!$B$22*(I413)))*(1+'参数'!$B$42*P413)/'参数'!$J$5+((Q413*'参数'!$B$43*(1+'参数'!$B$39*P413))^2/((Q413*'参数'!$B$43*(1+'参数'!$B$39*P413))+'参数'!$B$22*(I413)))/'参数'!$B$44))+(((R413*(1+'参数'!$B$39*P413))^2/((R413*(1+'参数'!$B$39*P413))+'参数'!$B$22*(I413)))*(1+'参数'!$B$42*P413)/'参数'!$J$6+((R413*'参数'!$B$45*(1+'参数'!$B$39*P413))^2/((R413*'参数'!$B$45*(1+'参数'!$B$39*P413))+'参数'!$B$22*(I413)))/'参数'!$B$46)+((S413*(1+'参数'!$B$39*P413))^2/((S413*(1+'参数'!$B$39*P413))+'参数'!$B$22*(I413)))*(1+'参数'!$B$42*P413)/'参数'!$J$7)*(1+'参数'!$B$37*('参数'!$B$38-1))*'参数'!$B$25</x:f>
        <x:v>68074.69622887956</x:v>
      </x:c>
      <x:c r="W413" s="19" t="n">
        <x:f>(('参数'!$K$5*(((Q413*(1+'参数'!$B$39*P413))^2/((Q413*(1+'参数'!$B$39*P413))+'参数'!$B$22*(M413)))*(1+'参数'!$B$42*P413)/'参数'!$J$5+((Q413*'参数'!$B$43*(1+'参数'!$B$39*P413))^2/((Q413*'参数'!$B$43*(1+'参数'!$B$39*P413))+'参数'!$B$22*(M413)))/'参数'!$B$44))+(((R413*(1+'参数'!$B$39*P413))^2/((R413*(1+'参数'!$B$39*P413))+'参数'!$B$22*(M413)))*(1+'参数'!$B$42*P413)/'参数'!$J$6+((R413*'参数'!$B$45*(1+'参数'!$B$39*P413))^2/((R413*'参数'!$B$45*(1+'参数'!$B$39*P413))+'参数'!$B$22*(M413)))/'参数'!$B$46)+((S413*(1+'参数'!$B$39*P413))^2/((S413*(1+'参数'!$B$39*P413))+'参数'!$B$22*(M413)))*(1+'参数'!$B$42*P413)/'参数'!$J$7)*(1+'参数'!$B$37*('参数'!$B$38-1))</x:f>
        <x:v>52445.746688054394</x:v>
      </x:c>
      <x:c r="X413" s="26" t="n">
        <x:f>('参数'!$B$26+'参数'!$B$27*(D413-1)/99)*'参数'!$K$29*AD413</x:f>
        <x:v>25.739621848739496</x:v>
      </x:c>
      <x:c r="Y413" s="26" t="n">
        <x:f>('参数'!$B$28+'参数'!$B$29*(D413-1)/99)*'参数'!$K$29*AD413*IF(AE413=1,'参数'!$B$51,1)</x:f>
        <x:v>82.22379201680671</x:v>
      </x:c>
      <x:c r="Z413" s="22" t="n">
        <x:f>MIN('参数'!$B$36,U413/(U413+'参数'!$B$35))</x:f>
        <x:v>0.6117560486461108</x:v>
      </x:c>
      <x:c r="AA413" s="19" t="n">
        <x:f>T413*'参数'!$B$30/('参数'!$B$32*'参数'!$B$33)/(1-Z413)*AC413</x:f>
        <x:v>9058.34233470524</x:v>
      </x:c>
      <x:c r="AB413" s="19" t="n">
        <x:f>T413*'参数'!$B$31/'参数'!$B$34/(1-Z413)*AC413</x:f>
        <x:v>18116.68466941048</x:v>
      </x:c>
      <x:c r="AC413" s="20" t="n">
        <x:f>'参数'!$L$29*(1+'参数'!$B$53*(B413-1)/119)</x:f>
        <x:v>1.2379159663865547</x:v>
      </x:c>
      <x:c r="AD413" s="20" t="n">
        <x:f>1+'参数'!$B$52*(B413-1)/119</x:f>
        <x:v>1.0592436974789916</x:v>
      </x:c>
      <x:c r="AE413" s="19" t="n">
        <x:f>IF(MOD(B413,12)=0,1,0)</x:f>
        <x:v>1</x:v>
      </x:c>
    </x:row>
    <x:row r="414" ht="22" customHeight="1">
      <x:c r="A414" s="18" t="str">
        <x:v>地狱</x:v>
      </x:c>
      <x:c r="B414" s="18" t="n">
        <x:v>49</x:v>
      </x:c>
      <x:c r="C414" s="18" t="n">
        <x:f>ROUNDUP(B414/12,0)</x:f>
        <x:v>5</x:v>
      </x:c>
      <x:c r="D414" s="18" t="n">
        <x:f>ROUND(MAX('参数'!$G$29,E414)+(IF(C414&lt;10,INDEX('参数'!$G$37:$P$37,1,MIN(10,C414+1)),'参数'!$H$29)-MAX('参数'!$G$29,E414))*MOD(B414-1,12)/11,0)</x:f>
        <x:v>100</x:v>
      </x:c>
      <x:c r="E414" s="18" t="n">
        <x:f>INDEX('参数'!$G$37:$P$37,1,C414)</x:f>
        <x:v>100</x:v>
      </x:c>
      <x:c r="F414" s="15" t="n">
        <x:f>'参数'!$I$29</x:f>
        <x:v>1.29</x:v>
      </x:c>
      <x:c r="G414" s="18" t="n">
        <x:f>ROUND(V414*X414/'参数'!$B$56,0)</x:f>
        <x:v>381370</x:v>
      </x:c>
      <x:c r="H414" s="18" t="n">
        <x:f>ROUND((AA414+SQRT(AA414^2+4*AA414*'参数'!$B$22*U414))/2,0)</x:f>
        <x:v>14121</x:v>
      </x:c>
      <x:c r="I414" s="18" t="n">
        <x:f>ROUND(Q414*'参数'!$B$23/'参数'!$B$22,0)</x:f>
        <x:v>2008</x:v>
      </x:c>
      <x:c r="J414" s="18" t="n">
        <x:f>ROUND(G414*'参数'!$B$50,0)</x:f>
        <x:v>1144110</x:v>
      </x:c>
      <x:c r="K414" s="18" t="n">
        <x:f>ROUND(W414*Y414,0)</x:f>
        <x:v>3754278</x:v>
      </x:c>
      <x:c r="L414" s="18" t="n">
        <x:f>ROUND((AB414+SQRT(AB414^2+4*AB414*'参数'!$B$22*U414))/2,0)</x:f>
        <x:v>24064</x:v>
      </x:c>
      <x:c r="M414" s="18" t="n">
        <x:f>ROUND(I414*'参数'!$B$24,0)</x:f>
        <x:v>2510</x:v>
      </x:c>
      <x:c r="N414" s="18" t="n">
        <x:f>'参数'!$B$9*'参数'!$B$10^(D414-1)</x:f>
        <x:v>11195.319600498813</x:v>
      </x:c>
      <x:c r="O414" s="18" t="n">
        <x:f>'参数'!$B$18*'参数'!$B$19^(MIN(E414,MAX(1,5*INT(D414/5)))-1)*F414*'参数'!$J$29*P414</x:f>
        <x:v>1897.6106812882254</x:v>
      </x:c>
      <x:c r="P414" s="21" t="n">
        <x:f>MIN(1,(D414-1)/19)</x:f>
        <x:v>1</x:v>
      </x:c>
      <x:c r="Q414" s="18" t="n">
        <x:f>INDEX('角色成长'!$F$6:$F$105,D414)+O414*'参数'!$K$21</x:f>
        <x:v>10042.190441671442</x:v>
      </x:c>
      <x:c r="R414" s="18" t="n">
        <x:f>INDEX('角色成长'!$I$6:$I$105,D414)+O414*'参数'!$K$21</x:f>
        <x:v>8744.190441671442</x:v>
      </x:c>
      <x:c r="S414" s="18" t="n">
        <x:f>INDEX('角色成长'!$L$6:$L$105,D414)+O414*'参数'!$K$21</x:f>
        <x:v>8003.190441671442</x:v>
      </x:c>
      <x:c r="T414" s="18" t="n">
        <x:f>(INDEX('角色成长'!$J$6:$J$105,D414)+O414*'参数'!$L$21)*(1+'参数'!$B$40*P414)</x:f>
        <x:v>113637.65283705847</x:v>
      </x:c>
      <x:c r="U414" s="18" t="n">
        <x:f>(INDEX('角色成长'!$K$6:$K$105,D414)+O414*'参数'!$M$21)*(1+'参数'!$B$41*P414)</x:f>
        <x:v>6302.800561479835</x:v>
      </x:c>
      <x:c r="V414" s="18" t="n">
        <x:f>(('参数'!$K$5*(((Q414*(1+'参数'!$B$39*P414))^2/((Q414*(1+'参数'!$B$39*P414))+'参数'!$B$22*(I414)))*(1+'参数'!$B$42*P414)/'参数'!$J$5+((Q414*'参数'!$B$43*(1+'参数'!$B$39*P414))^2/((Q414*'参数'!$B$43*(1+'参数'!$B$39*P414))+'参数'!$B$22*(I414)))/'参数'!$B$44))+(((R414*(1+'参数'!$B$39*P414))^2/((R414*(1+'参数'!$B$39*P414))+'参数'!$B$22*(I414)))*(1+'参数'!$B$42*P414)/'参数'!$J$6+((R414*'参数'!$B$45*(1+'参数'!$B$39*P414))^2/((R414*'参数'!$B$45*(1+'参数'!$B$39*P414))+'参数'!$B$22*(I414)))/'参数'!$B$46)+((S414*(1+'参数'!$B$39*P414))^2/((S414*(1+'参数'!$B$39*P414))+'参数'!$B$22*(I414)))*(1+'参数'!$B$42*P414)/'参数'!$J$7)*(1+'参数'!$B$37*('参数'!$B$38-1))*'参数'!$B$25</x:f>
        <x:v>68074.69622887956</x:v>
      </x:c>
      <x:c r="W414" s="18" t="n">
        <x:f>(('参数'!$K$5*(((Q414*(1+'参数'!$B$39*P414))^2/((Q414*(1+'参数'!$B$39*P414))+'参数'!$B$22*(M414)))*(1+'参数'!$B$42*P414)/'参数'!$J$5+((Q414*'参数'!$B$43*(1+'参数'!$B$39*P414))^2/((Q414*'参数'!$B$43*(1+'参数'!$B$39*P414))+'参数'!$B$22*(M414)))/'参数'!$B$44))+(((R414*(1+'参数'!$B$39*P414))^2/((R414*(1+'参数'!$B$39*P414))+'参数'!$B$22*(M414)))*(1+'参数'!$B$42*P414)/'参数'!$J$6+((R414*'参数'!$B$45*(1+'参数'!$B$39*P414))^2/((R414*'参数'!$B$45*(1+'参数'!$B$39*P414))+'参数'!$B$22*(M414)))/'参数'!$B$46)+((S414*(1+'参数'!$B$39*P414))^2/((S414*(1+'参数'!$B$39*P414))+'参数'!$B$22*(M414)))*(1+'参数'!$B$42*P414)/'参数'!$J$7)*(1+'参数'!$B$37*('参数'!$B$38-1))</x:f>
        <x:v>52445.746688054394</x:v>
      </x:c>
      <x:c r="X414" s="25" t="n">
        <x:f>('参数'!$B$26+'参数'!$B$27*(D414-1)/99)*'参数'!$K$29*AD414</x:f>
        <x:v>25.770252100840338</x:v>
      </x:c>
      <x:c r="Y414" s="25" t="n">
        <x:f>('参数'!$B$28+'参数'!$B$29*(D414-1)/99)*'参数'!$K$29*AD414*IF(AE414=1,'参数'!$B$51,1)</x:f>
        <x:v>71.58403361344538</x:v>
      </x:c>
      <x:c r="Z414" s="21" t="n">
        <x:f>MIN('参数'!$B$36,U414/(U414+'参数'!$B$35))</x:f>
        <x:v>0.6117560486461108</x:v>
      </x:c>
      <x:c r="AA414" s="18" t="n">
        <x:f>T414*'参数'!$B$30/('参数'!$B$32*'参数'!$B$33)/(1-Z414)*AC414</x:f>
        <x:v>9064.245457764675</x:v>
      </x:c>
      <x:c r="AB414" s="18" t="n">
        <x:f>T414*'参数'!$B$31/'参数'!$B$34/(1-Z414)*AC414</x:f>
        <x:v>18128.49091552935</x:v>
      </x:c>
      <x:c r="AC414" s="15" t="n">
        <x:f>'参数'!$L$29*(1+'参数'!$B$53*(B414-1)/119)</x:f>
        <x:v>1.2387226890756302</x:v>
      </x:c>
      <x:c r="AD414" s="15" t="n">
        <x:f>1+'参数'!$B$52*(B414-1)/119</x:f>
        <x:v>1.0605042016806723</x:v>
      </x:c>
      <x:c r="AE414" s="18" t="n">
        <x:f>IF(MOD(B414,12)=0,1,0)</x:f>
        <x:v>0</x:v>
      </x:c>
    </x:row>
    <x:row r="415" ht="22" customHeight="1">
      <x:c r="A415" s="19" t="str">
        <x:v>地狱</x:v>
      </x:c>
      <x:c r="B415" s="19" t="n">
        <x:v>50</x:v>
      </x:c>
      <x:c r="C415" s="19" t="n">
        <x:f>ROUNDUP(B415/12,0)</x:f>
        <x:v>5</x:v>
      </x:c>
      <x:c r="D415" s="19" t="n">
        <x:f>ROUND(MAX('参数'!$G$29,E415)+(IF(C415&lt;10,INDEX('参数'!$G$37:$P$37,1,MIN(10,C415+1)),'参数'!$H$29)-MAX('参数'!$G$29,E415))*MOD(B415-1,12)/11,0)</x:f>
        <x:v>100</x:v>
      </x:c>
      <x:c r="E415" s="19" t="n">
        <x:f>INDEX('参数'!$G$37:$P$37,1,C415)</x:f>
        <x:v>100</x:v>
      </x:c>
      <x:c r="F415" s="20" t="n">
        <x:f>'参数'!$I$29</x:f>
        <x:v>1.29</x:v>
      </x:c>
      <x:c r="G415" s="19" t="n">
        <x:f>ROUND(V415*X415/'参数'!$B$56,0)</x:f>
        <x:v>381823</x:v>
      </x:c>
      <x:c r="H415" s="19" t="n">
        <x:f>ROUND((AA415+SQRT(AA415^2+4*AA415*'参数'!$B$22*U415))/2,0)</x:f>
        <x:v>14128</x:v>
      </x:c>
      <x:c r="I415" s="19" t="n">
        <x:f>ROUND(Q415*'参数'!$B$23/'参数'!$B$22,0)</x:f>
        <x:v>2008</x:v>
      </x:c>
      <x:c r="J415" s="19" t="n">
        <x:f>ROUND(G415*'参数'!$B$50,0)</x:f>
        <x:v>1145469</x:v>
      </x:c>
      <x:c r="K415" s="19" t="n">
        <x:f>ROUND(W415*Y415,0)</x:f>
        <x:v>3758740</x:v>
      </x:c>
      <x:c r="L415" s="19" t="n">
        <x:f>ROUND((AB415+SQRT(AB415^2+4*AB415*'参数'!$B$22*U415))/2,0)</x:f>
        <x:v>24076</x:v>
      </x:c>
      <x:c r="M415" s="19" t="n">
        <x:f>ROUND(I415*'参数'!$B$24,0)</x:f>
        <x:v>2510</x:v>
      </x:c>
      <x:c r="N415" s="19" t="n">
        <x:f>'参数'!$B$9*'参数'!$B$10^(D415-1)</x:f>
        <x:v>11195.319600498813</x:v>
      </x:c>
      <x:c r="O415" s="19" t="n">
        <x:f>'参数'!$B$18*'参数'!$B$19^(MIN(E415,MAX(1,5*INT(D415/5)))-1)*F415*'参数'!$J$29*P415</x:f>
        <x:v>1897.6106812882254</x:v>
      </x:c>
      <x:c r="P415" s="22" t="n">
        <x:f>MIN(1,(D415-1)/19)</x:f>
        <x:v>1</x:v>
      </x:c>
      <x:c r="Q415" s="19" t="n">
        <x:f>INDEX('角色成长'!$F$6:$F$105,D415)+O415*'参数'!$K$21</x:f>
        <x:v>10042.190441671442</x:v>
      </x:c>
      <x:c r="R415" s="19" t="n">
        <x:f>INDEX('角色成长'!$I$6:$I$105,D415)+O415*'参数'!$K$21</x:f>
        <x:v>8744.190441671442</x:v>
      </x:c>
      <x:c r="S415" s="19" t="n">
        <x:f>INDEX('角色成长'!$L$6:$L$105,D415)+O415*'参数'!$K$21</x:f>
        <x:v>8003.190441671442</x:v>
      </x:c>
      <x:c r="T415" s="19" t="n">
        <x:f>(INDEX('角色成长'!$J$6:$J$105,D415)+O415*'参数'!$L$21)*(1+'参数'!$B$40*P415)</x:f>
        <x:v>113637.65283705847</x:v>
      </x:c>
      <x:c r="U415" s="19" t="n">
        <x:f>(INDEX('角色成长'!$K$6:$K$105,D415)+O415*'参数'!$M$21)*(1+'参数'!$B$41*P415)</x:f>
        <x:v>6302.800561479835</x:v>
      </x:c>
      <x:c r="V415" s="19" t="n">
        <x:f>(('参数'!$K$5*(((Q415*(1+'参数'!$B$39*P415))^2/((Q415*(1+'参数'!$B$39*P415))+'参数'!$B$22*(I415)))*(1+'参数'!$B$42*P415)/'参数'!$J$5+((Q415*'参数'!$B$43*(1+'参数'!$B$39*P415))^2/((Q415*'参数'!$B$43*(1+'参数'!$B$39*P415))+'参数'!$B$22*(I415)))/'参数'!$B$44))+(((R415*(1+'参数'!$B$39*P415))^2/((R415*(1+'参数'!$B$39*P415))+'参数'!$B$22*(I415)))*(1+'参数'!$B$42*P415)/'参数'!$J$6+((R415*'参数'!$B$45*(1+'参数'!$B$39*P415))^2/((R415*'参数'!$B$45*(1+'参数'!$B$39*P415))+'参数'!$B$22*(I415)))/'参数'!$B$46)+((S415*(1+'参数'!$B$39*P415))^2/((S415*(1+'参数'!$B$39*P415))+'参数'!$B$22*(I415)))*(1+'参数'!$B$42*P415)/'参数'!$J$7)*(1+'参数'!$B$37*('参数'!$B$38-1))*'参数'!$B$25</x:f>
        <x:v>68074.69622887956</x:v>
      </x:c>
      <x:c r="W415" s="19" t="n">
        <x:f>(('参数'!$K$5*(((Q415*(1+'参数'!$B$39*P415))^2/((Q415*(1+'参数'!$B$39*P415))+'参数'!$B$22*(M415)))*(1+'参数'!$B$42*P415)/'参数'!$J$5+((Q415*'参数'!$B$43*(1+'参数'!$B$39*P415))^2/((Q415*'参数'!$B$43*(1+'参数'!$B$39*P415))+'参数'!$B$22*(M415)))/'参数'!$B$44))+(((R415*(1+'参数'!$B$39*P415))^2/((R415*(1+'参数'!$B$39*P415))+'参数'!$B$22*(M415)))*(1+'参数'!$B$42*P415)/'参数'!$J$6+((R415*'参数'!$B$45*(1+'参数'!$B$39*P415))^2/((R415*'参数'!$B$45*(1+'参数'!$B$39*P415))+'参数'!$B$22*(M415)))/'参数'!$B$46)+((S415*(1+'参数'!$B$39*P415))^2/((S415*(1+'参数'!$B$39*P415))+'参数'!$B$22*(M415)))*(1+'参数'!$B$42*P415)/'参数'!$J$7)*(1+'参数'!$B$37*('参数'!$B$38-1))</x:f>
        <x:v>52445.746688054394</x:v>
      </x:c>
      <x:c r="X415" s="26" t="n">
        <x:f>('参数'!$B$26+'参数'!$B$27*(D415-1)/99)*'参数'!$K$29*AD415</x:f>
        <x:v>25.800882352941176</x:v>
      </x:c>
      <x:c r="Y415" s="26" t="n">
        <x:f>('参数'!$B$28+'参数'!$B$29*(D415-1)/99)*'参数'!$K$29*AD415*IF(AE415=1,'参数'!$B$51,1)</x:f>
        <x:v>71.66911764705883</x:v>
      </x:c>
      <x:c r="Z415" s="22" t="n">
        <x:f>MIN('参数'!$B$36,U415/(U415+'参数'!$B$35))</x:f>
        <x:v>0.6117560486461108</x:v>
      </x:c>
      <x:c r="AA415" s="19" t="n">
        <x:f>T415*'参数'!$B$30/('参数'!$B$32*'参数'!$B$33)/(1-Z415)*AC415</x:f>
        <x:v>9070.14858082411</x:v>
      </x:c>
      <x:c r="AB415" s="19" t="n">
        <x:f>T415*'参数'!$B$31/'参数'!$B$34/(1-Z415)*AC415</x:f>
        <x:v>18140.29716164822</x:v>
      </x:c>
      <x:c r="AC415" s="20" t="n">
        <x:f>'参数'!$L$29*(1+'参数'!$B$53*(B415-1)/119)</x:f>
        <x:v>1.2395294117647058</x:v>
      </x:c>
      <x:c r="AD415" s="20" t="n">
        <x:f>1+'参数'!$B$52*(B415-1)/119</x:f>
        <x:v>1.061764705882353</x:v>
      </x:c>
      <x:c r="AE415" s="19" t="n">
        <x:f>IF(MOD(B415,12)=0,1,0)</x:f>
        <x:v>0</x:v>
      </x:c>
    </x:row>
    <x:row r="416" ht="22" customHeight="1">
      <x:c r="A416" s="18" t="str">
        <x:v>地狱</x:v>
      </x:c>
      <x:c r="B416" s="18" t="n">
        <x:v>51</x:v>
      </x:c>
      <x:c r="C416" s="18" t="n">
        <x:f>ROUNDUP(B416/12,0)</x:f>
        <x:v>5</x:v>
      </x:c>
      <x:c r="D416" s="18" t="n">
        <x:f>ROUND(MAX('参数'!$G$29,E416)+(IF(C416&lt;10,INDEX('参数'!$G$37:$P$37,1,MIN(10,C416+1)),'参数'!$H$29)-MAX('参数'!$G$29,E416))*MOD(B416-1,12)/11,0)</x:f>
        <x:v>100</x:v>
      </x:c>
      <x:c r="E416" s="18" t="n">
        <x:f>INDEX('参数'!$G$37:$P$37,1,C416)</x:f>
        <x:v>100</x:v>
      </x:c>
      <x:c r="F416" s="15" t="n">
        <x:f>'参数'!$I$29</x:f>
        <x:v>1.29</x:v>
      </x:c>
      <x:c r="G416" s="18" t="n">
        <x:f>ROUND(V416*X416/'参数'!$B$56,0)</x:f>
        <x:v>382277</x:v>
      </x:c>
      <x:c r="H416" s="18" t="n">
        <x:f>ROUND((AA416+SQRT(AA416^2+4*AA416*'参数'!$B$22*U416))/2,0)</x:f>
        <x:v>14135</x:v>
      </x:c>
      <x:c r="I416" s="18" t="n">
        <x:f>ROUND(Q416*'参数'!$B$23/'参数'!$B$22,0)</x:f>
        <x:v>2008</x:v>
      </x:c>
      <x:c r="J416" s="18" t="n">
        <x:f>ROUND(G416*'参数'!$B$50,0)</x:f>
        <x:v>1146831</x:v>
      </x:c>
      <x:c r="K416" s="18" t="n">
        <x:f>ROUND(W416*Y416,0)</x:f>
        <x:v>3763203</x:v>
      </x:c>
      <x:c r="L416" s="18" t="n">
        <x:f>ROUND((AB416+SQRT(AB416^2+4*AB416*'参数'!$B$22*U416))/2,0)</x:f>
        <x:v>24089</x:v>
      </x:c>
      <x:c r="M416" s="18" t="n">
        <x:f>ROUND(I416*'参数'!$B$24,0)</x:f>
        <x:v>2510</x:v>
      </x:c>
      <x:c r="N416" s="18" t="n">
        <x:f>'参数'!$B$9*'参数'!$B$10^(D416-1)</x:f>
        <x:v>11195.319600498813</x:v>
      </x:c>
      <x:c r="O416" s="18" t="n">
        <x:f>'参数'!$B$18*'参数'!$B$19^(MIN(E416,MAX(1,5*INT(D416/5)))-1)*F416*'参数'!$J$29*P416</x:f>
        <x:v>1897.6106812882254</x:v>
      </x:c>
      <x:c r="P416" s="21" t="n">
        <x:f>MIN(1,(D416-1)/19)</x:f>
        <x:v>1</x:v>
      </x:c>
      <x:c r="Q416" s="18" t="n">
        <x:f>INDEX('角色成长'!$F$6:$F$105,D416)+O416*'参数'!$K$21</x:f>
        <x:v>10042.190441671442</x:v>
      </x:c>
      <x:c r="R416" s="18" t="n">
        <x:f>INDEX('角色成长'!$I$6:$I$105,D416)+O416*'参数'!$K$21</x:f>
        <x:v>8744.190441671442</x:v>
      </x:c>
      <x:c r="S416" s="18" t="n">
        <x:f>INDEX('角色成长'!$L$6:$L$105,D416)+O416*'参数'!$K$21</x:f>
        <x:v>8003.190441671442</x:v>
      </x:c>
      <x:c r="T416" s="18" t="n">
        <x:f>(INDEX('角色成长'!$J$6:$J$105,D416)+O416*'参数'!$L$21)*(1+'参数'!$B$40*P416)</x:f>
        <x:v>113637.65283705847</x:v>
      </x:c>
      <x:c r="U416" s="18" t="n">
        <x:f>(INDEX('角色成长'!$K$6:$K$105,D416)+O416*'参数'!$M$21)*(1+'参数'!$B$41*P416)</x:f>
        <x:v>6302.800561479835</x:v>
      </x:c>
      <x:c r="V416" s="18" t="n">
        <x:f>(('参数'!$K$5*(((Q416*(1+'参数'!$B$39*P416))^2/((Q416*(1+'参数'!$B$39*P416))+'参数'!$B$22*(I416)))*(1+'参数'!$B$42*P416)/'参数'!$J$5+((Q416*'参数'!$B$43*(1+'参数'!$B$39*P416))^2/((Q416*'参数'!$B$43*(1+'参数'!$B$39*P416))+'参数'!$B$22*(I416)))/'参数'!$B$44))+(((R416*(1+'参数'!$B$39*P416))^2/((R416*(1+'参数'!$B$39*P416))+'参数'!$B$22*(I416)))*(1+'参数'!$B$42*P416)/'参数'!$J$6+((R416*'参数'!$B$45*(1+'参数'!$B$39*P416))^2/((R416*'参数'!$B$45*(1+'参数'!$B$39*P416))+'参数'!$B$22*(I416)))/'参数'!$B$46)+((S416*(1+'参数'!$B$39*P416))^2/((S416*(1+'参数'!$B$39*P416))+'参数'!$B$22*(I416)))*(1+'参数'!$B$42*P416)/'参数'!$J$7)*(1+'参数'!$B$37*('参数'!$B$38-1))*'参数'!$B$25</x:f>
        <x:v>68074.69622887956</x:v>
      </x:c>
      <x:c r="W416" s="18" t="n">
        <x:f>(('参数'!$K$5*(((Q416*(1+'参数'!$B$39*P416))^2/((Q416*(1+'参数'!$B$39*P416))+'参数'!$B$22*(M416)))*(1+'参数'!$B$42*P416)/'参数'!$J$5+((Q416*'参数'!$B$43*(1+'参数'!$B$39*P416))^2/((Q416*'参数'!$B$43*(1+'参数'!$B$39*P416))+'参数'!$B$22*(M416)))/'参数'!$B$44))+(((R416*(1+'参数'!$B$39*P416))^2/((R416*(1+'参数'!$B$39*P416))+'参数'!$B$22*(M416)))*(1+'参数'!$B$42*P416)/'参数'!$J$6+((R416*'参数'!$B$45*(1+'参数'!$B$39*P416))^2/((R416*'参数'!$B$45*(1+'参数'!$B$39*P416))+'参数'!$B$22*(M416)))/'参数'!$B$46)+((S416*(1+'参数'!$B$39*P416))^2/((S416*(1+'参数'!$B$39*P416))+'参数'!$B$22*(M416)))*(1+'参数'!$B$42*P416)/'参数'!$J$7)*(1+'参数'!$B$37*('参数'!$B$38-1))</x:f>
        <x:v>52445.746688054394</x:v>
      </x:c>
      <x:c r="X416" s="25" t="n">
        <x:f>('参数'!$B$26+'参数'!$B$27*(D416-1)/99)*'参数'!$K$29*AD416</x:f>
        <x:v>25.83151260504202</x:v>
      </x:c>
      <x:c r="Y416" s="25" t="n">
        <x:f>('参数'!$B$28+'参数'!$B$29*(D416-1)/99)*'参数'!$K$29*AD416*IF(AE416=1,'参数'!$B$51,1)</x:f>
        <x:v>71.75420168067227</x:v>
      </x:c>
      <x:c r="Z416" s="21" t="n">
        <x:f>MIN('参数'!$B$36,U416/(U416+'参数'!$B$35))</x:f>
        <x:v>0.6117560486461108</x:v>
      </x:c>
      <x:c r="AA416" s="18" t="n">
        <x:f>T416*'参数'!$B$30/('参数'!$B$32*'参数'!$B$33)/(1-Z416)*AC416</x:f>
        <x:v>9076.051703883548</x:v>
      </x:c>
      <x:c r="AB416" s="18" t="n">
        <x:f>T416*'参数'!$B$31/'参数'!$B$34/(1-Z416)*AC416</x:f>
        <x:v>18152.103407767096</x:v>
      </x:c>
      <x:c r="AC416" s="15" t="n">
        <x:f>'参数'!$L$29*(1+'参数'!$B$53*(B416-1)/119)</x:f>
        <x:v>1.2403361344537815</x:v>
      </x:c>
      <x:c r="AD416" s="15" t="n">
        <x:f>1+'参数'!$B$52*(B416-1)/119</x:f>
        <x:v>1.0630252100840336</x:v>
      </x:c>
      <x:c r="AE416" s="18" t="n">
        <x:f>IF(MOD(B416,12)=0,1,0)</x:f>
        <x:v>0</x:v>
      </x:c>
    </x:row>
    <x:row r="417" ht="22" customHeight="1">
      <x:c r="A417" s="19" t="str">
        <x:v>地狱</x:v>
      </x:c>
      <x:c r="B417" s="19" t="n">
        <x:v>52</x:v>
      </x:c>
      <x:c r="C417" s="19" t="n">
        <x:f>ROUNDUP(B417/12,0)</x:f>
        <x:v>5</x:v>
      </x:c>
      <x:c r="D417" s="19" t="n">
        <x:f>ROUND(MAX('参数'!$G$29,E417)+(IF(C417&lt;10,INDEX('参数'!$G$37:$P$37,1,MIN(10,C417+1)),'参数'!$H$29)-MAX('参数'!$G$29,E417))*MOD(B417-1,12)/11,0)</x:f>
        <x:v>100</x:v>
      </x:c>
      <x:c r="E417" s="19" t="n">
        <x:f>INDEX('参数'!$G$37:$P$37,1,C417)</x:f>
        <x:v>100</x:v>
      </x:c>
      <x:c r="F417" s="20" t="n">
        <x:f>'参数'!$I$29</x:f>
        <x:v>1.29</x:v>
      </x:c>
      <x:c r="G417" s="19" t="n">
        <x:f>ROUND(V417*X417/'参数'!$B$56,0)</x:f>
        <x:v>382730</x:v>
      </x:c>
      <x:c r="H417" s="19" t="n">
        <x:f>ROUND((AA417+SQRT(AA417^2+4*AA417*'参数'!$B$22*U417))/2,0)</x:f>
        <x:v>14142</x:v>
      </x:c>
      <x:c r="I417" s="19" t="n">
        <x:f>ROUND(Q417*'参数'!$B$23/'参数'!$B$22,0)</x:f>
        <x:v>2008</x:v>
      </x:c>
      <x:c r="J417" s="19" t="n">
        <x:f>ROUND(G417*'参数'!$B$50,0)</x:f>
        <x:v>1148190</x:v>
      </x:c>
      <x:c r="K417" s="19" t="n">
        <x:f>ROUND(W417*Y417,0)</x:f>
        <x:v>3767665</x:v>
      </x:c>
      <x:c r="L417" s="19" t="n">
        <x:f>ROUND((AB417+SQRT(AB417^2+4*AB417*'参数'!$B$22*U417))/2,0)</x:f>
        <x:v>24101</x:v>
      </x:c>
      <x:c r="M417" s="19" t="n">
        <x:f>ROUND(I417*'参数'!$B$24,0)</x:f>
        <x:v>2510</x:v>
      </x:c>
      <x:c r="N417" s="19" t="n">
        <x:f>'参数'!$B$9*'参数'!$B$10^(D417-1)</x:f>
        <x:v>11195.319600498813</x:v>
      </x:c>
      <x:c r="O417" s="19" t="n">
        <x:f>'参数'!$B$18*'参数'!$B$19^(MIN(E417,MAX(1,5*INT(D417/5)))-1)*F417*'参数'!$J$29*P417</x:f>
        <x:v>1897.6106812882254</x:v>
      </x:c>
      <x:c r="P417" s="22" t="n">
        <x:f>MIN(1,(D417-1)/19)</x:f>
        <x:v>1</x:v>
      </x:c>
      <x:c r="Q417" s="19" t="n">
        <x:f>INDEX('角色成长'!$F$6:$F$105,D417)+O417*'参数'!$K$21</x:f>
        <x:v>10042.190441671442</x:v>
      </x:c>
      <x:c r="R417" s="19" t="n">
        <x:f>INDEX('角色成长'!$I$6:$I$105,D417)+O417*'参数'!$K$21</x:f>
        <x:v>8744.190441671442</x:v>
      </x:c>
      <x:c r="S417" s="19" t="n">
        <x:f>INDEX('角色成长'!$L$6:$L$105,D417)+O417*'参数'!$K$21</x:f>
        <x:v>8003.190441671442</x:v>
      </x:c>
      <x:c r="T417" s="19" t="n">
        <x:f>(INDEX('角色成长'!$J$6:$J$105,D417)+O417*'参数'!$L$21)*(1+'参数'!$B$40*P417)</x:f>
        <x:v>113637.65283705847</x:v>
      </x:c>
      <x:c r="U417" s="19" t="n">
        <x:f>(INDEX('角色成长'!$K$6:$K$105,D417)+O417*'参数'!$M$21)*(1+'参数'!$B$41*P417)</x:f>
        <x:v>6302.800561479835</x:v>
      </x:c>
      <x:c r="V417" s="19" t="n">
        <x:f>(('参数'!$K$5*(((Q417*(1+'参数'!$B$39*P417))^2/((Q417*(1+'参数'!$B$39*P417))+'参数'!$B$22*(I417)))*(1+'参数'!$B$42*P417)/'参数'!$J$5+((Q417*'参数'!$B$43*(1+'参数'!$B$39*P417))^2/((Q417*'参数'!$B$43*(1+'参数'!$B$39*P417))+'参数'!$B$22*(I417)))/'参数'!$B$44))+(((R417*(1+'参数'!$B$39*P417))^2/((R417*(1+'参数'!$B$39*P417))+'参数'!$B$22*(I417)))*(1+'参数'!$B$42*P417)/'参数'!$J$6+((R417*'参数'!$B$45*(1+'参数'!$B$39*P417))^2/((R417*'参数'!$B$45*(1+'参数'!$B$39*P417))+'参数'!$B$22*(I417)))/'参数'!$B$46)+((S417*(1+'参数'!$B$39*P417))^2/((S417*(1+'参数'!$B$39*P417))+'参数'!$B$22*(I417)))*(1+'参数'!$B$42*P417)/'参数'!$J$7)*(1+'参数'!$B$37*('参数'!$B$38-1))*'参数'!$B$25</x:f>
        <x:v>68074.69622887956</x:v>
      </x:c>
      <x:c r="W417" s="19" t="n">
        <x:f>(('参数'!$K$5*(((Q417*(1+'参数'!$B$39*P417))^2/((Q417*(1+'参数'!$B$39*P417))+'参数'!$B$22*(M417)))*(1+'参数'!$B$42*P417)/'参数'!$J$5+((Q417*'参数'!$B$43*(1+'参数'!$B$39*P417))^2/((Q417*'参数'!$B$43*(1+'参数'!$B$39*P417))+'参数'!$B$22*(M417)))/'参数'!$B$44))+(((R417*(1+'参数'!$B$39*P417))^2/((R417*(1+'参数'!$B$39*P417))+'参数'!$B$22*(M417)))*(1+'参数'!$B$42*P417)/'参数'!$J$6+((R417*'参数'!$B$45*(1+'参数'!$B$39*P417))^2/((R417*'参数'!$B$45*(1+'参数'!$B$39*P417))+'参数'!$B$22*(M417)))/'参数'!$B$46)+((S417*(1+'参数'!$B$39*P417))^2/((S417*(1+'参数'!$B$39*P417))+'参数'!$B$22*(M417)))*(1+'参数'!$B$42*P417)/'参数'!$J$7)*(1+'参数'!$B$37*('参数'!$B$38-1))</x:f>
        <x:v>52445.746688054394</x:v>
      </x:c>
      <x:c r="X417" s="26" t="n">
        <x:f>('参数'!$B$26+'参数'!$B$27*(D417-1)/99)*'参数'!$K$29*AD417</x:f>
        <x:v>25.862142857142857</x:v>
      </x:c>
      <x:c r="Y417" s="26" t="n">
        <x:f>('参数'!$B$28+'参数'!$B$29*(D417-1)/99)*'参数'!$K$29*AD417*IF(AE417=1,'参数'!$B$51,1)</x:f>
        <x:v>71.83928571428571</x:v>
      </x:c>
      <x:c r="Z417" s="22" t="n">
        <x:f>MIN('参数'!$B$36,U417/(U417+'参数'!$B$35))</x:f>
        <x:v>0.6117560486461108</x:v>
      </x:c>
      <x:c r="AA417" s="19" t="n">
        <x:f>T417*'参数'!$B$30/('参数'!$B$32*'参数'!$B$33)/(1-Z417)*AC417</x:f>
        <x:v>9081.954826942983</x:v>
      </x:c>
      <x:c r="AB417" s="19" t="n">
        <x:f>T417*'参数'!$B$31/'参数'!$B$34/(1-Z417)*AC417</x:f>
        <x:v>18163.909653885967</x:v>
      </x:c>
      <x:c r="AC417" s="20" t="n">
        <x:f>'参数'!$L$29*(1+'参数'!$B$53*(B417-1)/119)</x:f>
        <x:v>1.241142857142857</x:v>
      </x:c>
      <x:c r="AD417" s="20" t="n">
        <x:f>1+'参数'!$B$52*(B417-1)/119</x:f>
        <x:v>1.0642857142857143</x:v>
      </x:c>
      <x:c r="AE417" s="19" t="n">
        <x:f>IF(MOD(B417,12)=0,1,0)</x:f>
        <x:v>0</x:v>
      </x:c>
    </x:row>
    <x:row r="418" ht="22" customHeight="1">
      <x:c r="A418" s="18" t="str">
        <x:v>地狱</x:v>
      </x:c>
      <x:c r="B418" s="18" t="n">
        <x:v>53</x:v>
      </x:c>
      <x:c r="C418" s="18" t="n">
        <x:f>ROUNDUP(B418/12,0)</x:f>
        <x:v>5</x:v>
      </x:c>
      <x:c r="D418" s="18" t="n">
        <x:f>ROUND(MAX('参数'!$G$29,E418)+(IF(C418&lt;10,INDEX('参数'!$G$37:$P$37,1,MIN(10,C418+1)),'参数'!$H$29)-MAX('参数'!$G$29,E418))*MOD(B418-1,12)/11,0)</x:f>
        <x:v>100</x:v>
      </x:c>
      <x:c r="E418" s="18" t="n">
        <x:f>INDEX('参数'!$G$37:$P$37,1,C418)</x:f>
        <x:v>100</x:v>
      </x:c>
      <x:c r="F418" s="15" t="n">
        <x:f>'参数'!$I$29</x:f>
        <x:v>1.29</x:v>
      </x:c>
      <x:c r="G418" s="18" t="n">
        <x:f>ROUND(V418*X418/'参数'!$B$56,0)</x:f>
        <x:v>383183</x:v>
      </x:c>
      <x:c r="H418" s="18" t="n">
        <x:f>ROUND((AA418+SQRT(AA418^2+4*AA418*'参数'!$B$22*U418))/2,0)</x:f>
        <x:v>14148</x:v>
      </x:c>
      <x:c r="I418" s="18" t="n">
        <x:f>ROUND(Q418*'参数'!$B$23/'参数'!$B$22,0)</x:f>
        <x:v>2008</x:v>
      </x:c>
      <x:c r="J418" s="18" t="n">
        <x:f>ROUND(G418*'参数'!$B$50,0)</x:f>
        <x:v>1149549</x:v>
      </x:c>
      <x:c r="K418" s="18" t="n">
        <x:f>ROUND(W418*Y418,0)</x:f>
        <x:v>3772127</x:v>
      </x:c>
      <x:c r="L418" s="18" t="n">
        <x:f>ROUND((AB418+SQRT(AB418^2+4*AB418*'参数'!$B$22*U418))/2,0)</x:f>
        <x:v>24114</x:v>
      </x:c>
      <x:c r="M418" s="18" t="n">
        <x:f>ROUND(I418*'参数'!$B$24,0)</x:f>
        <x:v>2510</x:v>
      </x:c>
      <x:c r="N418" s="18" t="n">
        <x:f>'参数'!$B$9*'参数'!$B$10^(D418-1)</x:f>
        <x:v>11195.319600498813</x:v>
      </x:c>
      <x:c r="O418" s="18" t="n">
        <x:f>'参数'!$B$18*'参数'!$B$19^(MIN(E418,MAX(1,5*INT(D418/5)))-1)*F418*'参数'!$J$29*P418</x:f>
        <x:v>1897.6106812882254</x:v>
      </x:c>
      <x:c r="P418" s="21" t="n">
        <x:f>MIN(1,(D418-1)/19)</x:f>
        <x:v>1</x:v>
      </x:c>
      <x:c r="Q418" s="18" t="n">
        <x:f>INDEX('角色成长'!$F$6:$F$105,D418)+O418*'参数'!$K$21</x:f>
        <x:v>10042.190441671442</x:v>
      </x:c>
      <x:c r="R418" s="18" t="n">
        <x:f>INDEX('角色成长'!$I$6:$I$105,D418)+O418*'参数'!$K$21</x:f>
        <x:v>8744.190441671442</x:v>
      </x:c>
      <x:c r="S418" s="18" t="n">
        <x:f>INDEX('角色成长'!$L$6:$L$105,D418)+O418*'参数'!$K$21</x:f>
        <x:v>8003.190441671442</x:v>
      </x:c>
      <x:c r="T418" s="18" t="n">
        <x:f>(INDEX('角色成长'!$J$6:$J$105,D418)+O418*'参数'!$L$21)*(1+'参数'!$B$40*P418)</x:f>
        <x:v>113637.65283705847</x:v>
      </x:c>
      <x:c r="U418" s="18" t="n">
        <x:f>(INDEX('角色成长'!$K$6:$K$105,D418)+O418*'参数'!$M$21)*(1+'参数'!$B$41*P418)</x:f>
        <x:v>6302.800561479835</x:v>
      </x:c>
      <x:c r="V418" s="18" t="n">
        <x:f>(('参数'!$K$5*(((Q418*(1+'参数'!$B$39*P418))^2/((Q418*(1+'参数'!$B$39*P418))+'参数'!$B$22*(I418)))*(1+'参数'!$B$42*P418)/'参数'!$J$5+((Q418*'参数'!$B$43*(1+'参数'!$B$39*P418))^2/((Q418*'参数'!$B$43*(1+'参数'!$B$39*P418))+'参数'!$B$22*(I418)))/'参数'!$B$44))+(((R418*(1+'参数'!$B$39*P418))^2/((R418*(1+'参数'!$B$39*P418))+'参数'!$B$22*(I418)))*(1+'参数'!$B$42*P418)/'参数'!$J$6+((R418*'参数'!$B$45*(1+'参数'!$B$39*P418))^2/((R418*'参数'!$B$45*(1+'参数'!$B$39*P418))+'参数'!$B$22*(I418)))/'参数'!$B$46)+((S418*(1+'参数'!$B$39*P418))^2/((S418*(1+'参数'!$B$39*P418))+'参数'!$B$22*(I418)))*(1+'参数'!$B$42*P418)/'参数'!$J$7)*(1+'参数'!$B$37*('参数'!$B$38-1))*'参数'!$B$25</x:f>
        <x:v>68074.69622887956</x:v>
      </x:c>
      <x:c r="W418" s="18" t="n">
        <x:f>(('参数'!$K$5*(((Q418*(1+'参数'!$B$39*P418))^2/((Q418*(1+'参数'!$B$39*P418))+'参数'!$B$22*(M418)))*(1+'参数'!$B$42*P418)/'参数'!$J$5+((Q418*'参数'!$B$43*(1+'参数'!$B$39*P418))^2/((Q418*'参数'!$B$43*(1+'参数'!$B$39*P418))+'参数'!$B$22*(M418)))/'参数'!$B$44))+(((R418*(1+'参数'!$B$39*P418))^2/((R418*(1+'参数'!$B$39*P418))+'参数'!$B$22*(M418)))*(1+'参数'!$B$42*P418)/'参数'!$J$6+((R418*'参数'!$B$45*(1+'参数'!$B$39*P418))^2/((R418*'参数'!$B$45*(1+'参数'!$B$39*P418))+'参数'!$B$22*(M418)))/'参数'!$B$46)+((S418*(1+'参数'!$B$39*P418))^2/((S418*(1+'参数'!$B$39*P418))+'参数'!$B$22*(M418)))*(1+'参数'!$B$42*P418)/'参数'!$J$7)*(1+'参数'!$B$37*('参数'!$B$38-1))</x:f>
        <x:v>52445.746688054394</x:v>
      </x:c>
      <x:c r="X418" s="25" t="n">
        <x:f>('参数'!$B$26+'参数'!$B$27*(D418-1)/99)*'参数'!$K$29*AD418</x:f>
        <x:v>25.8927731092437</x:v>
      </x:c>
      <x:c r="Y418" s="25" t="n">
        <x:f>('参数'!$B$28+'参数'!$B$29*(D418-1)/99)*'参数'!$K$29*AD418*IF(AE418=1,'参数'!$B$51,1)</x:f>
        <x:v>71.92436974789916</x:v>
      </x:c>
      <x:c r="Z418" s="21" t="n">
        <x:f>MIN('参数'!$B$36,U418/(U418+'参数'!$B$35))</x:f>
        <x:v>0.6117560486461108</x:v>
      </x:c>
      <x:c r="AA418" s="18" t="n">
        <x:f>T418*'参数'!$B$30/('参数'!$B$32*'参数'!$B$33)/(1-Z418)*AC418</x:f>
        <x:v>9087.85795000242</x:v>
      </x:c>
      <x:c r="AB418" s="18" t="n">
        <x:f>T418*'参数'!$B$31/'参数'!$B$34/(1-Z418)*AC418</x:f>
        <x:v>18175.71590000484</x:v>
      </x:c>
      <x:c r="AC418" s="15" t="n">
        <x:f>'参数'!$L$29*(1+'参数'!$B$53*(B418-1)/119)</x:f>
        <x:v>1.2419495798319329</x:v>
      </x:c>
      <x:c r="AD418" s="15" t="n">
        <x:f>1+'参数'!$B$52*(B418-1)/119</x:f>
        <x:v>1.065546218487395</x:v>
      </x:c>
      <x:c r="AE418" s="18" t="n">
        <x:f>IF(MOD(B418,12)=0,1,0)</x:f>
        <x:v>0</x:v>
      </x:c>
    </x:row>
    <x:row r="419" ht="22" customHeight="1">
      <x:c r="A419" s="19" t="str">
        <x:v>地狱</x:v>
      </x:c>
      <x:c r="B419" s="19" t="n">
        <x:v>54</x:v>
      </x:c>
      <x:c r="C419" s="19" t="n">
        <x:f>ROUNDUP(B419/12,0)</x:f>
        <x:v>5</x:v>
      </x:c>
      <x:c r="D419" s="19" t="n">
        <x:f>ROUND(MAX('参数'!$G$29,E419)+(IF(C419&lt;10,INDEX('参数'!$G$37:$P$37,1,MIN(10,C419+1)),'参数'!$H$29)-MAX('参数'!$G$29,E419))*MOD(B419-1,12)/11,0)</x:f>
        <x:v>100</x:v>
      </x:c>
      <x:c r="E419" s="19" t="n">
        <x:f>INDEX('参数'!$G$37:$P$37,1,C419)</x:f>
        <x:v>100</x:v>
      </x:c>
      <x:c r="F419" s="20" t="n">
        <x:f>'参数'!$I$29</x:f>
        <x:v>1.29</x:v>
      </x:c>
      <x:c r="G419" s="19" t="n">
        <x:f>ROUND(V419*X419/'参数'!$B$56,0)</x:f>
        <x:v>383636</x:v>
      </x:c>
      <x:c r="H419" s="19" t="n">
        <x:f>ROUND((AA419+SQRT(AA419^2+4*AA419*'参数'!$B$22*U419))/2,0)</x:f>
        <x:v>14155</x:v>
      </x:c>
      <x:c r="I419" s="19" t="n">
        <x:f>ROUND(Q419*'参数'!$B$23/'参数'!$B$22,0)</x:f>
        <x:v>2008</x:v>
      </x:c>
      <x:c r="J419" s="19" t="n">
        <x:f>ROUND(G419*'参数'!$B$50,0)</x:f>
        <x:v>1150908</x:v>
      </x:c>
      <x:c r="K419" s="19" t="n">
        <x:f>ROUND(W419*Y419,0)</x:f>
        <x:v>3776590</x:v>
      </x:c>
      <x:c r="L419" s="19" t="n">
        <x:f>ROUND((AB419+SQRT(AB419^2+4*AB419*'参数'!$B$22*U419))/2,0)</x:f>
        <x:v>24127</x:v>
      </x:c>
      <x:c r="M419" s="19" t="n">
        <x:f>ROUND(I419*'参数'!$B$24,0)</x:f>
        <x:v>2510</x:v>
      </x:c>
      <x:c r="N419" s="19" t="n">
        <x:f>'参数'!$B$9*'参数'!$B$10^(D419-1)</x:f>
        <x:v>11195.319600498813</x:v>
      </x:c>
      <x:c r="O419" s="19" t="n">
        <x:f>'参数'!$B$18*'参数'!$B$19^(MIN(E419,MAX(1,5*INT(D419/5)))-1)*F419*'参数'!$J$29*P419</x:f>
        <x:v>1897.6106812882254</x:v>
      </x:c>
      <x:c r="P419" s="22" t="n">
        <x:f>MIN(1,(D419-1)/19)</x:f>
        <x:v>1</x:v>
      </x:c>
      <x:c r="Q419" s="19" t="n">
        <x:f>INDEX('角色成长'!$F$6:$F$105,D419)+O419*'参数'!$K$21</x:f>
        <x:v>10042.190441671442</x:v>
      </x:c>
      <x:c r="R419" s="19" t="n">
        <x:f>INDEX('角色成长'!$I$6:$I$105,D419)+O419*'参数'!$K$21</x:f>
        <x:v>8744.190441671442</x:v>
      </x:c>
      <x:c r="S419" s="19" t="n">
        <x:f>INDEX('角色成长'!$L$6:$L$105,D419)+O419*'参数'!$K$21</x:f>
        <x:v>8003.190441671442</x:v>
      </x:c>
      <x:c r="T419" s="19" t="n">
        <x:f>(INDEX('角色成长'!$J$6:$J$105,D419)+O419*'参数'!$L$21)*(1+'参数'!$B$40*P419)</x:f>
        <x:v>113637.65283705847</x:v>
      </x:c>
      <x:c r="U419" s="19" t="n">
        <x:f>(INDEX('角色成长'!$K$6:$K$105,D419)+O419*'参数'!$M$21)*(1+'参数'!$B$41*P419)</x:f>
        <x:v>6302.800561479835</x:v>
      </x:c>
      <x:c r="V419" s="19" t="n">
        <x:f>(('参数'!$K$5*(((Q419*(1+'参数'!$B$39*P419))^2/((Q419*(1+'参数'!$B$39*P419))+'参数'!$B$22*(I419)))*(1+'参数'!$B$42*P419)/'参数'!$J$5+((Q419*'参数'!$B$43*(1+'参数'!$B$39*P419))^2/((Q419*'参数'!$B$43*(1+'参数'!$B$39*P419))+'参数'!$B$22*(I419)))/'参数'!$B$44))+(((R419*(1+'参数'!$B$39*P419))^2/((R419*(1+'参数'!$B$39*P419))+'参数'!$B$22*(I419)))*(1+'参数'!$B$42*P419)/'参数'!$J$6+((R419*'参数'!$B$45*(1+'参数'!$B$39*P419))^2/((R419*'参数'!$B$45*(1+'参数'!$B$39*P419))+'参数'!$B$22*(I419)))/'参数'!$B$46)+((S419*(1+'参数'!$B$39*P419))^2/((S419*(1+'参数'!$B$39*P419))+'参数'!$B$22*(I419)))*(1+'参数'!$B$42*P419)/'参数'!$J$7)*(1+'参数'!$B$37*('参数'!$B$38-1))*'参数'!$B$25</x:f>
        <x:v>68074.69622887956</x:v>
      </x:c>
      <x:c r="W419" s="19" t="n">
        <x:f>(('参数'!$K$5*(((Q419*(1+'参数'!$B$39*P419))^2/((Q419*(1+'参数'!$B$39*P419))+'参数'!$B$22*(M419)))*(1+'参数'!$B$42*P419)/'参数'!$J$5+((Q419*'参数'!$B$43*(1+'参数'!$B$39*P419))^2/((Q419*'参数'!$B$43*(1+'参数'!$B$39*P419))+'参数'!$B$22*(M419)))/'参数'!$B$44))+(((R419*(1+'参数'!$B$39*P419))^2/((R419*(1+'参数'!$B$39*P419))+'参数'!$B$22*(M419)))*(1+'参数'!$B$42*P419)/'参数'!$J$6+((R419*'参数'!$B$45*(1+'参数'!$B$39*P419))^2/((R419*'参数'!$B$45*(1+'参数'!$B$39*P419))+'参数'!$B$22*(M419)))/'参数'!$B$46)+((S419*(1+'参数'!$B$39*P419))^2/((S419*(1+'参数'!$B$39*P419))+'参数'!$B$22*(M419)))*(1+'参数'!$B$42*P419)/'参数'!$J$7)*(1+'参数'!$B$37*('参数'!$B$38-1))</x:f>
        <x:v>52445.746688054394</x:v>
      </x:c>
      <x:c r="X419" s="26" t="n">
        <x:f>('参数'!$B$26+'参数'!$B$27*(D419-1)/99)*'参数'!$K$29*AD419</x:f>
        <x:v>25.923403361344537</x:v>
      </x:c>
      <x:c r="Y419" s="26" t="n">
        <x:f>('参数'!$B$28+'参数'!$B$29*(D419-1)/99)*'参数'!$K$29*AD419*IF(AE419=1,'参数'!$B$51,1)</x:f>
        <x:v>72.0094537815126</x:v>
      </x:c>
      <x:c r="Z419" s="22" t="n">
        <x:f>MIN('参数'!$B$36,U419/(U419+'参数'!$B$35))</x:f>
        <x:v>0.6117560486461108</x:v>
      </x:c>
      <x:c r="AA419" s="19" t="n">
        <x:f>T419*'参数'!$B$30/('参数'!$B$32*'参数'!$B$33)/(1-Z419)*AC419</x:f>
        <x:v>9093.761073061856</x:v>
      </x:c>
      <x:c r="AB419" s="19" t="n">
        <x:f>T419*'参数'!$B$31/'参数'!$B$34/(1-Z419)*AC419</x:f>
        <x:v>18187.522146123712</x:v>
      </x:c>
      <x:c r="AC419" s="20" t="n">
        <x:f>'参数'!$L$29*(1+'参数'!$B$53*(B419-1)/119)</x:f>
        <x:v>1.2427563025210082</x:v>
      </x:c>
      <x:c r="AD419" s="20" t="n">
        <x:f>1+'参数'!$B$52*(B419-1)/119</x:f>
        <x:v>1.0668067226890756</x:v>
      </x:c>
      <x:c r="AE419" s="19" t="n">
        <x:f>IF(MOD(B419,12)=0,1,0)</x:f>
        <x:v>0</x:v>
      </x:c>
    </x:row>
    <x:row r="420" ht="22" customHeight="1">
      <x:c r="A420" s="18" t="str">
        <x:v>地狱</x:v>
      </x:c>
      <x:c r="B420" s="18" t="n">
        <x:v>55</x:v>
      </x:c>
      <x:c r="C420" s="18" t="n">
        <x:f>ROUNDUP(B420/12,0)</x:f>
        <x:v>5</x:v>
      </x:c>
      <x:c r="D420" s="18" t="n">
        <x:f>ROUND(MAX('参数'!$G$29,E420)+(IF(C420&lt;10,INDEX('参数'!$G$37:$P$37,1,MIN(10,C420+1)),'参数'!$H$29)-MAX('参数'!$G$29,E420))*MOD(B420-1,12)/11,0)</x:f>
        <x:v>100</x:v>
      </x:c>
      <x:c r="E420" s="18" t="n">
        <x:f>INDEX('参数'!$G$37:$P$37,1,C420)</x:f>
        <x:v>100</x:v>
      </x:c>
      <x:c r="F420" s="15" t="n">
        <x:f>'参数'!$I$29</x:f>
        <x:v>1.29</x:v>
      </x:c>
      <x:c r="G420" s="18" t="n">
        <x:f>ROUND(V420*X420/'参数'!$B$56,0)</x:f>
        <x:v>384090</x:v>
      </x:c>
      <x:c r="H420" s="18" t="n">
        <x:f>ROUND((AA420+SQRT(AA420^2+4*AA420*'参数'!$B$22*U420))/2,0)</x:f>
        <x:v>14162</x:v>
      </x:c>
      <x:c r="I420" s="18" t="n">
        <x:f>ROUND(Q420*'参数'!$B$23/'参数'!$B$22,0)</x:f>
        <x:v>2008</x:v>
      </x:c>
      <x:c r="J420" s="18" t="n">
        <x:f>ROUND(G420*'参数'!$B$50,0)</x:f>
        <x:v>1152270</x:v>
      </x:c>
      <x:c r="K420" s="18" t="n">
        <x:f>ROUND(W420*Y420,0)</x:f>
        <x:v>3781052</x:v>
      </x:c>
      <x:c r="L420" s="18" t="n">
        <x:f>ROUND((AB420+SQRT(AB420^2+4*AB420*'参数'!$B$22*U420))/2,0)</x:f>
        <x:v>24139</x:v>
      </x:c>
      <x:c r="M420" s="18" t="n">
        <x:f>ROUND(I420*'参数'!$B$24,0)</x:f>
        <x:v>2510</x:v>
      </x:c>
      <x:c r="N420" s="18" t="n">
        <x:f>'参数'!$B$9*'参数'!$B$10^(D420-1)</x:f>
        <x:v>11195.319600498813</x:v>
      </x:c>
      <x:c r="O420" s="18" t="n">
        <x:f>'参数'!$B$18*'参数'!$B$19^(MIN(E420,MAX(1,5*INT(D420/5)))-1)*F420*'参数'!$J$29*P420</x:f>
        <x:v>1897.6106812882254</x:v>
      </x:c>
      <x:c r="P420" s="21" t="n">
        <x:f>MIN(1,(D420-1)/19)</x:f>
        <x:v>1</x:v>
      </x:c>
      <x:c r="Q420" s="18" t="n">
        <x:f>INDEX('角色成长'!$F$6:$F$105,D420)+O420*'参数'!$K$21</x:f>
        <x:v>10042.190441671442</x:v>
      </x:c>
      <x:c r="R420" s="18" t="n">
        <x:f>INDEX('角色成长'!$I$6:$I$105,D420)+O420*'参数'!$K$21</x:f>
        <x:v>8744.190441671442</x:v>
      </x:c>
      <x:c r="S420" s="18" t="n">
        <x:f>INDEX('角色成长'!$L$6:$L$105,D420)+O420*'参数'!$K$21</x:f>
        <x:v>8003.190441671442</x:v>
      </x:c>
      <x:c r="T420" s="18" t="n">
        <x:f>(INDEX('角色成长'!$J$6:$J$105,D420)+O420*'参数'!$L$21)*(1+'参数'!$B$40*P420)</x:f>
        <x:v>113637.65283705847</x:v>
      </x:c>
      <x:c r="U420" s="18" t="n">
        <x:f>(INDEX('角色成长'!$K$6:$K$105,D420)+O420*'参数'!$M$21)*(1+'参数'!$B$41*P420)</x:f>
        <x:v>6302.800561479835</x:v>
      </x:c>
      <x:c r="V420" s="18" t="n">
        <x:f>(('参数'!$K$5*(((Q420*(1+'参数'!$B$39*P420))^2/((Q420*(1+'参数'!$B$39*P420))+'参数'!$B$22*(I420)))*(1+'参数'!$B$42*P420)/'参数'!$J$5+((Q420*'参数'!$B$43*(1+'参数'!$B$39*P420))^2/((Q420*'参数'!$B$43*(1+'参数'!$B$39*P420))+'参数'!$B$22*(I420)))/'参数'!$B$44))+(((R420*(1+'参数'!$B$39*P420))^2/((R420*(1+'参数'!$B$39*P420))+'参数'!$B$22*(I420)))*(1+'参数'!$B$42*P420)/'参数'!$J$6+((R420*'参数'!$B$45*(1+'参数'!$B$39*P420))^2/((R420*'参数'!$B$45*(1+'参数'!$B$39*P420))+'参数'!$B$22*(I420)))/'参数'!$B$46)+((S420*(1+'参数'!$B$39*P420))^2/((S420*(1+'参数'!$B$39*P420))+'参数'!$B$22*(I420)))*(1+'参数'!$B$42*P420)/'参数'!$J$7)*(1+'参数'!$B$37*('参数'!$B$38-1))*'参数'!$B$25</x:f>
        <x:v>68074.69622887956</x:v>
      </x:c>
      <x:c r="W420" s="18" t="n">
        <x:f>(('参数'!$K$5*(((Q420*(1+'参数'!$B$39*P420))^2/((Q420*(1+'参数'!$B$39*P420))+'参数'!$B$22*(M420)))*(1+'参数'!$B$42*P420)/'参数'!$J$5+((Q420*'参数'!$B$43*(1+'参数'!$B$39*P420))^2/((Q420*'参数'!$B$43*(1+'参数'!$B$39*P420))+'参数'!$B$22*(M420)))/'参数'!$B$44))+(((R420*(1+'参数'!$B$39*P420))^2/((R420*(1+'参数'!$B$39*P420))+'参数'!$B$22*(M420)))*(1+'参数'!$B$42*P420)/'参数'!$J$6+((R420*'参数'!$B$45*(1+'参数'!$B$39*P420))^2/((R420*'参数'!$B$45*(1+'参数'!$B$39*P420))+'参数'!$B$22*(M420)))/'参数'!$B$46)+((S420*(1+'参数'!$B$39*P420))^2/((S420*(1+'参数'!$B$39*P420))+'参数'!$B$22*(M420)))*(1+'参数'!$B$42*P420)/'参数'!$J$7)*(1+'参数'!$B$37*('参数'!$B$38-1))</x:f>
        <x:v>52445.746688054394</x:v>
      </x:c>
      <x:c r="X420" s="25" t="n">
        <x:f>('参数'!$B$26+'参数'!$B$27*(D420-1)/99)*'参数'!$K$29*AD420</x:f>
        <x:v>25.95403361344538</x:v>
      </x:c>
      <x:c r="Y420" s="25" t="n">
        <x:f>('参数'!$B$28+'参数'!$B$29*(D420-1)/99)*'参数'!$K$29*AD420*IF(AE420=1,'参数'!$B$51,1)</x:f>
        <x:v>72.09453781512605</x:v>
      </x:c>
      <x:c r="Z420" s="21" t="n">
        <x:f>MIN('参数'!$B$36,U420/(U420+'参数'!$B$35))</x:f>
        <x:v>0.6117560486461108</x:v>
      </x:c>
      <x:c r="AA420" s="18" t="n">
        <x:f>T420*'参数'!$B$30/('参数'!$B$32*'参数'!$B$33)/(1-Z420)*AC420</x:f>
        <x:v>9099.664196121294</x:v>
      </x:c>
      <x:c r="AB420" s="18" t="n">
        <x:f>T420*'参数'!$B$31/'参数'!$B$34/(1-Z420)*AC420</x:f>
        <x:v>18199.328392242587</x:v>
      </x:c>
      <x:c r="AC420" s="15" t="n">
        <x:f>'参数'!$L$29*(1+'参数'!$B$53*(B420-1)/119)</x:f>
        <x:v>1.243563025210084</x:v>
      </x:c>
      <x:c r="AD420" s="15" t="n">
        <x:f>1+'参数'!$B$52*(B420-1)/119</x:f>
        <x:v>1.0680672268907563</x:v>
      </x:c>
      <x:c r="AE420" s="18" t="n">
        <x:f>IF(MOD(B420,12)=0,1,0)</x:f>
        <x:v>0</x:v>
      </x:c>
    </x:row>
    <x:row r="421" ht="22" customHeight="1">
      <x:c r="A421" s="19" t="str">
        <x:v>地狱</x:v>
      </x:c>
      <x:c r="B421" s="19" t="n">
        <x:v>56</x:v>
      </x:c>
      <x:c r="C421" s="19" t="n">
        <x:f>ROUNDUP(B421/12,0)</x:f>
        <x:v>5</x:v>
      </x:c>
      <x:c r="D421" s="19" t="n">
        <x:f>ROUND(MAX('参数'!$G$29,E421)+(IF(C421&lt;10,INDEX('参数'!$G$37:$P$37,1,MIN(10,C421+1)),'参数'!$H$29)-MAX('参数'!$G$29,E421))*MOD(B421-1,12)/11,0)</x:f>
        <x:v>100</x:v>
      </x:c>
      <x:c r="E421" s="19" t="n">
        <x:f>INDEX('参数'!$G$37:$P$37,1,C421)</x:f>
        <x:v>100</x:v>
      </x:c>
      <x:c r="F421" s="20" t="n">
        <x:f>'参数'!$I$29</x:f>
        <x:v>1.29</x:v>
      </x:c>
      <x:c r="G421" s="19" t="n">
        <x:f>ROUND(V421*X421/'参数'!$B$56,0)</x:f>
        <x:v>384543</x:v>
      </x:c>
      <x:c r="H421" s="19" t="n">
        <x:f>ROUND((AA421+SQRT(AA421^2+4*AA421*'参数'!$B$22*U421))/2,0)</x:f>
        <x:v>14169</x:v>
      </x:c>
      <x:c r="I421" s="19" t="n">
        <x:f>ROUND(Q421*'参数'!$B$23/'参数'!$B$22,0)</x:f>
        <x:v>2008</x:v>
      </x:c>
      <x:c r="J421" s="19" t="n">
        <x:f>ROUND(G421*'参数'!$B$50,0)</x:f>
        <x:v>1153629</x:v>
      </x:c>
      <x:c r="K421" s="19" t="n">
        <x:f>ROUND(W421*Y421,0)</x:f>
        <x:v>3785514</x:v>
      </x:c>
      <x:c r="L421" s="19" t="n">
        <x:f>ROUND((AB421+SQRT(AB421^2+4*AB421*'参数'!$B$22*U421))/2,0)</x:f>
        <x:v>24152</x:v>
      </x:c>
      <x:c r="M421" s="19" t="n">
        <x:f>ROUND(I421*'参数'!$B$24,0)</x:f>
        <x:v>2510</x:v>
      </x:c>
      <x:c r="N421" s="19" t="n">
        <x:f>'参数'!$B$9*'参数'!$B$10^(D421-1)</x:f>
        <x:v>11195.319600498813</x:v>
      </x:c>
      <x:c r="O421" s="19" t="n">
        <x:f>'参数'!$B$18*'参数'!$B$19^(MIN(E421,MAX(1,5*INT(D421/5)))-1)*F421*'参数'!$J$29*P421</x:f>
        <x:v>1897.6106812882254</x:v>
      </x:c>
      <x:c r="P421" s="22" t="n">
        <x:f>MIN(1,(D421-1)/19)</x:f>
        <x:v>1</x:v>
      </x:c>
      <x:c r="Q421" s="19" t="n">
        <x:f>INDEX('角色成长'!$F$6:$F$105,D421)+O421*'参数'!$K$21</x:f>
        <x:v>10042.190441671442</x:v>
      </x:c>
      <x:c r="R421" s="19" t="n">
        <x:f>INDEX('角色成长'!$I$6:$I$105,D421)+O421*'参数'!$K$21</x:f>
        <x:v>8744.190441671442</x:v>
      </x:c>
      <x:c r="S421" s="19" t="n">
        <x:f>INDEX('角色成长'!$L$6:$L$105,D421)+O421*'参数'!$K$21</x:f>
        <x:v>8003.190441671442</x:v>
      </x:c>
      <x:c r="T421" s="19" t="n">
        <x:f>(INDEX('角色成长'!$J$6:$J$105,D421)+O421*'参数'!$L$21)*(1+'参数'!$B$40*P421)</x:f>
        <x:v>113637.65283705847</x:v>
      </x:c>
      <x:c r="U421" s="19" t="n">
        <x:f>(INDEX('角色成长'!$K$6:$K$105,D421)+O421*'参数'!$M$21)*(1+'参数'!$B$41*P421)</x:f>
        <x:v>6302.800561479835</x:v>
      </x:c>
      <x:c r="V421" s="19" t="n">
        <x:f>(('参数'!$K$5*(((Q421*(1+'参数'!$B$39*P421))^2/((Q421*(1+'参数'!$B$39*P421))+'参数'!$B$22*(I421)))*(1+'参数'!$B$42*P421)/'参数'!$J$5+((Q421*'参数'!$B$43*(1+'参数'!$B$39*P421))^2/((Q421*'参数'!$B$43*(1+'参数'!$B$39*P421))+'参数'!$B$22*(I421)))/'参数'!$B$44))+(((R421*(1+'参数'!$B$39*P421))^2/((R421*(1+'参数'!$B$39*P421))+'参数'!$B$22*(I421)))*(1+'参数'!$B$42*P421)/'参数'!$J$6+((R421*'参数'!$B$45*(1+'参数'!$B$39*P421))^2/((R421*'参数'!$B$45*(1+'参数'!$B$39*P421))+'参数'!$B$22*(I421)))/'参数'!$B$46)+((S421*(1+'参数'!$B$39*P421))^2/((S421*(1+'参数'!$B$39*P421))+'参数'!$B$22*(I421)))*(1+'参数'!$B$42*P421)/'参数'!$J$7)*(1+'参数'!$B$37*('参数'!$B$38-1))*'参数'!$B$25</x:f>
        <x:v>68074.69622887956</x:v>
      </x:c>
      <x:c r="W421" s="19" t="n">
        <x:f>(('参数'!$K$5*(((Q421*(1+'参数'!$B$39*P421))^2/((Q421*(1+'参数'!$B$39*P421))+'参数'!$B$22*(M421)))*(1+'参数'!$B$42*P421)/'参数'!$J$5+((Q421*'参数'!$B$43*(1+'参数'!$B$39*P421))^2/((Q421*'参数'!$B$43*(1+'参数'!$B$39*P421))+'参数'!$B$22*(M421)))/'参数'!$B$44))+(((R421*(1+'参数'!$B$39*P421))^2/((R421*(1+'参数'!$B$39*P421))+'参数'!$B$22*(M421)))*(1+'参数'!$B$42*P421)/'参数'!$J$6+((R421*'参数'!$B$45*(1+'参数'!$B$39*P421))^2/((R421*'参数'!$B$45*(1+'参数'!$B$39*P421))+'参数'!$B$22*(M421)))/'参数'!$B$46)+((S421*(1+'参数'!$B$39*P421))^2/((S421*(1+'参数'!$B$39*P421))+'参数'!$B$22*(M421)))*(1+'参数'!$B$42*P421)/'参数'!$J$7)*(1+'参数'!$B$37*('参数'!$B$38-1))</x:f>
        <x:v>52445.746688054394</x:v>
      </x:c>
      <x:c r="X421" s="26" t="n">
        <x:f>('参数'!$B$26+'参数'!$B$27*(D421-1)/99)*'参数'!$K$29*AD421</x:f>
        <x:v>25.984663865546217</x:v>
      </x:c>
      <x:c r="Y421" s="26" t="n">
        <x:f>('参数'!$B$28+'参数'!$B$29*(D421-1)/99)*'参数'!$K$29*AD421*IF(AE421=1,'参数'!$B$51,1)</x:f>
        <x:v>72.1796218487395</x:v>
      </x:c>
      <x:c r="Z421" s="22" t="n">
        <x:f>MIN('参数'!$B$36,U421/(U421+'参数'!$B$35))</x:f>
        <x:v>0.6117560486461108</x:v>
      </x:c>
      <x:c r="AA421" s="19" t="n">
        <x:f>T421*'参数'!$B$30/('参数'!$B$32*'参数'!$B$33)/(1-Z421)*AC421</x:f>
        <x:v>9105.567319180731</x:v>
      </x:c>
      <x:c r="AB421" s="19" t="n">
        <x:f>T421*'参数'!$B$31/'参数'!$B$34/(1-Z421)*AC421</x:f>
        <x:v>18211.134638361462</x:v>
      </x:c>
      <x:c r="AC421" s="20" t="n">
        <x:f>'参数'!$L$29*(1+'参数'!$B$53*(B421-1)/119)</x:f>
        <x:v>1.2443697478991598</x:v>
      </x:c>
      <x:c r="AD421" s="20" t="n">
        <x:f>1+'参数'!$B$52*(B421-1)/119</x:f>
        <x:v>1.069327731092437</x:v>
      </x:c>
      <x:c r="AE421" s="19" t="n">
        <x:f>IF(MOD(B421,12)=0,1,0)</x:f>
        <x:v>0</x:v>
      </x:c>
    </x:row>
    <x:row r="422" ht="22" customHeight="1">
      <x:c r="A422" s="18" t="str">
        <x:v>地狱</x:v>
      </x:c>
      <x:c r="B422" s="18" t="n">
        <x:v>57</x:v>
      </x:c>
      <x:c r="C422" s="18" t="n">
        <x:f>ROUNDUP(B422/12,0)</x:f>
        <x:v>5</x:v>
      </x:c>
      <x:c r="D422" s="18" t="n">
        <x:f>ROUND(MAX('参数'!$G$29,E422)+(IF(C422&lt;10,INDEX('参数'!$G$37:$P$37,1,MIN(10,C422+1)),'参数'!$H$29)-MAX('参数'!$G$29,E422))*MOD(B422-1,12)/11,0)</x:f>
        <x:v>100</x:v>
      </x:c>
      <x:c r="E422" s="18" t="n">
        <x:f>INDEX('参数'!$G$37:$P$37,1,C422)</x:f>
        <x:v>100</x:v>
      </x:c>
      <x:c r="F422" s="15" t="n">
        <x:f>'参数'!$I$29</x:f>
        <x:v>1.29</x:v>
      </x:c>
      <x:c r="G422" s="18" t="n">
        <x:f>ROUND(V422*X422/'参数'!$B$56,0)</x:f>
        <x:v>384996</x:v>
      </x:c>
      <x:c r="H422" s="18" t="n">
        <x:f>ROUND((AA422+SQRT(AA422^2+4*AA422*'参数'!$B$22*U422))/2,0)</x:f>
        <x:v>14175</x:v>
      </x:c>
      <x:c r="I422" s="18" t="n">
        <x:f>ROUND(Q422*'参数'!$B$23/'参数'!$B$22,0)</x:f>
        <x:v>2008</x:v>
      </x:c>
      <x:c r="J422" s="18" t="n">
        <x:f>ROUND(G422*'参数'!$B$50,0)</x:f>
        <x:v>1154988</x:v>
      </x:c>
      <x:c r="K422" s="18" t="n">
        <x:f>ROUND(W422*Y422,0)</x:f>
        <x:v>3789976</x:v>
      </x:c>
      <x:c r="L422" s="18" t="n">
        <x:f>ROUND((AB422+SQRT(AB422^2+4*AB422*'参数'!$B$22*U422))/2,0)</x:f>
        <x:v>24164</x:v>
      </x:c>
      <x:c r="M422" s="18" t="n">
        <x:f>ROUND(I422*'参数'!$B$24,0)</x:f>
        <x:v>2510</x:v>
      </x:c>
      <x:c r="N422" s="18" t="n">
        <x:f>'参数'!$B$9*'参数'!$B$10^(D422-1)</x:f>
        <x:v>11195.319600498813</x:v>
      </x:c>
      <x:c r="O422" s="18" t="n">
        <x:f>'参数'!$B$18*'参数'!$B$19^(MIN(E422,MAX(1,5*INT(D422/5)))-1)*F422*'参数'!$J$29*P422</x:f>
        <x:v>1897.6106812882254</x:v>
      </x:c>
      <x:c r="P422" s="21" t="n">
        <x:f>MIN(1,(D422-1)/19)</x:f>
        <x:v>1</x:v>
      </x:c>
      <x:c r="Q422" s="18" t="n">
        <x:f>INDEX('角色成长'!$F$6:$F$105,D422)+O422*'参数'!$K$21</x:f>
        <x:v>10042.190441671442</x:v>
      </x:c>
      <x:c r="R422" s="18" t="n">
        <x:f>INDEX('角色成长'!$I$6:$I$105,D422)+O422*'参数'!$K$21</x:f>
        <x:v>8744.190441671442</x:v>
      </x:c>
      <x:c r="S422" s="18" t="n">
        <x:f>INDEX('角色成长'!$L$6:$L$105,D422)+O422*'参数'!$K$21</x:f>
        <x:v>8003.190441671442</x:v>
      </x:c>
      <x:c r="T422" s="18" t="n">
        <x:f>(INDEX('角色成长'!$J$6:$J$105,D422)+O422*'参数'!$L$21)*(1+'参数'!$B$40*P422)</x:f>
        <x:v>113637.65283705847</x:v>
      </x:c>
      <x:c r="U422" s="18" t="n">
        <x:f>(INDEX('角色成长'!$K$6:$K$105,D422)+O422*'参数'!$M$21)*(1+'参数'!$B$41*P422)</x:f>
        <x:v>6302.800561479835</x:v>
      </x:c>
      <x:c r="V422" s="18" t="n">
        <x:f>(('参数'!$K$5*(((Q422*(1+'参数'!$B$39*P422))^2/((Q422*(1+'参数'!$B$39*P422))+'参数'!$B$22*(I422)))*(1+'参数'!$B$42*P422)/'参数'!$J$5+((Q422*'参数'!$B$43*(1+'参数'!$B$39*P422))^2/((Q422*'参数'!$B$43*(1+'参数'!$B$39*P422))+'参数'!$B$22*(I422)))/'参数'!$B$44))+(((R422*(1+'参数'!$B$39*P422))^2/((R422*(1+'参数'!$B$39*P422))+'参数'!$B$22*(I422)))*(1+'参数'!$B$42*P422)/'参数'!$J$6+((R422*'参数'!$B$45*(1+'参数'!$B$39*P422))^2/((R422*'参数'!$B$45*(1+'参数'!$B$39*P422))+'参数'!$B$22*(I422)))/'参数'!$B$46)+((S422*(1+'参数'!$B$39*P422))^2/((S422*(1+'参数'!$B$39*P422))+'参数'!$B$22*(I422)))*(1+'参数'!$B$42*P422)/'参数'!$J$7)*(1+'参数'!$B$37*('参数'!$B$38-1))*'参数'!$B$25</x:f>
        <x:v>68074.69622887956</x:v>
      </x:c>
      <x:c r="W422" s="18" t="n">
        <x:f>(('参数'!$K$5*(((Q422*(1+'参数'!$B$39*P422))^2/((Q422*(1+'参数'!$B$39*P422))+'参数'!$B$22*(M422)))*(1+'参数'!$B$42*P422)/'参数'!$J$5+((Q422*'参数'!$B$43*(1+'参数'!$B$39*P422))^2/((Q422*'参数'!$B$43*(1+'参数'!$B$39*P422))+'参数'!$B$22*(M422)))/'参数'!$B$44))+(((R422*(1+'参数'!$B$39*P422))^2/((R422*(1+'参数'!$B$39*P422))+'参数'!$B$22*(M422)))*(1+'参数'!$B$42*P422)/'参数'!$J$6+((R422*'参数'!$B$45*(1+'参数'!$B$39*P422))^2/((R422*'参数'!$B$45*(1+'参数'!$B$39*P422))+'参数'!$B$22*(M422)))/'参数'!$B$46)+((S422*(1+'参数'!$B$39*P422))^2/((S422*(1+'参数'!$B$39*P422))+'参数'!$B$22*(M422)))*(1+'参数'!$B$42*P422)/'参数'!$J$7)*(1+'参数'!$B$37*('参数'!$B$38-1))</x:f>
        <x:v>52445.746688054394</x:v>
      </x:c>
      <x:c r="X422" s="25" t="n">
        <x:f>('参数'!$B$26+'参数'!$B$27*(D422-1)/99)*'参数'!$K$29*AD422</x:f>
        <x:v>26.01529411764706</x:v>
      </x:c>
      <x:c r="Y422" s="25" t="n">
        <x:f>('参数'!$B$28+'参数'!$B$29*(D422-1)/99)*'参数'!$K$29*AD422*IF(AE422=1,'参数'!$B$51,1)</x:f>
        <x:v>72.26470588235294</x:v>
      </x:c>
      <x:c r="Z422" s="21" t="n">
        <x:f>MIN('参数'!$B$36,U422/(U422+'参数'!$B$35))</x:f>
        <x:v>0.6117560486461108</x:v>
      </x:c>
      <x:c r="AA422" s="18" t="n">
        <x:f>T422*'参数'!$B$30/('参数'!$B$32*'参数'!$B$33)/(1-Z422)*AC422</x:f>
        <x:v>9111.470442240165</x:v>
      </x:c>
      <x:c r="AB422" s="18" t="n">
        <x:f>T422*'参数'!$B$31/'参数'!$B$34/(1-Z422)*AC422</x:f>
        <x:v>18222.94088448033</x:v>
      </x:c>
      <x:c r="AC422" s="15" t="n">
        <x:f>'参数'!$L$29*(1+'参数'!$B$53*(B422-1)/119)</x:f>
        <x:v>1.245176470588235</x:v>
      </x:c>
      <x:c r="AD422" s="15" t="n">
        <x:f>1+'参数'!$B$52*(B422-1)/119</x:f>
        <x:v>1.0705882352941176</x:v>
      </x:c>
      <x:c r="AE422" s="18" t="n">
        <x:f>IF(MOD(B422,12)=0,1,0)</x:f>
        <x:v>0</x:v>
      </x:c>
    </x:row>
    <x:row r="423" ht="22" customHeight="1">
      <x:c r="A423" s="19" t="str">
        <x:v>地狱</x:v>
      </x:c>
      <x:c r="B423" s="19" t="n">
        <x:v>58</x:v>
      </x:c>
      <x:c r="C423" s="19" t="n">
        <x:f>ROUNDUP(B423/12,0)</x:f>
        <x:v>5</x:v>
      </x:c>
      <x:c r="D423" s="19" t="n">
        <x:f>ROUND(MAX('参数'!$G$29,E423)+(IF(C423&lt;10,INDEX('参数'!$G$37:$P$37,1,MIN(10,C423+1)),'参数'!$H$29)-MAX('参数'!$G$29,E423))*MOD(B423-1,12)/11,0)</x:f>
        <x:v>100</x:v>
      </x:c>
      <x:c r="E423" s="19" t="n">
        <x:f>INDEX('参数'!$G$37:$P$37,1,C423)</x:f>
        <x:v>100</x:v>
      </x:c>
      <x:c r="F423" s="20" t="n">
        <x:f>'参数'!$I$29</x:f>
        <x:v>1.29</x:v>
      </x:c>
      <x:c r="G423" s="19" t="n">
        <x:f>ROUND(V423*X423/'参数'!$B$56,0)</x:f>
        <x:v>385450</x:v>
      </x:c>
      <x:c r="H423" s="19" t="n">
        <x:f>ROUND((AA423+SQRT(AA423^2+4*AA423*'参数'!$B$22*U423))/2,0)</x:f>
        <x:v>14182</x:v>
      </x:c>
      <x:c r="I423" s="19" t="n">
        <x:f>ROUND(Q423*'参数'!$B$23/'参数'!$B$22,0)</x:f>
        <x:v>2008</x:v>
      </x:c>
      <x:c r="J423" s="19" t="n">
        <x:f>ROUND(G423*'参数'!$B$50,0)</x:f>
        <x:v>1156350</x:v>
      </x:c>
      <x:c r="K423" s="19" t="n">
        <x:f>ROUND(W423*Y423,0)</x:f>
        <x:v>3794439</x:v>
      </x:c>
      <x:c r="L423" s="19" t="n">
        <x:f>ROUND((AB423+SQRT(AB423^2+4*AB423*'参数'!$B$22*U423))/2,0)</x:f>
        <x:v>24177</x:v>
      </x:c>
      <x:c r="M423" s="19" t="n">
        <x:f>ROUND(I423*'参数'!$B$24,0)</x:f>
        <x:v>2510</x:v>
      </x:c>
      <x:c r="N423" s="19" t="n">
        <x:f>'参数'!$B$9*'参数'!$B$10^(D423-1)</x:f>
        <x:v>11195.319600498813</x:v>
      </x:c>
      <x:c r="O423" s="19" t="n">
        <x:f>'参数'!$B$18*'参数'!$B$19^(MIN(E423,MAX(1,5*INT(D423/5)))-1)*F423*'参数'!$J$29*P423</x:f>
        <x:v>1897.6106812882254</x:v>
      </x:c>
      <x:c r="P423" s="22" t="n">
        <x:f>MIN(1,(D423-1)/19)</x:f>
        <x:v>1</x:v>
      </x:c>
      <x:c r="Q423" s="19" t="n">
        <x:f>INDEX('角色成长'!$F$6:$F$105,D423)+O423*'参数'!$K$21</x:f>
        <x:v>10042.190441671442</x:v>
      </x:c>
      <x:c r="R423" s="19" t="n">
        <x:f>INDEX('角色成长'!$I$6:$I$105,D423)+O423*'参数'!$K$21</x:f>
        <x:v>8744.190441671442</x:v>
      </x:c>
      <x:c r="S423" s="19" t="n">
        <x:f>INDEX('角色成长'!$L$6:$L$105,D423)+O423*'参数'!$K$21</x:f>
        <x:v>8003.190441671442</x:v>
      </x:c>
      <x:c r="T423" s="19" t="n">
        <x:f>(INDEX('角色成长'!$J$6:$J$105,D423)+O423*'参数'!$L$21)*(1+'参数'!$B$40*P423)</x:f>
        <x:v>113637.65283705847</x:v>
      </x:c>
      <x:c r="U423" s="19" t="n">
        <x:f>(INDEX('角色成长'!$K$6:$K$105,D423)+O423*'参数'!$M$21)*(1+'参数'!$B$41*P423)</x:f>
        <x:v>6302.800561479835</x:v>
      </x:c>
      <x:c r="V423" s="19" t="n">
        <x:f>(('参数'!$K$5*(((Q423*(1+'参数'!$B$39*P423))^2/((Q423*(1+'参数'!$B$39*P423))+'参数'!$B$22*(I423)))*(1+'参数'!$B$42*P423)/'参数'!$J$5+((Q423*'参数'!$B$43*(1+'参数'!$B$39*P423))^2/((Q423*'参数'!$B$43*(1+'参数'!$B$39*P423))+'参数'!$B$22*(I423)))/'参数'!$B$44))+(((R423*(1+'参数'!$B$39*P423))^2/((R423*(1+'参数'!$B$39*P423))+'参数'!$B$22*(I423)))*(1+'参数'!$B$42*P423)/'参数'!$J$6+((R423*'参数'!$B$45*(1+'参数'!$B$39*P423))^2/((R423*'参数'!$B$45*(1+'参数'!$B$39*P423))+'参数'!$B$22*(I423)))/'参数'!$B$46)+((S423*(1+'参数'!$B$39*P423))^2/((S423*(1+'参数'!$B$39*P423))+'参数'!$B$22*(I423)))*(1+'参数'!$B$42*P423)/'参数'!$J$7)*(1+'参数'!$B$37*('参数'!$B$38-1))*'参数'!$B$25</x:f>
        <x:v>68074.69622887956</x:v>
      </x:c>
      <x:c r="W423" s="19" t="n">
        <x:f>(('参数'!$K$5*(((Q423*(1+'参数'!$B$39*P423))^2/((Q423*(1+'参数'!$B$39*P423))+'参数'!$B$22*(M423)))*(1+'参数'!$B$42*P423)/'参数'!$J$5+((Q423*'参数'!$B$43*(1+'参数'!$B$39*P423))^2/((Q423*'参数'!$B$43*(1+'参数'!$B$39*P423))+'参数'!$B$22*(M423)))/'参数'!$B$44))+(((R423*(1+'参数'!$B$39*P423))^2/((R423*(1+'参数'!$B$39*P423))+'参数'!$B$22*(M423)))*(1+'参数'!$B$42*P423)/'参数'!$J$6+((R423*'参数'!$B$45*(1+'参数'!$B$39*P423))^2/((R423*'参数'!$B$45*(1+'参数'!$B$39*P423))+'参数'!$B$22*(M423)))/'参数'!$B$46)+((S423*(1+'参数'!$B$39*P423))^2/((S423*(1+'参数'!$B$39*P423))+'参数'!$B$22*(M423)))*(1+'参数'!$B$42*P423)/'参数'!$J$7)*(1+'参数'!$B$37*('参数'!$B$38-1))</x:f>
        <x:v>52445.746688054394</x:v>
      </x:c>
      <x:c r="X423" s="26" t="n">
        <x:f>('参数'!$B$26+'参数'!$B$27*(D423-1)/99)*'参数'!$K$29*AD423</x:f>
        <x:v>26.045924369747897</x:v>
      </x:c>
      <x:c r="Y423" s="26" t="n">
        <x:f>('参数'!$B$28+'参数'!$B$29*(D423-1)/99)*'参数'!$K$29*AD423*IF(AE423=1,'参数'!$B$51,1)</x:f>
        <x:v>72.34978991596638</x:v>
      </x:c>
      <x:c r="Z423" s="22" t="n">
        <x:f>MIN('参数'!$B$36,U423/(U423+'参数'!$B$35))</x:f>
        <x:v>0.6117560486461108</x:v>
      </x:c>
      <x:c r="AA423" s="19" t="n">
        <x:f>T423*'参数'!$B$30/('参数'!$B$32*'参数'!$B$33)/(1-Z423)*AC423</x:f>
        <x:v>9117.373565299602</x:v>
      </x:c>
      <x:c r="AB423" s="19" t="n">
        <x:f>T423*'参数'!$B$31/'参数'!$B$34/(1-Z423)*AC423</x:f>
        <x:v>18234.747130599204</x:v>
      </x:c>
      <x:c r="AC423" s="20" t="n">
        <x:f>'参数'!$L$29*(1+'参数'!$B$53*(B423-1)/119)</x:f>
        <x:v>1.2459831932773109</x:v>
      </x:c>
      <x:c r="AD423" s="20" t="n">
        <x:f>1+'参数'!$B$52*(B423-1)/119</x:f>
        <x:v>1.0718487394957983</x:v>
      </x:c>
      <x:c r="AE423" s="19" t="n">
        <x:f>IF(MOD(B423,12)=0,1,0)</x:f>
        <x:v>0</x:v>
      </x:c>
    </x:row>
    <x:row r="424" ht="22" customHeight="1">
      <x:c r="A424" s="18" t="str">
        <x:v>地狱</x:v>
      </x:c>
      <x:c r="B424" s="18" t="n">
        <x:v>59</x:v>
      </x:c>
      <x:c r="C424" s="18" t="n">
        <x:f>ROUNDUP(B424/12,0)</x:f>
        <x:v>5</x:v>
      </x:c>
      <x:c r="D424" s="18" t="n">
        <x:f>ROUND(MAX('参数'!$G$29,E424)+(IF(C424&lt;10,INDEX('参数'!$G$37:$P$37,1,MIN(10,C424+1)),'参数'!$H$29)-MAX('参数'!$G$29,E424))*MOD(B424-1,12)/11,0)</x:f>
        <x:v>100</x:v>
      </x:c>
      <x:c r="E424" s="18" t="n">
        <x:f>INDEX('参数'!$G$37:$P$37,1,C424)</x:f>
        <x:v>100</x:v>
      </x:c>
      <x:c r="F424" s="15" t="n">
        <x:f>'参数'!$I$29</x:f>
        <x:v>1.29</x:v>
      </x:c>
      <x:c r="G424" s="18" t="n">
        <x:f>ROUND(V424*X424/'参数'!$B$56,0)</x:f>
        <x:v>385903</x:v>
      </x:c>
      <x:c r="H424" s="18" t="n">
        <x:f>ROUND((AA424+SQRT(AA424^2+4*AA424*'参数'!$B$22*U424))/2,0)</x:f>
        <x:v>14189</x:v>
      </x:c>
      <x:c r="I424" s="18" t="n">
        <x:f>ROUND(Q424*'参数'!$B$23/'参数'!$B$22,0)</x:f>
        <x:v>2008</x:v>
      </x:c>
      <x:c r="J424" s="18" t="n">
        <x:f>ROUND(G424*'参数'!$B$50,0)</x:f>
        <x:v>1157709</x:v>
      </x:c>
      <x:c r="K424" s="18" t="n">
        <x:f>ROUND(W424*Y424,0)</x:f>
        <x:v>3798901</x:v>
      </x:c>
      <x:c r="L424" s="18" t="n">
        <x:f>ROUND((AB424+SQRT(AB424^2+4*AB424*'参数'!$B$22*U424))/2,0)</x:f>
        <x:v>24189</x:v>
      </x:c>
      <x:c r="M424" s="18" t="n">
        <x:f>ROUND(I424*'参数'!$B$24,0)</x:f>
        <x:v>2510</x:v>
      </x:c>
      <x:c r="N424" s="18" t="n">
        <x:f>'参数'!$B$9*'参数'!$B$10^(D424-1)</x:f>
        <x:v>11195.319600498813</x:v>
      </x:c>
      <x:c r="O424" s="18" t="n">
        <x:f>'参数'!$B$18*'参数'!$B$19^(MIN(E424,MAX(1,5*INT(D424/5)))-1)*F424*'参数'!$J$29*P424</x:f>
        <x:v>1897.6106812882254</x:v>
      </x:c>
      <x:c r="P424" s="21" t="n">
        <x:f>MIN(1,(D424-1)/19)</x:f>
        <x:v>1</x:v>
      </x:c>
      <x:c r="Q424" s="18" t="n">
        <x:f>INDEX('角色成长'!$F$6:$F$105,D424)+O424*'参数'!$K$21</x:f>
        <x:v>10042.190441671442</x:v>
      </x:c>
      <x:c r="R424" s="18" t="n">
        <x:f>INDEX('角色成长'!$I$6:$I$105,D424)+O424*'参数'!$K$21</x:f>
        <x:v>8744.190441671442</x:v>
      </x:c>
      <x:c r="S424" s="18" t="n">
        <x:f>INDEX('角色成长'!$L$6:$L$105,D424)+O424*'参数'!$K$21</x:f>
        <x:v>8003.190441671442</x:v>
      </x:c>
      <x:c r="T424" s="18" t="n">
        <x:f>(INDEX('角色成长'!$J$6:$J$105,D424)+O424*'参数'!$L$21)*(1+'参数'!$B$40*P424)</x:f>
        <x:v>113637.65283705847</x:v>
      </x:c>
      <x:c r="U424" s="18" t="n">
        <x:f>(INDEX('角色成长'!$K$6:$K$105,D424)+O424*'参数'!$M$21)*(1+'参数'!$B$41*P424)</x:f>
        <x:v>6302.800561479835</x:v>
      </x:c>
      <x:c r="V424" s="18" t="n">
        <x:f>(('参数'!$K$5*(((Q424*(1+'参数'!$B$39*P424))^2/((Q424*(1+'参数'!$B$39*P424))+'参数'!$B$22*(I424)))*(1+'参数'!$B$42*P424)/'参数'!$J$5+((Q424*'参数'!$B$43*(1+'参数'!$B$39*P424))^2/((Q424*'参数'!$B$43*(1+'参数'!$B$39*P424))+'参数'!$B$22*(I424)))/'参数'!$B$44))+(((R424*(1+'参数'!$B$39*P424))^2/((R424*(1+'参数'!$B$39*P424))+'参数'!$B$22*(I424)))*(1+'参数'!$B$42*P424)/'参数'!$J$6+((R424*'参数'!$B$45*(1+'参数'!$B$39*P424))^2/((R424*'参数'!$B$45*(1+'参数'!$B$39*P424))+'参数'!$B$22*(I424)))/'参数'!$B$46)+((S424*(1+'参数'!$B$39*P424))^2/((S424*(1+'参数'!$B$39*P424))+'参数'!$B$22*(I424)))*(1+'参数'!$B$42*P424)/'参数'!$J$7)*(1+'参数'!$B$37*('参数'!$B$38-1))*'参数'!$B$25</x:f>
        <x:v>68074.69622887956</x:v>
      </x:c>
      <x:c r="W424" s="18" t="n">
        <x:f>(('参数'!$K$5*(((Q424*(1+'参数'!$B$39*P424))^2/((Q424*(1+'参数'!$B$39*P424))+'参数'!$B$22*(M424)))*(1+'参数'!$B$42*P424)/'参数'!$J$5+((Q424*'参数'!$B$43*(1+'参数'!$B$39*P424))^2/((Q424*'参数'!$B$43*(1+'参数'!$B$39*P424))+'参数'!$B$22*(M424)))/'参数'!$B$44))+(((R424*(1+'参数'!$B$39*P424))^2/((R424*(1+'参数'!$B$39*P424))+'参数'!$B$22*(M424)))*(1+'参数'!$B$42*P424)/'参数'!$J$6+((R424*'参数'!$B$45*(1+'参数'!$B$39*P424))^2/((R424*'参数'!$B$45*(1+'参数'!$B$39*P424))+'参数'!$B$22*(M424)))/'参数'!$B$46)+((S424*(1+'参数'!$B$39*P424))^2/((S424*(1+'参数'!$B$39*P424))+'参数'!$B$22*(M424)))*(1+'参数'!$B$42*P424)/'参数'!$J$7)*(1+'参数'!$B$37*('参数'!$B$38-1))</x:f>
        <x:v>52445.746688054394</x:v>
      </x:c>
      <x:c r="X424" s="25" t="n">
        <x:f>('参数'!$B$26+'参数'!$B$27*(D424-1)/99)*'参数'!$K$29*AD424</x:f>
        <x:v>26.07655462184874</x:v>
      </x:c>
      <x:c r="Y424" s="25" t="n">
        <x:f>('参数'!$B$28+'参数'!$B$29*(D424-1)/99)*'参数'!$K$29*AD424*IF(AE424=1,'参数'!$B$51,1)</x:f>
        <x:v>72.43487394957982</x:v>
      </x:c>
      <x:c r="Z424" s="21" t="n">
        <x:f>MIN('参数'!$B$36,U424/(U424+'参数'!$B$35))</x:f>
        <x:v>0.6117560486461108</x:v>
      </x:c>
      <x:c r="AA424" s="18" t="n">
        <x:f>T424*'参数'!$B$30/('参数'!$B$32*'参数'!$B$33)/(1-Z424)*AC424</x:f>
        <x:v>9123.27668835904</x:v>
      </x:c>
      <x:c r="AB424" s="18" t="n">
        <x:f>T424*'参数'!$B$31/'参数'!$B$34/(1-Z424)*AC424</x:f>
        <x:v>18246.55337671808</x:v>
      </x:c>
      <x:c r="AC424" s="15" t="n">
        <x:f>'参数'!$L$29*(1+'参数'!$B$53*(B424-1)/119)</x:f>
        <x:v>1.2467899159663864</x:v>
      </x:c>
      <x:c r="AD424" s="15" t="n">
        <x:f>1+'参数'!$B$52*(B424-1)/119</x:f>
        <x:v>1.073109243697479</x:v>
      </x:c>
      <x:c r="AE424" s="18" t="n">
        <x:f>IF(MOD(B424,12)=0,1,0)</x:f>
        <x:v>0</x:v>
      </x:c>
    </x:row>
    <x:row r="425" ht="22" customHeight="1">
      <x:c r="A425" s="19" t="str">
        <x:v>地狱</x:v>
      </x:c>
      <x:c r="B425" s="19" t="n">
        <x:v>60</x:v>
      </x:c>
      <x:c r="C425" s="19" t="n">
        <x:f>ROUNDUP(B425/12,0)</x:f>
        <x:v>5</x:v>
      </x:c>
      <x:c r="D425" s="19" t="n">
        <x:f>ROUND(MAX('参数'!$G$29,E425)+(IF(C425&lt;10,INDEX('参数'!$G$37:$P$37,1,MIN(10,C425+1)),'参数'!$H$29)-MAX('参数'!$G$29,E425))*MOD(B425-1,12)/11,0)</x:f>
        <x:v>100</x:v>
      </x:c>
      <x:c r="E425" s="19" t="n">
        <x:f>INDEX('参数'!$G$37:$P$37,1,C425)</x:f>
        <x:v>100</x:v>
      </x:c>
      <x:c r="F425" s="20" t="n">
        <x:f>'参数'!$I$29</x:f>
        <x:v>1.29</x:v>
      </x:c>
      <x:c r="G425" s="19" t="n">
        <x:f>ROUND(V425*X425/'参数'!$B$56,0)</x:f>
        <x:v>386356</x:v>
      </x:c>
      <x:c r="H425" s="19" t="n">
        <x:f>ROUND((AA425+SQRT(AA425^2+4*AA425*'参数'!$B$22*U425))/2,0)</x:f>
        <x:v>14196</x:v>
      </x:c>
      <x:c r="I425" s="19" t="n">
        <x:f>ROUND(Q425*'参数'!$B$23/'参数'!$B$22,0)</x:f>
        <x:v>2008</x:v>
      </x:c>
      <x:c r="J425" s="19" t="n">
        <x:f>ROUND(G425*'参数'!$B$50,0)</x:f>
        <x:v>1159068</x:v>
      </x:c>
      <x:c r="K425" s="19" t="n">
        <x:f>ROUND(W425*Y425,0)</x:f>
        <x:v>4373868</x:v>
      </x:c>
      <x:c r="L425" s="19" t="n">
        <x:f>ROUND((AB425+SQRT(AB425^2+4*AB425*'参数'!$B$22*U425))/2,0)</x:f>
        <x:v>24202</x:v>
      </x:c>
      <x:c r="M425" s="19" t="n">
        <x:f>ROUND(I425*'参数'!$B$24,0)</x:f>
        <x:v>2510</x:v>
      </x:c>
      <x:c r="N425" s="19" t="n">
        <x:f>'参数'!$B$9*'参数'!$B$10^(D425-1)</x:f>
        <x:v>11195.319600498813</x:v>
      </x:c>
      <x:c r="O425" s="19" t="n">
        <x:f>'参数'!$B$18*'参数'!$B$19^(MIN(E425,MAX(1,5*INT(D425/5)))-1)*F425*'参数'!$J$29*P425</x:f>
        <x:v>1897.6106812882254</x:v>
      </x:c>
      <x:c r="P425" s="22" t="n">
        <x:f>MIN(1,(D425-1)/19)</x:f>
        <x:v>1</x:v>
      </x:c>
      <x:c r="Q425" s="19" t="n">
        <x:f>INDEX('角色成长'!$F$6:$F$105,D425)+O425*'参数'!$K$21</x:f>
        <x:v>10042.190441671442</x:v>
      </x:c>
      <x:c r="R425" s="19" t="n">
        <x:f>INDEX('角色成长'!$I$6:$I$105,D425)+O425*'参数'!$K$21</x:f>
        <x:v>8744.190441671442</x:v>
      </x:c>
      <x:c r="S425" s="19" t="n">
        <x:f>INDEX('角色成长'!$L$6:$L$105,D425)+O425*'参数'!$K$21</x:f>
        <x:v>8003.190441671442</x:v>
      </x:c>
      <x:c r="T425" s="19" t="n">
        <x:f>(INDEX('角色成长'!$J$6:$J$105,D425)+O425*'参数'!$L$21)*(1+'参数'!$B$40*P425)</x:f>
        <x:v>113637.65283705847</x:v>
      </x:c>
      <x:c r="U425" s="19" t="n">
        <x:f>(INDEX('角色成长'!$K$6:$K$105,D425)+O425*'参数'!$M$21)*(1+'参数'!$B$41*P425)</x:f>
        <x:v>6302.800561479835</x:v>
      </x:c>
      <x:c r="V425" s="19" t="n">
        <x:f>(('参数'!$K$5*(((Q425*(1+'参数'!$B$39*P425))^2/((Q425*(1+'参数'!$B$39*P425))+'参数'!$B$22*(I425)))*(1+'参数'!$B$42*P425)/'参数'!$J$5+((Q425*'参数'!$B$43*(1+'参数'!$B$39*P425))^2/((Q425*'参数'!$B$43*(1+'参数'!$B$39*P425))+'参数'!$B$22*(I425)))/'参数'!$B$44))+(((R425*(1+'参数'!$B$39*P425))^2/((R425*(1+'参数'!$B$39*P425))+'参数'!$B$22*(I425)))*(1+'参数'!$B$42*P425)/'参数'!$J$6+((R425*'参数'!$B$45*(1+'参数'!$B$39*P425))^2/((R425*'参数'!$B$45*(1+'参数'!$B$39*P425))+'参数'!$B$22*(I425)))/'参数'!$B$46)+((S425*(1+'参数'!$B$39*P425))^2/((S425*(1+'参数'!$B$39*P425))+'参数'!$B$22*(I425)))*(1+'参数'!$B$42*P425)/'参数'!$J$7)*(1+'参数'!$B$37*('参数'!$B$38-1))*'参数'!$B$25</x:f>
        <x:v>68074.69622887956</x:v>
      </x:c>
      <x:c r="W425" s="19" t="n">
        <x:f>(('参数'!$K$5*(((Q425*(1+'参数'!$B$39*P425))^2/((Q425*(1+'参数'!$B$39*P425))+'参数'!$B$22*(M425)))*(1+'参数'!$B$42*P425)/'参数'!$J$5+((Q425*'参数'!$B$43*(1+'参数'!$B$39*P425))^2/((Q425*'参数'!$B$43*(1+'参数'!$B$39*P425))+'参数'!$B$22*(M425)))/'参数'!$B$44))+(((R425*(1+'参数'!$B$39*P425))^2/((R425*(1+'参数'!$B$39*P425))+'参数'!$B$22*(M425)))*(1+'参数'!$B$42*P425)/'参数'!$J$6+((R425*'参数'!$B$45*(1+'参数'!$B$39*P425))^2/((R425*'参数'!$B$45*(1+'参数'!$B$39*P425))+'参数'!$B$22*(M425)))/'参数'!$B$46)+((S425*(1+'参数'!$B$39*P425))^2/((S425*(1+'参数'!$B$39*P425))+'参数'!$B$22*(M425)))*(1+'参数'!$B$42*P425)/'参数'!$J$7)*(1+'参数'!$B$37*('参数'!$B$38-1))</x:f>
        <x:v>52445.746688054394</x:v>
      </x:c>
      <x:c r="X425" s="26" t="n">
        <x:f>('参数'!$B$26+'参数'!$B$27*(D425-1)/99)*'参数'!$K$29*AD425</x:f>
        <x:v>26.10718487394958</x:v>
      </x:c>
      <x:c r="Y425" s="26" t="n">
        <x:f>('参数'!$B$28+'参数'!$B$29*(D425-1)/99)*'参数'!$K$29*AD425*IF(AE425=1,'参数'!$B$51,1)</x:f>
        <x:v>83.39795168067226</x:v>
      </x:c>
      <x:c r="Z425" s="22" t="n">
        <x:f>MIN('参数'!$B$36,U425/(U425+'参数'!$B$35))</x:f>
        <x:v>0.6117560486461108</x:v>
      </x:c>
      <x:c r="AA425" s="19" t="n">
        <x:f>T425*'参数'!$B$30/('参数'!$B$32*'参数'!$B$33)/(1-Z425)*AC425</x:f>
        <x:v>9129.179811418477</x:v>
      </x:c>
      <x:c r="AB425" s="19" t="n">
        <x:f>T425*'参数'!$B$31/'参数'!$B$34/(1-Z425)*AC425</x:f>
        <x:v>18258.359622836953</x:v>
      </x:c>
      <x:c r="AC425" s="20" t="n">
        <x:f>'参数'!$L$29*(1+'参数'!$B$53*(B425-1)/119)</x:f>
        <x:v>1.2475966386554622</x:v>
      </x:c>
      <x:c r="AD425" s="20" t="n">
        <x:f>1+'参数'!$B$52*(B425-1)/119</x:f>
        <x:v>1.0743697478991596</x:v>
      </x:c>
      <x:c r="AE425" s="19" t="n">
        <x:f>IF(MOD(B425,12)=0,1,0)</x:f>
        <x:v>1</x:v>
      </x:c>
    </x:row>
    <x:row r="426" ht="22" customHeight="1">
      <x:c r="A426" s="18" t="str">
        <x:v>地狱</x:v>
      </x:c>
      <x:c r="B426" s="18" t="n">
        <x:v>61</x:v>
      </x:c>
      <x:c r="C426" s="18" t="n">
        <x:f>ROUNDUP(B426/12,0)</x:f>
        <x:v>6</x:v>
      </x:c>
      <x:c r="D426" s="18" t="n">
        <x:f>ROUND(MAX('参数'!$G$29,E426)+(IF(C426&lt;10,INDEX('参数'!$G$37:$P$37,1,MIN(10,C426+1)),'参数'!$H$29)-MAX('参数'!$G$29,E426))*MOD(B426-1,12)/11,0)</x:f>
        <x:v>100</x:v>
      </x:c>
      <x:c r="E426" s="18" t="n">
        <x:f>INDEX('参数'!$G$37:$P$37,1,C426)</x:f>
        <x:v>100</x:v>
      </x:c>
      <x:c r="F426" s="15" t="n">
        <x:f>'参数'!$I$29</x:f>
        <x:v>1.29</x:v>
      </x:c>
      <x:c r="G426" s="18" t="n">
        <x:f>ROUND(V426*X426/'参数'!$B$56,0)</x:f>
        <x:v>386810</x:v>
      </x:c>
      <x:c r="H426" s="18" t="n">
        <x:f>ROUND((AA426+SQRT(AA426^2+4*AA426*'参数'!$B$22*U426))/2,0)</x:f>
        <x:v>14203</x:v>
      </x:c>
      <x:c r="I426" s="18" t="n">
        <x:f>ROUND(Q426*'参数'!$B$23/'参数'!$B$22,0)</x:f>
        <x:v>2008</x:v>
      </x:c>
      <x:c r="J426" s="18" t="n">
        <x:f>ROUND(G426*'参数'!$B$50,0)</x:f>
        <x:v>1160430</x:v>
      </x:c>
      <x:c r="K426" s="18" t="n">
        <x:f>ROUND(W426*Y426,0)</x:f>
        <x:v>3807826</x:v>
      </x:c>
      <x:c r="L426" s="18" t="n">
        <x:f>ROUND((AB426+SQRT(AB426^2+4*AB426*'参数'!$B$22*U426))/2,0)</x:f>
        <x:v>24215</x:v>
      </x:c>
      <x:c r="M426" s="18" t="n">
        <x:f>ROUND(I426*'参数'!$B$24,0)</x:f>
        <x:v>2510</x:v>
      </x:c>
      <x:c r="N426" s="18" t="n">
        <x:f>'参数'!$B$9*'参数'!$B$10^(D426-1)</x:f>
        <x:v>11195.319600498813</x:v>
      </x:c>
      <x:c r="O426" s="18" t="n">
        <x:f>'参数'!$B$18*'参数'!$B$19^(MIN(E426,MAX(1,5*INT(D426/5)))-1)*F426*'参数'!$J$29*P426</x:f>
        <x:v>1897.6106812882254</x:v>
      </x:c>
      <x:c r="P426" s="21" t="n">
        <x:f>MIN(1,(D426-1)/19)</x:f>
        <x:v>1</x:v>
      </x:c>
      <x:c r="Q426" s="18" t="n">
        <x:f>INDEX('角色成长'!$F$6:$F$105,D426)+O426*'参数'!$K$21</x:f>
        <x:v>10042.190441671442</x:v>
      </x:c>
      <x:c r="R426" s="18" t="n">
        <x:f>INDEX('角色成长'!$I$6:$I$105,D426)+O426*'参数'!$K$21</x:f>
        <x:v>8744.190441671442</x:v>
      </x:c>
      <x:c r="S426" s="18" t="n">
        <x:f>INDEX('角色成长'!$L$6:$L$105,D426)+O426*'参数'!$K$21</x:f>
        <x:v>8003.190441671442</x:v>
      </x:c>
      <x:c r="T426" s="18" t="n">
        <x:f>(INDEX('角色成长'!$J$6:$J$105,D426)+O426*'参数'!$L$21)*(1+'参数'!$B$40*P426)</x:f>
        <x:v>113637.65283705847</x:v>
      </x:c>
      <x:c r="U426" s="18" t="n">
        <x:f>(INDEX('角色成长'!$K$6:$K$105,D426)+O426*'参数'!$M$21)*(1+'参数'!$B$41*P426)</x:f>
        <x:v>6302.800561479835</x:v>
      </x:c>
      <x:c r="V426" s="18" t="n">
        <x:f>(('参数'!$K$5*(((Q426*(1+'参数'!$B$39*P426))^2/((Q426*(1+'参数'!$B$39*P426))+'参数'!$B$22*(I426)))*(1+'参数'!$B$42*P426)/'参数'!$J$5+((Q426*'参数'!$B$43*(1+'参数'!$B$39*P426))^2/((Q426*'参数'!$B$43*(1+'参数'!$B$39*P426))+'参数'!$B$22*(I426)))/'参数'!$B$44))+(((R426*(1+'参数'!$B$39*P426))^2/((R426*(1+'参数'!$B$39*P426))+'参数'!$B$22*(I426)))*(1+'参数'!$B$42*P426)/'参数'!$J$6+((R426*'参数'!$B$45*(1+'参数'!$B$39*P426))^2/((R426*'参数'!$B$45*(1+'参数'!$B$39*P426))+'参数'!$B$22*(I426)))/'参数'!$B$46)+((S426*(1+'参数'!$B$39*P426))^2/((S426*(1+'参数'!$B$39*P426))+'参数'!$B$22*(I426)))*(1+'参数'!$B$42*P426)/'参数'!$J$7)*(1+'参数'!$B$37*('参数'!$B$38-1))*'参数'!$B$25</x:f>
        <x:v>68074.69622887956</x:v>
      </x:c>
      <x:c r="W426" s="18" t="n">
        <x:f>(('参数'!$K$5*(((Q426*(1+'参数'!$B$39*P426))^2/((Q426*(1+'参数'!$B$39*P426))+'参数'!$B$22*(M426)))*(1+'参数'!$B$42*P426)/'参数'!$J$5+((Q426*'参数'!$B$43*(1+'参数'!$B$39*P426))^2/((Q426*'参数'!$B$43*(1+'参数'!$B$39*P426))+'参数'!$B$22*(M426)))/'参数'!$B$44))+(((R426*(1+'参数'!$B$39*P426))^2/((R426*(1+'参数'!$B$39*P426))+'参数'!$B$22*(M426)))*(1+'参数'!$B$42*P426)/'参数'!$J$6+((R426*'参数'!$B$45*(1+'参数'!$B$39*P426))^2/((R426*'参数'!$B$45*(1+'参数'!$B$39*P426))+'参数'!$B$22*(M426)))/'参数'!$B$46)+((S426*(1+'参数'!$B$39*P426))^2/((S426*(1+'参数'!$B$39*P426))+'参数'!$B$22*(M426)))*(1+'参数'!$B$42*P426)/'参数'!$J$7)*(1+'参数'!$B$37*('参数'!$B$38-1))</x:f>
        <x:v>52445.746688054394</x:v>
      </x:c>
      <x:c r="X426" s="25" t="n">
        <x:f>('参数'!$B$26+'参数'!$B$27*(D426-1)/99)*'参数'!$K$29*AD426</x:f>
        <x:v>26.13781512605042</x:v>
      </x:c>
      <x:c r="Y426" s="25" t="n">
        <x:f>('参数'!$B$28+'参数'!$B$29*(D426-1)/99)*'参数'!$K$29*AD426*IF(AE426=1,'参数'!$B$51,1)</x:f>
        <x:v>72.60504201680672</x:v>
      </x:c>
      <x:c r="Z426" s="21" t="n">
        <x:f>MIN('参数'!$B$36,U426/(U426+'参数'!$B$35))</x:f>
        <x:v>0.6117560486461108</x:v>
      </x:c>
      <x:c r="AA426" s="18" t="n">
        <x:f>T426*'参数'!$B$30/('参数'!$B$32*'参数'!$B$33)/(1-Z426)*AC426</x:f>
        <x:v>9135.082934477912</x:v>
      </x:c>
      <x:c r="AB426" s="18" t="n">
        <x:f>T426*'参数'!$B$31/'参数'!$B$34/(1-Z426)*AC426</x:f>
        <x:v>18270.165868955824</x:v>
      </x:c>
      <x:c r="AC426" s="15" t="n">
        <x:f>'参数'!$L$29*(1+'参数'!$B$53*(B426-1)/119)</x:f>
        <x:v>1.2484033613445378</x:v>
      </x:c>
      <x:c r="AD426" s="15" t="n">
        <x:f>1+'参数'!$B$52*(B426-1)/119</x:f>
        <x:v>1.0756302521008403</x:v>
      </x:c>
      <x:c r="AE426" s="18" t="n">
        <x:f>IF(MOD(B426,12)=0,1,0)</x:f>
        <x:v>0</x:v>
      </x:c>
    </x:row>
    <x:row r="427" ht="22" customHeight="1">
      <x:c r="A427" s="19" t="str">
        <x:v>地狱</x:v>
      </x:c>
      <x:c r="B427" s="19" t="n">
        <x:v>62</x:v>
      </x:c>
      <x:c r="C427" s="19" t="n">
        <x:f>ROUNDUP(B427/12,0)</x:f>
        <x:v>6</x:v>
      </x:c>
      <x:c r="D427" s="19" t="n">
        <x:f>ROUND(MAX('参数'!$G$29,E427)+(IF(C427&lt;10,INDEX('参数'!$G$37:$P$37,1,MIN(10,C427+1)),'参数'!$H$29)-MAX('参数'!$G$29,E427))*MOD(B427-1,12)/11,0)</x:f>
        <x:v>100</x:v>
      </x:c>
      <x:c r="E427" s="19" t="n">
        <x:f>INDEX('参数'!$G$37:$P$37,1,C427)</x:f>
        <x:v>100</x:v>
      </x:c>
      <x:c r="F427" s="20" t="n">
        <x:f>'参数'!$I$29</x:f>
        <x:v>1.29</x:v>
      </x:c>
      <x:c r="G427" s="19" t="n">
        <x:f>ROUND(V427*X427/'参数'!$B$56,0)</x:f>
        <x:v>387263</x:v>
      </x:c>
      <x:c r="H427" s="19" t="n">
        <x:f>ROUND((AA427+SQRT(AA427^2+4*AA427*'参数'!$B$22*U427))/2,0)</x:f>
        <x:v>14209</x:v>
      </x:c>
      <x:c r="I427" s="19" t="n">
        <x:f>ROUND(Q427*'参数'!$B$23/'参数'!$B$22,0)</x:f>
        <x:v>2008</x:v>
      </x:c>
      <x:c r="J427" s="19" t="n">
        <x:f>ROUND(G427*'参数'!$B$50,0)</x:f>
        <x:v>1161789</x:v>
      </x:c>
      <x:c r="K427" s="19" t="n">
        <x:f>ROUND(W427*Y427,0)</x:f>
        <x:v>3812288</x:v>
      </x:c>
      <x:c r="L427" s="19" t="n">
        <x:f>ROUND((AB427+SQRT(AB427^2+4*AB427*'参数'!$B$22*U427))/2,0)</x:f>
        <x:v>24227</x:v>
      </x:c>
      <x:c r="M427" s="19" t="n">
        <x:f>ROUND(I427*'参数'!$B$24,0)</x:f>
        <x:v>2510</x:v>
      </x:c>
      <x:c r="N427" s="19" t="n">
        <x:f>'参数'!$B$9*'参数'!$B$10^(D427-1)</x:f>
        <x:v>11195.319600498813</x:v>
      </x:c>
      <x:c r="O427" s="19" t="n">
        <x:f>'参数'!$B$18*'参数'!$B$19^(MIN(E427,MAX(1,5*INT(D427/5)))-1)*F427*'参数'!$J$29*P427</x:f>
        <x:v>1897.6106812882254</x:v>
      </x:c>
      <x:c r="P427" s="22" t="n">
        <x:f>MIN(1,(D427-1)/19)</x:f>
        <x:v>1</x:v>
      </x:c>
      <x:c r="Q427" s="19" t="n">
        <x:f>INDEX('角色成长'!$F$6:$F$105,D427)+O427*'参数'!$K$21</x:f>
        <x:v>10042.190441671442</x:v>
      </x:c>
      <x:c r="R427" s="19" t="n">
        <x:f>INDEX('角色成长'!$I$6:$I$105,D427)+O427*'参数'!$K$21</x:f>
        <x:v>8744.190441671442</x:v>
      </x:c>
      <x:c r="S427" s="19" t="n">
        <x:f>INDEX('角色成长'!$L$6:$L$105,D427)+O427*'参数'!$K$21</x:f>
        <x:v>8003.190441671442</x:v>
      </x:c>
      <x:c r="T427" s="19" t="n">
        <x:f>(INDEX('角色成长'!$J$6:$J$105,D427)+O427*'参数'!$L$21)*(1+'参数'!$B$40*P427)</x:f>
        <x:v>113637.65283705847</x:v>
      </x:c>
      <x:c r="U427" s="19" t="n">
        <x:f>(INDEX('角色成长'!$K$6:$K$105,D427)+O427*'参数'!$M$21)*(1+'参数'!$B$41*P427)</x:f>
        <x:v>6302.800561479835</x:v>
      </x:c>
      <x:c r="V427" s="19" t="n">
        <x:f>(('参数'!$K$5*(((Q427*(1+'参数'!$B$39*P427))^2/((Q427*(1+'参数'!$B$39*P427))+'参数'!$B$22*(I427)))*(1+'参数'!$B$42*P427)/'参数'!$J$5+((Q427*'参数'!$B$43*(1+'参数'!$B$39*P427))^2/((Q427*'参数'!$B$43*(1+'参数'!$B$39*P427))+'参数'!$B$22*(I427)))/'参数'!$B$44))+(((R427*(1+'参数'!$B$39*P427))^2/((R427*(1+'参数'!$B$39*P427))+'参数'!$B$22*(I427)))*(1+'参数'!$B$42*P427)/'参数'!$J$6+((R427*'参数'!$B$45*(1+'参数'!$B$39*P427))^2/((R427*'参数'!$B$45*(1+'参数'!$B$39*P427))+'参数'!$B$22*(I427)))/'参数'!$B$46)+((S427*(1+'参数'!$B$39*P427))^2/((S427*(1+'参数'!$B$39*P427))+'参数'!$B$22*(I427)))*(1+'参数'!$B$42*P427)/'参数'!$J$7)*(1+'参数'!$B$37*('参数'!$B$38-1))*'参数'!$B$25</x:f>
        <x:v>68074.69622887956</x:v>
      </x:c>
      <x:c r="W427" s="19" t="n">
        <x:f>(('参数'!$K$5*(((Q427*(1+'参数'!$B$39*P427))^2/((Q427*(1+'参数'!$B$39*P427))+'参数'!$B$22*(M427)))*(1+'参数'!$B$42*P427)/'参数'!$J$5+((Q427*'参数'!$B$43*(1+'参数'!$B$39*P427))^2/((Q427*'参数'!$B$43*(1+'参数'!$B$39*P427))+'参数'!$B$22*(M427)))/'参数'!$B$44))+(((R427*(1+'参数'!$B$39*P427))^2/((R427*(1+'参数'!$B$39*P427))+'参数'!$B$22*(M427)))*(1+'参数'!$B$42*P427)/'参数'!$J$6+((R427*'参数'!$B$45*(1+'参数'!$B$39*P427))^2/((R427*'参数'!$B$45*(1+'参数'!$B$39*P427))+'参数'!$B$22*(M427)))/'参数'!$B$46)+((S427*(1+'参数'!$B$39*P427))^2/((S427*(1+'参数'!$B$39*P427))+'参数'!$B$22*(M427)))*(1+'参数'!$B$42*P427)/'参数'!$J$7)*(1+'参数'!$B$37*('参数'!$B$38-1))</x:f>
        <x:v>52445.746688054394</x:v>
      </x:c>
      <x:c r="X427" s="26" t="n">
        <x:f>('参数'!$B$26+'参数'!$B$27*(D427-1)/99)*'参数'!$K$29*AD427</x:f>
        <x:v>26.16844537815126</x:v>
      </x:c>
      <x:c r="Y427" s="26" t="n">
        <x:f>('参数'!$B$28+'参数'!$B$29*(D427-1)/99)*'参数'!$K$29*AD427*IF(AE427=1,'参数'!$B$51,1)</x:f>
        <x:v>72.69012605042016</x:v>
      </x:c>
      <x:c r="Z427" s="22" t="n">
        <x:f>MIN('参数'!$B$36,U427/(U427+'参数'!$B$35))</x:f>
        <x:v>0.6117560486461108</x:v>
      </x:c>
      <x:c r="AA427" s="19" t="n">
        <x:f>T427*'参数'!$B$30/('参数'!$B$32*'参数'!$B$33)/(1-Z427)*AC427</x:f>
        <x:v>9140.986057537348</x:v>
      </x:c>
      <x:c r="AB427" s="19" t="n">
        <x:f>T427*'参数'!$B$31/'参数'!$B$34/(1-Z427)*AC427</x:f>
        <x:v>18281.972115074695</x:v>
      </x:c>
      <x:c r="AC427" s="20" t="n">
        <x:f>'参数'!$L$29*(1+'参数'!$B$53*(B427-1)/119)</x:f>
        <x:v>1.2492100840336133</x:v>
      </x:c>
      <x:c r="AD427" s="20" t="n">
        <x:f>1+'参数'!$B$52*(B427-1)/119</x:f>
        <x:v>1.076890756302521</x:v>
      </x:c>
      <x:c r="AE427" s="19" t="n">
        <x:f>IF(MOD(B427,12)=0,1,0)</x:f>
        <x:v>0</x:v>
      </x:c>
    </x:row>
    <x:row r="428" ht="22" customHeight="1">
      <x:c r="A428" s="18" t="str">
        <x:v>地狱</x:v>
      </x:c>
      <x:c r="B428" s="18" t="n">
        <x:v>63</x:v>
      </x:c>
      <x:c r="C428" s="18" t="n">
        <x:f>ROUNDUP(B428/12,0)</x:f>
        <x:v>6</x:v>
      </x:c>
      <x:c r="D428" s="18" t="n">
        <x:f>ROUND(MAX('参数'!$G$29,E428)+(IF(C428&lt;10,INDEX('参数'!$G$37:$P$37,1,MIN(10,C428+1)),'参数'!$H$29)-MAX('参数'!$G$29,E428))*MOD(B428-1,12)/11,0)</x:f>
        <x:v>100</x:v>
      </x:c>
      <x:c r="E428" s="18" t="n">
        <x:f>INDEX('参数'!$G$37:$P$37,1,C428)</x:f>
        <x:v>100</x:v>
      </x:c>
      <x:c r="F428" s="15" t="n">
        <x:f>'参数'!$I$29</x:f>
        <x:v>1.29</x:v>
      </x:c>
      <x:c r="G428" s="18" t="n">
        <x:f>ROUND(V428*X428/'参数'!$B$56,0)</x:f>
        <x:v>387716</x:v>
      </x:c>
      <x:c r="H428" s="18" t="n">
        <x:f>ROUND((AA428+SQRT(AA428^2+4*AA428*'参数'!$B$22*U428))/2,0)</x:f>
        <x:v>14216</x:v>
      </x:c>
      <x:c r="I428" s="18" t="n">
        <x:f>ROUND(Q428*'参数'!$B$23/'参数'!$B$22,0)</x:f>
        <x:v>2008</x:v>
      </x:c>
      <x:c r="J428" s="18" t="n">
        <x:f>ROUND(G428*'参数'!$B$50,0)</x:f>
        <x:v>1163148</x:v>
      </x:c>
      <x:c r="K428" s="18" t="n">
        <x:f>ROUND(W428*Y428,0)</x:f>
        <x:v>3816750</x:v>
      </x:c>
      <x:c r="L428" s="18" t="n">
        <x:f>ROUND((AB428+SQRT(AB428^2+4*AB428*'参数'!$B$22*U428))/2,0)</x:f>
        <x:v>24240</x:v>
      </x:c>
      <x:c r="M428" s="18" t="n">
        <x:f>ROUND(I428*'参数'!$B$24,0)</x:f>
        <x:v>2510</x:v>
      </x:c>
      <x:c r="N428" s="18" t="n">
        <x:f>'参数'!$B$9*'参数'!$B$10^(D428-1)</x:f>
        <x:v>11195.319600498813</x:v>
      </x:c>
      <x:c r="O428" s="18" t="n">
        <x:f>'参数'!$B$18*'参数'!$B$19^(MIN(E428,MAX(1,5*INT(D428/5)))-1)*F428*'参数'!$J$29*P428</x:f>
        <x:v>1897.6106812882254</x:v>
      </x:c>
      <x:c r="P428" s="21" t="n">
        <x:f>MIN(1,(D428-1)/19)</x:f>
        <x:v>1</x:v>
      </x:c>
      <x:c r="Q428" s="18" t="n">
        <x:f>INDEX('角色成长'!$F$6:$F$105,D428)+O428*'参数'!$K$21</x:f>
        <x:v>10042.190441671442</x:v>
      </x:c>
      <x:c r="R428" s="18" t="n">
        <x:f>INDEX('角色成长'!$I$6:$I$105,D428)+O428*'参数'!$K$21</x:f>
        <x:v>8744.190441671442</x:v>
      </x:c>
      <x:c r="S428" s="18" t="n">
        <x:f>INDEX('角色成长'!$L$6:$L$105,D428)+O428*'参数'!$K$21</x:f>
        <x:v>8003.190441671442</x:v>
      </x:c>
      <x:c r="T428" s="18" t="n">
        <x:f>(INDEX('角色成长'!$J$6:$J$105,D428)+O428*'参数'!$L$21)*(1+'参数'!$B$40*P428)</x:f>
        <x:v>113637.65283705847</x:v>
      </x:c>
      <x:c r="U428" s="18" t="n">
        <x:f>(INDEX('角色成长'!$K$6:$K$105,D428)+O428*'参数'!$M$21)*(1+'参数'!$B$41*P428)</x:f>
        <x:v>6302.800561479835</x:v>
      </x:c>
      <x:c r="V428" s="18" t="n">
        <x:f>(('参数'!$K$5*(((Q428*(1+'参数'!$B$39*P428))^2/((Q428*(1+'参数'!$B$39*P428))+'参数'!$B$22*(I428)))*(1+'参数'!$B$42*P428)/'参数'!$J$5+((Q428*'参数'!$B$43*(1+'参数'!$B$39*P428))^2/((Q428*'参数'!$B$43*(1+'参数'!$B$39*P428))+'参数'!$B$22*(I428)))/'参数'!$B$44))+(((R428*(1+'参数'!$B$39*P428))^2/((R428*(1+'参数'!$B$39*P428))+'参数'!$B$22*(I428)))*(1+'参数'!$B$42*P428)/'参数'!$J$6+((R428*'参数'!$B$45*(1+'参数'!$B$39*P428))^2/((R428*'参数'!$B$45*(1+'参数'!$B$39*P428))+'参数'!$B$22*(I428)))/'参数'!$B$46)+((S428*(1+'参数'!$B$39*P428))^2/((S428*(1+'参数'!$B$39*P428))+'参数'!$B$22*(I428)))*(1+'参数'!$B$42*P428)/'参数'!$J$7)*(1+'参数'!$B$37*('参数'!$B$38-1))*'参数'!$B$25</x:f>
        <x:v>68074.69622887956</x:v>
      </x:c>
      <x:c r="W428" s="18" t="n">
        <x:f>(('参数'!$K$5*(((Q428*(1+'参数'!$B$39*P428))^2/((Q428*(1+'参数'!$B$39*P428))+'参数'!$B$22*(M428)))*(1+'参数'!$B$42*P428)/'参数'!$J$5+((Q428*'参数'!$B$43*(1+'参数'!$B$39*P428))^2/((Q428*'参数'!$B$43*(1+'参数'!$B$39*P428))+'参数'!$B$22*(M428)))/'参数'!$B$44))+(((R428*(1+'参数'!$B$39*P428))^2/((R428*(1+'参数'!$B$39*P428))+'参数'!$B$22*(M428)))*(1+'参数'!$B$42*P428)/'参数'!$J$6+((R428*'参数'!$B$45*(1+'参数'!$B$39*P428))^2/((R428*'参数'!$B$45*(1+'参数'!$B$39*P428))+'参数'!$B$22*(M428)))/'参数'!$B$46)+((S428*(1+'参数'!$B$39*P428))^2/((S428*(1+'参数'!$B$39*P428))+'参数'!$B$22*(M428)))*(1+'参数'!$B$42*P428)/'参数'!$J$7)*(1+'参数'!$B$37*('参数'!$B$38-1))</x:f>
        <x:v>52445.746688054394</x:v>
      </x:c>
      <x:c r="X428" s="25" t="n">
        <x:f>('参数'!$B$26+'参数'!$B$27*(D428-1)/99)*'参数'!$K$29*AD428</x:f>
        <x:v>26.1990756302521</x:v>
      </x:c>
      <x:c r="Y428" s="25" t="n">
        <x:f>('参数'!$B$28+'参数'!$B$29*(D428-1)/99)*'参数'!$K$29*AD428*IF(AE428=1,'参数'!$B$51,1)</x:f>
        <x:v>72.7752100840336</x:v>
      </x:c>
      <x:c r="Z428" s="21" t="n">
        <x:f>MIN('参数'!$B$36,U428/(U428+'参数'!$B$35))</x:f>
        <x:v>0.6117560486461108</x:v>
      </x:c>
      <x:c r="AA428" s="18" t="n">
        <x:f>T428*'参数'!$B$30/('参数'!$B$32*'参数'!$B$33)/(1-Z428)*AC428</x:f>
        <x:v>9146.889180596785</x:v>
      </x:c>
      <x:c r="AB428" s="18" t="n">
        <x:f>T428*'参数'!$B$31/'参数'!$B$34/(1-Z428)*AC428</x:f>
        <x:v>18293.77836119357</x:v>
      </x:c>
      <x:c r="AC428" s="15" t="n">
        <x:f>'参数'!$L$29*(1+'参数'!$B$53*(B428-1)/119)</x:f>
        <x:v>1.2500168067226891</x:v>
      </x:c>
      <x:c r="AD428" s="15" t="n">
        <x:f>1+'参数'!$B$52*(B428-1)/119</x:f>
        <x:v>1.0781512605042016</x:v>
      </x:c>
      <x:c r="AE428" s="18" t="n">
        <x:f>IF(MOD(B428,12)=0,1,0)</x:f>
        <x:v>0</x:v>
      </x:c>
    </x:row>
    <x:row r="429" ht="22" customHeight="1">
      <x:c r="A429" s="19" t="str">
        <x:v>地狱</x:v>
      </x:c>
      <x:c r="B429" s="19" t="n">
        <x:v>64</x:v>
      </x:c>
      <x:c r="C429" s="19" t="n">
        <x:f>ROUNDUP(B429/12,0)</x:f>
        <x:v>6</x:v>
      </x:c>
      <x:c r="D429" s="19" t="n">
        <x:f>ROUND(MAX('参数'!$G$29,E429)+(IF(C429&lt;10,INDEX('参数'!$G$37:$P$37,1,MIN(10,C429+1)),'参数'!$H$29)-MAX('参数'!$G$29,E429))*MOD(B429-1,12)/11,0)</x:f>
        <x:v>100</x:v>
      </x:c>
      <x:c r="E429" s="19" t="n">
        <x:f>INDEX('参数'!$G$37:$P$37,1,C429)</x:f>
        <x:v>100</x:v>
      </x:c>
      <x:c r="F429" s="20" t="n">
        <x:f>'参数'!$I$29</x:f>
        <x:v>1.29</x:v>
      </x:c>
      <x:c r="G429" s="19" t="n">
        <x:f>ROUND(V429*X429/'参数'!$B$56,0)</x:f>
        <x:v>388169</x:v>
      </x:c>
      <x:c r="H429" s="19" t="n">
        <x:f>ROUND((AA429+SQRT(AA429^2+4*AA429*'参数'!$B$22*U429))/2,0)</x:f>
        <x:v>14223</x:v>
      </x:c>
      <x:c r="I429" s="19" t="n">
        <x:f>ROUND(Q429*'参数'!$B$23/'参数'!$B$22,0)</x:f>
        <x:v>2008</x:v>
      </x:c>
      <x:c r="J429" s="19" t="n">
        <x:f>ROUND(G429*'参数'!$B$50,0)</x:f>
        <x:v>1164507</x:v>
      </x:c>
      <x:c r="K429" s="19" t="n">
        <x:f>ROUND(W429*Y429,0)</x:f>
        <x:v>3821213</x:v>
      </x:c>
      <x:c r="L429" s="19" t="n">
        <x:f>ROUND((AB429+SQRT(AB429^2+4*AB429*'参数'!$B$22*U429))/2,0)</x:f>
        <x:v>24252</x:v>
      </x:c>
      <x:c r="M429" s="19" t="n">
        <x:f>ROUND(I429*'参数'!$B$24,0)</x:f>
        <x:v>2510</x:v>
      </x:c>
      <x:c r="N429" s="19" t="n">
        <x:f>'参数'!$B$9*'参数'!$B$10^(D429-1)</x:f>
        <x:v>11195.319600498813</x:v>
      </x:c>
      <x:c r="O429" s="19" t="n">
        <x:f>'参数'!$B$18*'参数'!$B$19^(MIN(E429,MAX(1,5*INT(D429/5)))-1)*F429*'参数'!$J$29*P429</x:f>
        <x:v>1897.6106812882254</x:v>
      </x:c>
      <x:c r="P429" s="22" t="n">
        <x:f>MIN(1,(D429-1)/19)</x:f>
        <x:v>1</x:v>
      </x:c>
      <x:c r="Q429" s="19" t="n">
        <x:f>INDEX('角色成长'!$F$6:$F$105,D429)+O429*'参数'!$K$21</x:f>
        <x:v>10042.190441671442</x:v>
      </x:c>
      <x:c r="R429" s="19" t="n">
        <x:f>INDEX('角色成长'!$I$6:$I$105,D429)+O429*'参数'!$K$21</x:f>
        <x:v>8744.190441671442</x:v>
      </x:c>
      <x:c r="S429" s="19" t="n">
        <x:f>INDEX('角色成长'!$L$6:$L$105,D429)+O429*'参数'!$K$21</x:f>
        <x:v>8003.190441671442</x:v>
      </x:c>
      <x:c r="T429" s="19" t="n">
        <x:f>(INDEX('角色成长'!$J$6:$J$105,D429)+O429*'参数'!$L$21)*(1+'参数'!$B$40*P429)</x:f>
        <x:v>113637.65283705847</x:v>
      </x:c>
      <x:c r="U429" s="19" t="n">
        <x:f>(INDEX('角色成长'!$K$6:$K$105,D429)+O429*'参数'!$M$21)*(1+'参数'!$B$41*P429)</x:f>
        <x:v>6302.800561479835</x:v>
      </x:c>
      <x:c r="V429" s="19" t="n">
        <x:f>(('参数'!$K$5*(((Q429*(1+'参数'!$B$39*P429))^2/((Q429*(1+'参数'!$B$39*P429))+'参数'!$B$22*(I429)))*(1+'参数'!$B$42*P429)/'参数'!$J$5+((Q429*'参数'!$B$43*(1+'参数'!$B$39*P429))^2/((Q429*'参数'!$B$43*(1+'参数'!$B$39*P429))+'参数'!$B$22*(I429)))/'参数'!$B$44))+(((R429*(1+'参数'!$B$39*P429))^2/((R429*(1+'参数'!$B$39*P429))+'参数'!$B$22*(I429)))*(1+'参数'!$B$42*P429)/'参数'!$J$6+((R429*'参数'!$B$45*(1+'参数'!$B$39*P429))^2/((R429*'参数'!$B$45*(1+'参数'!$B$39*P429))+'参数'!$B$22*(I429)))/'参数'!$B$46)+((S429*(1+'参数'!$B$39*P429))^2/((S429*(1+'参数'!$B$39*P429))+'参数'!$B$22*(I429)))*(1+'参数'!$B$42*P429)/'参数'!$J$7)*(1+'参数'!$B$37*('参数'!$B$38-1))*'参数'!$B$25</x:f>
        <x:v>68074.69622887956</x:v>
      </x:c>
      <x:c r="W429" s="19" t="n">
        <x:f>(('参数'!$K$5*(((Q429*(1+'参数'!$B$39*P429))^2/((Q429*(1+'参数'!$B$39*P429))+'参数'!$B$22*(M429)))*(1+'参数'!$B$42*P429)/'参数'!$J$5+((Q429*'参数'!$B$43*(1+'参数'!$B$39*P429))^2/((Q429*'参数'!$B$43*(1+'参数'!$B$39*P429))+'参数'!$B$22*(M429)))/'参数'!$B$44))+(((R429*(1+'参数'!$B$39*P429))^2/((R429*(1+'参数'!$B$39*P429))+'参数'!$B$22*(M429)))*(1+'参数'!$B$42*P429)/'参数'!$J$6+((R429*'参数'!$B$45*(1+'参数'!$B$39*P429))^2/((R429*'参数'!$B$45*(1+'参数'!$B$39*P429))+'参数'!$B$22*(M429)))/'参数'!$B$46)+((S429*(1+'参数'!$B$39*P429))^2/((S429*(1+'参数'!$B$39*P429))+'参数'!$B$22*(M429)))*(1+'参数'!$B$42*P429)/'参数'!$J$7)*(1+'参数'!$B$37*('参数'!$B$38-1))</x:f>
        <x:v>52445.746688054394</x:v>
      </x:c>
      <x:c r="X429" s="26" t="n">
        <x:f>('参数'!$B$26+'参数'!$B$27*(D429-1)/99)*'参数'!$K$29*AD429</x:f>
        <x:v>26.229705882352942</x:v>
      </x:c>
      <x:c r="Y429" s="26" t="n">
        <x:f>('参数'!$B$28+'参数'!$B$29*(D429-1)/99)*'参数'!$K$29*AD429*IF(AE429=1,'参数'!$B$51,1)</x:f>
        <x:v>72.86029411764706</x:v>
      </x:c>
      <x:c r="Z429" s="22" t="n">
        <x:f>MIN('参数'!$B$36,U429/(U429+'参数'!$B$35))</x:f>
        <x:v>0.6117560486461108</x:v>
      </x:c>
      <x:c r="AA429" s="19" t="n">
        <x:f>T429*'参数'!$B$30/('参数'!$B$32*'参数'!$B$33)/(1-Z429)*AC429</x:f>
        <x:v>9152.79230365622</x:v>
      </x:c>
      <x:c r="AB429" s="19" t="n">
        <x:f>T429*'参数'!$B$31/'参数'!$B$34/(1-Z429)*AC429</x:f>
        <x:v>18305.58460731244</x:v>
      </x:c>
      <x:c r="AC429" s="20" t="n">
        <x:f>'参数'!$L$29*(1+'参数'!$B$53*(B429-1)/119)</x:f>
        <x:v>1.2508235294117644</x:v>
      </x:c>
      <x:c r="AD429" s="20" t="n">
        <x:f>1+'参数'!$B$52*(B429-1)/119</x:f>
        <x:v>1.0794117647058823</x:v>
      </x:c>
      <x:c r="AE429" s="19" t="n">
        <x:f>IF(MOD(B429,12)=0,1,0)</x:f>
        <x:v>0</x:v>
      </x:c>
    </x:row>
    <x:row r="430" ht="22" customHeight="1">
      <x:c r="A430" s="18" t="str">
        <x:v>地狱</x:v>
      </x:c>
      <x:c r="B430" s="18" t="n">
        <x:v>65</x:v>
      </x:c>
      <x:c r="C430" s="18" t="n">
        <x:f>ROUNDUP(B430/12,0)</x:f>
        <x:v>6</x:v>
      </x:c>
      <x:c r="D430" s="18" t="n">
        <x:f>ROUND(MAX('参数'!$G$29,E430)+(IF(C430&lt;10,INDEX('参数'!$G$37:$P$37,1,MIN(10,C430+1)),'参数'!$H$29)-MAX('参数'!$G$29,E430))*MOD(B430-1,12)/11,0)</x:f>
        <x:v>100</x:v>
      </x:c>
      <x:c r="E430" s="18" t="n">
        <x:f>INDEX('参数'!$G$37:$P$37,1,C430)</x:f>
        <x:v>100</x:v>
      </x:c>
      <x:c r="F430" s="15" t="n">
        <x:f>'参数'!$I$29</x:f>
        <x:v>1.29</x:v>
      </x:c>
      <x:c r="G430" s="18" t="n">
        <x:f>ROUND(V430*X430/'参数'!$B$56,0)</x:f>
        <x:v>388623</x:v>
      </x:c>
      <x:c r="H430" s="18" t="n">
        <x:f>ROUND((AA430+SQRT(AA430^2+4*AA430*'参数'!$B$22*U430))/2,0)</x:f>
        <x:v>14230</x:v>
      </x:c>
      <x:c r="I430" s="18" t="n">
        <x:f>ROUND(Q430*'参数'!$B$23/'参数'!$B$22,0)</x:f>
        <x:v>2008</x:v>
      </x:c>
      <x:c r="J430" s="18" t="n">
        <x:f>ROUND(G430*'参数'!$B$50,0)</x:f>
        <x:v>1165869</x:v>
      </x:c>
      <x:c r="K430" s="18" t="n">
        <x:f>ROUND(W430*Y430,0)</x:f>
        <x:v>3825675</x:v>
      </x:c>
      <x:c r="L430" s="18" t="n">
        <x:f>ROUND((AB430+SQRT(AB430^2+4*AB430*'参数'!$B$22*U430))/2,0)</x:f>
        <x:v>24265</x:v>
      </x:c>
      <x:c r="M430" s="18" t="n">
        <x:f>ROUND(I430*'参数'!$B$24,0)</x:f>
        <x:v>2510</x:v>
      </x:c>
      <x:c r="N430" s="18" t="n">
        <x:f>'参数'!$B$9*'参数'!$B$10^(D430-1)</x:f>
        <x:v>11195.319600498813</x:v>
      </x:c>
      <x:c r="O430" s="18" t="n">
        <x:f>'参数'!$B$18*'参数'!$B$19^(MIN(E430,MAX(1,5*INT(D430/5)))-1)*F430*'参数'!$J$29*P430</x:f>
        <x:v>1897.6106812882254</x:v>
      </x:c>
      <x:c r="P430" s="21" t="n">
        <x:f>MIN(1,(D430-1)/19)</x:f>
        <x:v>1</x:v>
      </x:c>
      <x:c r="Q430" s="18" t="n">
        <x:f>INDEX('角色成长'!$F$6:$F$105,D430)+O430*'参数'!$K$21</x:f>
        <x:v>10042.190441671442</x:v>
      </x:c>
      <x:c r="R430" s="18" t="n">
        <x:f>INDEX('角色成长'!$I$6:$I$105,D430)+O430*'参数'!$K$21</x:f>
        <x:v>8744.190441671442</x:v>
      </x:c>
      <x:c r="S430" s="18" t="n">
        <x:f>INDEX('角色成长'!$L$6:$L$105,D430)+O430*'参数'!$K$21</x:f>
        <x:v>8003.190441671442</x:v>
      </x:c>
      <x:c r="T430" s="18" t="n">
        <x:f>(INDEX('角色成长'!$J$6:$J$105,D430)+O430*'参数'!$L$21)*(1+'参数'!$B$40*P430)</x:f>
        <x:v>113637.65283705847</x:v>
      </x:c>
      <x:c r="U430" s="18" t="n">
        <x:f>(INDEX('角色成长'!$K$6:$K$105,D430)+O430*'参数'!$M$21)*(1+'参数'!$B$41*P430)</x:f>
        <x:v>6302.800561479835</x:v>
      </x:c>
      <x:c r="V430" s="18" t="n">
        <x:f>(('参数'!$K$5*(((Q430*(1+'参数'!$B$39*P430))^2/((Q430*(1+'参数'!$B$39*P430))+'参数'!$B$22*(I430)))*(1+'参数'!$B$42*P430)/'参数'!$J$5+((Q430*'参数'!$B$43*(1+'参数'!$B$39*P430))^2/((Q430*'参数'!$B$43*(1+'参数'!$B$39*P430))+'参数'!$B$22*(I430)))/'参数'!$B$44))+(((R430*(1+'参数'!$B$39*P430))^2/((R430*(1+'参数'!$B$39*P430))+'参数'!$B$22*(I430)))*(1+'参数'!$B$42*P430)/'参数'!$J$6+((R430*'参数'!$B$45*(1+'参数'!$B$39*P430))^2/((R430*'参数'!$B$45*(1+'参数'!$B$39*P430))+'参数'!$B$22*(I430)))/'参数'!$B$46)+((S430*(1+'参数'!$B$39*P430))^2/((S430*(1+'参数'!$B$39*P430))+'参数'!$B$22*(I430)))*(1+'参数'!$B$42*P430)/'参数'!$J$7)*(1+'参数'!$B$37*('参数'!$B$38-1))*'参数'!$B$25</x:f>
        <x:v>68074.69622887956</x:v>
      </x:c>
      <x:c r="W430" s="18" t="n">
        <x:f>(('参数'!$K$5*(((Q430*(1+'参数'!$B$39*P430))^2/((Q430*(1+'参数'!$B$39*P430))+'参数'!$B$22*(M430)))*(1+'参数'!$B$42*P430)/'参数'!$J$5+((Q430*'参数'!$B$43*(1+'参数'!$B$39*P430))^2/((Q430*'参数'!$B$43*(1+'参数'!$B$39*P430))+'参数'!$B$22*(M430)))/'参数'!$B$44))+(((R430*(1+'参数'!$B$39*P430))^2/((R430*(1+'参数'!$B$39*P430))+'参数'!$B$22*(M430)))*(1+'参数'!$B$42*P430)/'参数'!$J$6+((R430*'参数'!$B$45*(1+'参数'!$B$39*P430))^2/((R430*'参数'!$B$45*(1+'参数'!$B$39*P430))+'参数'!$B$22*(M430)))/'参数'!$B$46)+((S430*(1+'参数'!$B$39*P430))^2/((S430*(1+'参数'!$B$39*P430))+'参数'!$B$22*(M430)))*(1+'参数'!$B$42*P430)/'参数'!$J$7)*(1+'参数'!$B$37*('参数'!$B$38-1))</x:f>
        <x:v>52445.746688054394</x:v>
      </x:c>
      <x:c r="X430" s="25" t="n">
        <x:f>('参数'!$B$26+'参数'!$B$27*(D430-1)/99)*'参数'!$K$29*AD430</x:f>
        <x:v>26.26033613445378</x:v>
      </x:c>
      <x:c r="Y430" s="25" t="n">
        <x:f>('参数'!$B$28+'参数'!$B$29*(D430-1)/99)*'参数'!$K$29*AD430*IF(AE430=1,'参数'!$B$51,1)</x:f>
        <x:v>72.9453781512605</x:v>
      </x:c>
      <x:c r="Z430" s="21" t="n">
        <x:f>MIN('参数'!$B$36,U430/(U430+'参数'!$B$35))</x:f>
        <x:v>0.6117560486461108</x:v>
      </x:c>
      <x:c r="AA430" s="18" t="n">
        <x:f>T430*'参数'!$B$30/('参数'!$B$32*'参数'!$B$33)/(1-Z430)*AC430</x:f>
        <x:v>9158.695426715658</x:v>
      </x:c>
      <x:c r="AB430" s="18" t="n">
        <x:f>T430*'参数'!$B$31/'参数'!$B$34/(1-Z430)*AC430</x:f>
        <x:v>18317.390853431316</x:v>
      </x:c>
      <x:c r="AC430" s="15" t="n">
        <x:f>'参数'!$L$29*(1+'参数'!$B$53*(B430-1)/119)</x:f>
        <x:v>1.2516302521008402</x:v>
      </x:c>
      <x:c r="AD430" s="15" t="n">
        <x:f>1+'参数'!$B$52*(B430-1)/119</x:f>
        <x:v>1.080672268907563</x:v>
      </x:c>
      <x:c r="AE430" s="18" t="n">
        <x:f>IF(MOD(B430,12)=0,1,0)</x:f>
        <x:v>0</x:v>
      </x:c>
    </x:row>
    <x:row r="431" ht="22" customHeight="1">
      <x:c r="A431" s="19" t="str">
        <x:v>地狱</x:v>
      </x:c>
      <x:c r="B431" s="19" t="n">
        <x:v>66</x:v>
      </x:c>
      <x:c r="C431" s="19" t="n">
        <x:f>ROUNDUP(B431/12,0)</x:f>
        <x:v>6</x:v>
      </x:c>
      <x:c r="D431" s="19" t="n">
        <x:f>ROUND(MAX('参数'!$G$29,E431)+(IF(C431&lt;10,INDEX('参数'!$G$37:$P$37,1,MIN(10,C431+1)),'参数'!$H$29)-MAX('参数'!$G$29,E431))*MOD(B431-1,12)/11,0)</x:f>
        <x:v>100</x:v>
      </x:c>
      <x:c r="E431" s="19" t="n">
        <x:f>INDEX('参数'!$G$37:$P$37,1,C431)</x:f>
        <x:v>100</x:v>
      </x:c>
      <x:c r="F431" s="20" t="n">
        <x:f>'参数'!$I$29</x:f>
        <x:v>1.29</x:v>
      </x:c>
      <x:c r="G431" s="19" t="n">
        <x:f>ROUND(V431*X431/'参数'!$B$56,0)</x:f>
        <x:v>389076</x:v>
      </x:c>
      <x:c r="H431" s="19" t="n">
        <x:f>ROUND((AA431+SQRT(AA431^2+4*AA431*'参数'!$B$22*U431))/2,0)</x:f>
        <x:v>14236</x:v>
      </x:c>
      <x:c r="I431" s="19" t="n">
        <x:f>ROUND(Q431*'参数'!$B$23/'参数'!$B$22,0)</x:f>
        <x:v>2008</x:v>
      </x:c>
      <x:c r="J431" s="19" t="n">
        <x:f>ROUND(G431*'参数'!$B$50,0)</x:f>
        <x:v>1167228</x:v>
      </x:c>
      <x:c r="K431" s="19" t="n">
        <x:f>ROUND(W431*Y431,0)</x:f>
        <x:v>3830137</x:v>
      </x:c>
      <x:c r="L431" s="19" t="n">
        <x:f>ROUND((AB431+SQRT(AB431^2+4*AB431*'参数'!$B$22*U431))/2,0)</x:f>
        <x:v>24277</x:v>
      </x:c>
      <x:c r="M431" s="19" t="n">
        <x:f>ROUND(I431*'参数'!$B$24,0)</x:f>
        <x:v>2510</x:v>
      </x:c>
      <x:c r="N431" s="19" t="n">
        <x:f>'参数'!$B$9*'参数'!$B$10^(D431-1)</x:f>
        <x:v>11195.319600498813</x:v>
      </x:c>
      <x:c r="O431" s="19" t="n">
        <x:f>'参数'!$B$18*'参数'!$B$19^(MIN(E431,MAX(1,5*INT(D431/5)))-1)*F431*'参数'!$J$29*P431</x:f>
        <x:v>1897.6106812882254</x:v>
      </x:c>
      <x:c r="P431" s="22" t="n">
        <x:f>MIN(1,(D431-1)/19)</x:f>
        <x:v>1</x:v>
      </x:c>
      <x:c r="Q431" s="19" t="n">
        <x:f>INDEX('角色成长'!$F$6:$F$105,D431)+O431*'参数'!$K$21</x:f>
        <x:v>10042.190441671442</x:v>
      </x:c>
      <x:c r="R431" s="19" t="n">
        <x:f>INDEX('角色成长'!$I$6:$I$105,D431)+O431*'参数'!$K$21</x:f>
        <x:v>8744.190441671442</x:v>
      </x:c>
      <x:c r="S431" s="19" t="n">
        <x:f>INDEX('角色成长'!$L$6:$L$105,D431)+O431*'参数'!$K$21</x:f>
        <x:v>8003.190441671442</x:v>
      </x:c>
      <x:c r="T431" s="19" t="n">
        <x:f>(INDEX('角色成长'!$J$6:$J$105,D431)+O431*'参数'!$L$21)*(1+'参数'!$B$40*P431)</x:f>
        <x:v>113637.65283705847</x:v>
      </x:c>
      <x:c r="U431" s="19" t="n">
        <x:f>(INDEX('角色成长'!$K$6:$K$105,D431)+O431*'参数'!$M$21)*(1+'参数'!$B$41*P431)</x:f>
        <x:v>6302.800561479835</x:v>
      </x:c>
      <x:c r="V431" s="19" t="n">
        <x:f>(('参数'!$K$5*(((Q431*(1+'参数'!$B$39*P431))^2/((Q431*(1+'参数'!$B$39*P431))+'参数'!$B$22*(I431)))*(1+'参数'!$B$42*P431)/'参数'!$J$5+((Q431*'参数'!$B$43*(1+'参数'!$B$39*P431))^2/((Q431*'参数'!$B$43*(1+'参数'!$B$39*P431))+'参数'!$B$22*(I431)))/'参数'!$B$44))+(((R431*(1+'参数'!$B$39*P431))^2/((R431*(1+'参数'!$B$39*P431))+'参数'!$B$22*(I431)))*(1+'参数'!$B$42*P431)/'参数'!$J$6+((R431*'参数'!$B$45*(1+'参数'!$B$39*P431))^2/((R431*'参数'!$B$45*(1+'参数'!$B$39*P431))+'参数'!$B$22*(I431)))/'参数'!$B$46)+((S431*(1+'参数'!$B$39*P431))^2/((S431*(1+'参数'!$B$39*P431))+'参数'!$B$22*(I431)))*(1+'参数'!$B$42*P431)/'参数'!$J$7)*(1+'参数'!$B$37*('参数'!$B$38-1))*'参数'!$B$25</x:f>
        <x:v>68074.69622887956</x:v>
      </x:c>
      <x:c r="W431" s="19" t="n">
        <x:f>(('参数'!$K$5*(((Q431*(1+'参数'!$B$39*P431))^2/((Q431*(1+'参数'!$B$39*P431))+'参数'!$B$22*(M431)))*(1+'参数'!$B$42*P431)/'参数'!$J$5+((Q431*'参数'!$B$43*(1+'参数'!$B$39*P431))^2/((Q431*'参数'!$B$43*(1+'参数'!$B$39*P431))+'参数'!$B$22*(M431)))/'参数'!$B$44))+(((R431*(1+'参数'!$B$39*P431))^2/((R431*(1+'参数'!$B$39*P431))+'参数'!$B$22*(M431)))*(1+'参数'!$B$42*P431)/'参数'!$J$6+((R431*'参数'!$B$45*(1+'参数'!$B$39*P431))^2/((R431*'参数'!$B$45*(1+'参数'!$B$39*P431))+'参数'!$B$22*(M431)))/'参数'!$B$46)+((S431*(1+'参数'!$B$39*P431))^2/((S431*(1+'参数'!$B$39*P431))+'参数'!$B$22*(M431)))*(1+'参数'!$B$42*P431)/'参数'!$J$7)*(1+'参数'!$B$37*('参数'!$B$38-1))</x:f>
        <x:v>52445.746688054394</x:v>
      </x:c>
      <x:c r="X431" s="26" t="n">
        <x:f>('参数'!$B$26+'参数'!$B$27*(D431-1)/99)*'参数'!$K$29*AD431</x:f>
        <x:v>26.290966386554622</x:v>
      </x:c>
      <x:c r="Y431" s="26" t="n">
        <x:f>('参数'!$B$28+'参数'!$B$29*(D431-1)/99)*'参数'!$K$29*AD431*IF(AE431=1,'参数'!$B$51,1)</x:f>
        <x:v>73.03046218487394</x:v>
      </x:c>
      <x:c r="Z431" s="22" t="n">
        <x:f>MIN('参数'!$B$36,U431/(U431+'参数'!$B$35))</x:f>
        <x:v>0.6117560486461108</x:v>
      </x:c>
      <x:c r="AA431" s="19" t="n">
        <x:f>T431*'参数'!$B$30/('参数'!$B$32*'参数'!$B$33)/(1-Z431)*AC431</x:f>
        <x:v>9164.598549775095</x:v>
      </x:c>
      <x:c r="AB431" s="19" t="n">
        <x:f>T431*'参数'!$B$31/'参数'!$B$34/(1-Z431)*AC431</x:f>
        <x:v>18329.19709955019</x:v>
      </x:c>
      <x:c r="AC431" s="20" t="n">
        <x:f>'参数'!$L$29*(1+'参数'!$B$53*(B431-1)/119)</x:f>
        <x:v>1.252436974789916</x:v>
      </x:c>
      <x:c r="AD431" s="20" t="n">
        <x:f>1+'参数'!$B$52*(B431-1)/119</x:f>
        <x:v>1.0819327731092436</x:v>
      </x:c>
      <x:c r="AE431" s="19" t="n">
        <x:f>IF(MOD(B431,12)=0,1,0)</x:f>
        <x:v>0</x:v>
      </x:c>
    </x:row>
    <x:row r="432" ht="22" customHeight="1">
      <x:c r="A432" s="18" t="str">
        <x:v>地狱</x:v>
      </x:c>
      <x:c r="B432" s="18" t="n">
        <x:v>67</x:v>
      </x:c>
      <x:c r="C432" s="18" t="n">
        <x:f>ROUNDUP(B432/12,0)</x:f>
        <x:v>6</x:v>
      </x:c>
      <x:c r="D432" s="18" t="n">
        <x:f>ROUND(MAX('参数'!$G$29,E432)+(IF(C432&lt;10,INDEX('参数'!$G$37:$P$37,1,MIN(10,C432+1)),'参数'!$H$29)-MAX('参数'!$G$29,E432))*MOD(B432-1,12)/11,0)</x:f>
        <x:v>100</x:v>
      </x:c>
      <x:c r="E432" s="18" t="n">
        <x:f>INDEX('参数'!$G$37:$P$37,1,C432)</x:f>
        <x:v>100</x:v>
      </x:c>
      <x:c r="F432" s="15" t="n">
        <x:f>'参数'!$I$29</x:f>
        <x:v>1.29</x:v>
      </x:c>
      <x:c r="G432" s="18" t="n">
        <x:f>ROUND(V432*X432/'参数'!$B$56,0)</x:f>
        <x:v>389529</x:v>
      </x:c>
      <x:c r="H432" s="18" t="n">
        <x:f>ROUND((AA432+SQRT(AA432^2+4*AA432*'参数'!$B$22*U432))/2,0)</x:f>
        <x:v>14243</x:v>
      </x:c>
      <x:c r="I432" s="18" t="n">
        <x:f>ROUND(Q432*'参数'!$B$23/'参数'!$B$22,0)</x:f>
        <x:v>2008</x:v>
      </x:c>
      <x:c r="J432" s="18" t="n">
        <x:f>ROUND(G432*'参数'!$B$50,0)</x:f>
        <x:v>1168587</x:v>
      </x:c>
      <x:c r="K432" s="18" t="n">
        <x:f>ROUND(W432*Y432,0)</x:f>
        <x:v>3834599</x:v>
      </x:c>
      <x:c r="L432" s="18" t="n">
        <x:f>ROUND((AB432+SQRT(AB432^2+4*AB432*'参数'!$B$22*U432))/2,0)</x:f>
        <x:v>24290</x:v>
      </x:c>
      <x:c r="M432" s="18" t="n">
        <x:f>ROUND(I432*'参数'!$B$24,0)</x:f>
        <x:v>2510</x:v>
      </x:c>
      <x:c r="N432" s="18" t="n">
        <x:f>'参数'!$B$9*'参数'!$B$10^(D432-1)</x:f>
        <x:v>11195.319600498813</x:v>
      </x:c>
      <x:c r="O432" s="18" t="n">
        <x:f>'参数'!$B$18*'参数'!$B$19^(MIN(E432,MAX(1,5*INT(D432/5)))-1)*F432*'参数'!$J$29*P432</x:f>
        <x:v>1897.6106812882254</x:v>
      </x:c>
      <x:c r="P432" s="21" t="n">
        <x:f>MIN(1,(D432-1)/19)</x:f>
        <x:v>1</x:v>
      </x:c>
      <x:c r="Q432" s="18" t="n">
        <x:f>INDEX('角色成长'!$F$6:$F$105,D432)+O432*'参数'!$K$21</x:f>
        <x:v>10042.190441671442</x:v>
      </x:c>
      <x:c r="R432" s="18" t="n">
        <x:f>INDEX('角色成长'!$I$6:$I$105,D432)+O432*'参数'!$K$21</x:f>
        <x:v>8744.190441671442</x:v>
      </x:c>
      <x:c r="S432" s="18" t="n">
        <x:f>INDEX('角色成长'!$L$6:$L$105,D432)+O432*'参数'!$K$21</x:f>
        <x:v>8003.190441671442</x:v>
      </x:c>
      <x:c r="T432" s="18" t="n">
        <x:f>(INDEX('角色成长'!$J$6:$J$105,D432)+O432*'参数'!$L$21)*(1+'参数'!$B$40*P432)</x:f>
        <x:v>113637.65283705847</x:v>
      </x:c>
      <x:c r="U432" s="18" t="n">
        <x:f>(INDEX('角色成长'!$K$6:$K$105,D432)+O432*'参数'!$M$21)*(1+'参数'!$B$41*P432)</x:f>
        <x:v>6302.800561479835</x:v>
      </x:c>
      <x:c r="V432" s="18" t="n">
        <x:f>(('参数'!$K$5*(((Q432*(1+'参数'!$B$39*P432))^2/((Q432*(1+'参数'!$B$39*P432))+'参数'!$B$22*(I432)))*(1+'参数'!$B$42*P432)/'参数'!$J$5+((Q432*'参数'!$B$43*(1+'参数'!$B$39*P432))^2/((Q432*'参数'!$B$43*(1+'参数'!$B$39*P432))+'参数'!$B$22*(I432)))/'参数'!$B$44))+(((R432*(1+'参数'!$B$39*P432))^2/((R432*(1+'参数'!$B$39*P432))+'参数'!$B$22*(I432)))*(1+'参数'!$B$42*P432)/'参数'!$J$6+((R432*'参数'!$B$45*(1+'参数'!$B$39*P432))^2/((R432*'参数'!$B$45*(1+'参数'!$B$39*P432))+'参数'!$B$22*(I432)))/'参数'!$B$46)+((S432*(1+'参数'!$B$39*P432))^2/((S432*(1+'参数'!$B$39*P432))+'参数'!$B$22*(I432)))*(1+'参数'!$B$42*P432)/'参数'!$J$7)*(1+'参数'!$B$37*('参数'!$B$38-1))*'参数'!$B$25</x:f>
        <x:v>68074.69622887956</x:v>
      </x:c>
      <x:c r="W432" s="18" t="n">
        <x:f>(('参数'!$K$5*(((Q432*(1+'参数'!$B$39*P432))^2/((Q432*(1+'参数'!$B$39*P432))+'参数'!$B$22*(M432)))*(1+'参数'!$B$42*P432)/'参数'!$J$5+((Q432*'参数'!$B$43*(1+'参数'!$B$39*P432))^2/((Q432*'参数'!$B$43*(1+'参数'!$B$39*P432))+'参数'!$B$22*(M432)))/'参数'!$B$44))+(((R432*(1+'参数'!$B$39*P432))^2/((R432*(1+'参数'!$B$39*P432))+'参数'!$B$22*(M432)))*(1+'参数'!$B$42*P432)/'参数'!$J$6+((R432*'参数'!$B$45*(1+'参数'!$B$39*P432))^2/((R432*'参数'!$B$45*(1+'参数'!$B$39*P432))+'参数'!$B$22*(M432)))/'参数'!$B$46)+((S432*(1+'参数'!$B$39*P432))^2/((S432*(1+'参数'!$B$39*P432))+'参数'!$B$22*(M432)))*(1+'参数'!$B$42*P432)/'参数'!$J$7)*(1+'参数'!$B$37*('参数'!$B$38-1))</x:f>
        <x:v>52445.746688054394</x:v>
      </x:c>
      <x:c r="X432" s="25" t="n">
        <x:f>('参数'!$B$26+'参数'!$B$27*(D432-1)/99)*'参数'!$K$29*AD432</x:f>
        <x:v>26.32159663865546</x:v>
      </x:c>
      <x:c r="Y432" s="25" t="n">
        <x:f>('参数'!$B$28+'参数'!$B$29*(D432-1)/99)*'参数'!$K$29*AD432*IF(AE432=1,'参数'!$B$51,1)</x:f>
        <x:v>73.1155462184874</x:v>
      </x:c>
      <x:c r="Z432" s="21" t="n">
        <x:f>MIN('参数'!$B$36,U432/(U432+'参数'!$B$35))</x:f>
        <x:v>0.6117560486461108</x:v>
      </x:c>
      <x:c r="AA432" s="18" t="n">
        <x:f>T432*'参数'!$B$30/('参数'!$B$32*'参数'!$B$33)/(1-Z432)*AC432</x:f>
        <x:v>9170.50167283453</x:v>
      </x:c>
      <x:c r="AB432" s="18" t="n">
        <x:f>T432*'参数'!$B$31/'参数'!$B$34/(1-Z432)*AC432</x:f>
        <x:v>18341.00334566906</x:v>
      </x:c>
      <x:c r="AC432" s="15" t="n">
        <x:f>'参数'!$L$29*(1+'参数'!$B$53*(B432-1)/119)</x:f>
        <x:v>1.2532436974789916</x:v>
      </x:c>
      <x:c r="AD432" s="15" t="n">
        <x:f>1+'参数'!$B$52*(B432-1)/119</x:f>
        <x:v>1.0831932773109243</x:v>
      </x:c>
      <x:c r="AE432" s="18" t="n">
        <x:f>IF(MOD(B432,12)=0,1,0)</x:f>
        <x:v>0</x:v>
      </x:c>
    </x:row>
    <x:row r="433" ht="22" customHeight="1">
      <x:c r="A433" s="19" t="str">
        <x:v>地狱</x:v>
      </x:c>
      <x:c r="B433" s="19" t="n">
        <x:v>68</x:v>
      </x:c>
      <x:c r="C433" s="19" t="n">
        <x:f>ROUNDUP(B433/12,0)</x:f>
        <x:v>6</x:v>
      </x:c>
      <x:c r="D433" s="19" t="n">
        <x:f>ROUND(MAX('参数'!$G$29,E433)+(IF(C433&lt;10,INDEX('参数'!$G$37:$P$37,1,MIN(10,C433+1)),'参数'!$H$29)-MAX('参数'!$G$29,E433))*MOD(B433-1,12)/11,0)</x:f>
        <x:v>100</x:v>
      </x:c>
      <x:c r="E433" s="19" t="n">
        <x:f>INDEX('参数'!$G$37:$P$37,1,C433)</x:f>
        <x:v>100</x:v>
      </x:c>
      <x:c r="F433" s="20" t="n">
        <x:f>'参数'!$I$29</x:f>
        <x:v>1.29</x:v>
      </x:c>
      <x:c r="G433" s="19" t="n">
        <x:f>ROUND(V433*X433/'参数'!$B$56,0)</x:f>
        <x:v>389983</x:v>
      </x:c>
      <x:c r="H433" s="19" t="n">
        <x:f>ROUND((AA433+SQRT(AA433^2+4*AA433*'参数'!$B$22*U433))/2,0)</x:f>
        <x:v>14250</x:v>
      </x:c>
      <x:c r="I433" s="19" t="n">
        <x:f>ROUND(Q433*'参数'!$B$23/'参数'!$B$22,0)</x:f>
        <x:v>2008</x:v>
      </x:c>
      <x:c r="J433" s="19" t="n">
        <x:f>ROUND(G433*'参数'!$B$50,0)</x:f>
        <x:v>1169949</x:v>
      </x:c>
      <x:c r="K433" s="19" t="n">
        <x:f>ROUND(W433*Y433,0)</x:f>
        <x:v>3839062</x:v>
      </x:c>
      <x:c r="L433" s="19" t="n">
        <x:f>ROUND((AB433+SQRT(AB433^2+4*AB433*'参数'!$B$22*U433))/2,0)</x:f>
        <x:v>24303</x:v>
      </x:c>
      <x:c r="M433" s="19" t="n">
        <x:f>ROUND(I433*'参数'!$B$24,0)</x:f>
        <x:v>2510</x:v>
      </x:c>
      <x:c r="N433" s="19" t="n">
        <x:f>'参数'!$B$9*'参数'!$B$10^(D433-1)</x:f>
        <x:v>11195.319600498813</x:v>
      </x:c>
      <x:c r="O433" s="19" t="n">
        <x:f>'参数'!$B$18*'参数'!$B$19^(MIN(E433,MAX(1,5*INT(D433/5)))-1)*F433*'参数'!$J$29*P433</x:f>
        <x:v>1897.6106812882254</x:v>
      </x:c>
      <x:c r="P433" s="22" t="n">
        <x:f>MIN(1,(D433-1)/19)</x:f>
        <x:v>1</x:v>
      </x:c>
      <x:c r="Q433" s="19" t="n">
        <x:f>INDEX('角色成长'!$F$6:$F$105,D433)+O433*'参数'!$K$21</x:f>
        <x:v>10042.190441671442</x:v>
      </x:c>
      <x:c r="R433" s="19" t="n">
        <x:f>INDEX('角色成长'!$I$6:$I$105,D433)+O433*'参数'!$K$21</x:f>
        <x:v>8744.190441671442</x:v>
      </x:c>
      <x:c r="S433" s="19" t="n">
        <x:f>INDEX('角色成长'!$L$6:$L$105,D433)+O433*'参数'!$K$21</x:f>
        <x:v>8003.190441671442</x:v>
      </x:c>
      <x:c r="T433" s="19" t="n">
        <x:f>(INDEX('角色成长'!$J$6:$J$105,D433)+O433*'参数'!$L$21)*(1+'参数'!$B$40*P433)</x:f>
        <x:v>113637.65283705847</x:v>
      </x:c>
      <x:c r="U433" s="19" t="n">
        <x:f>(INDEX('角色成长'!$K$6:$K$105,D433)+O433*'参数'!$M$21)*(1+'参数'!$B$41*P433)</x:f>
        <x:v>6302.800561479835</x:v>
      </x:c>
      <x:c r="V433" s="19" t="n">
        <x:f>(('参数'!$K$5*(((Q433*(1+'参数'!$B$39*P433))^2/((Q433*(1+'参数'!$B$39*P433))+'参数'!$B$22*(I433)))*(1+'参数'!$B$42*P433)/'参数'!$J$5+((Q433*'参数'!$B$43*(1+'参数'!$B$39*P433))^2/((Q433*'参数'!$B$43*(1+'参数'!$B$39*P433))+'参数'!$B$22*(I433)))/'参数'!$B$44))+(((R433*(1+'参数'!$B$39*P433))^2/((R433*(1+'参数'!$B$39*P433))+'参数'!$B$22*(I433)))*(1+'参数'!$B$42*P433)/'参数'!$J$6+((R433*'参数'!$B$45*(1+'参数'!$B$39*P433))^2/((R433*'参数'!$B$45*(1+'参数'!$B$39*P433))+'参数'!$B$22*(I433)))/'参数'!$B$46)+((S433*(1+'参数'!$B$39*P433))^2/((S433*(1+'参数'!$B$39*P433))+'参数'!$B$22*(I433)))*(1+'参数'!$B$42*P433)/'参数'!$J$7)*(1+'参数'!$B$37*('参数'!$B$38-1))*'参数'!$B$25</x:f>
        <x:v>68074.69622887956</x:v>
      </x:c>
      <x:c r="W433" s="19" t="n">
        <x:f>(('参数'!$K$5*(((Q433*(1+'参数'!$B$39*P433))^2/((Q433*(1+'参数'!$B$39*P433))+'参数'!$B$22*(M433)))*(1+'参数'!$B$42*P433)/'参数'!$J$5+((Q433*'参数'!$B$43*(1+'参数'!$B$39*P433))^2/((Q433*'参数'!$B$43*(1+'参数'!$B$39*P433))+'参数'!$B$22*(M433)))/'参数'!$B$44))+(((R433*(1+'参数'!$B$39*P433))^2/((R433*(1+'参数'!$B$39*P433))+'参数'!$B$22*(M433)))*(1+'参数'!$B$42*P433)/'参数'!$J$6+((R433*'参数'!$B$45*(1+'参数'!$B$39*P433))^2/((R433*'参数'!$B$45*(1+'参数'!$B$39*P433))+'参数'!$B$22*(M433)))/'参数'!$B$46)+((S433*(1+'参数'!$B$39*P433))^2/((S433*(1+'参数'!$B$39*P433))+'参数'!$B$22*(M433)))*(1+'参数'!$B$42*P433)/'参数'!$J$7)*(1+'参数'!$B$37*('参数'!$B$38-1))</x:f>
        <x:v>52445.746688054394</x:v>
      </x:c>
      <x:c r="X433" s="26" t="n">
        <x:f>('参数'!$B$26+'参数'!$B$27*(D433-1)/99)*'参数'!$K$29*AD433</x:f>
        <x:v>26.352226890756302</x:v>
      </x:c>
      <x:c r="Y433" s="26" t="n">
        <x:f>('参数'!$B$28+'参数'!$B$29*(D433-1)/99)*'参数'!$K$29*AD433*IF(AE433=1,'参数'!$B$51,1)</x:f>
        <x:v>73.20063025210084</x:v>
      </x:c>
      <x:c r="Z433" s="22" t="n">
        <x:f>MIN('参数'!$B$36,U433/(U433+'参数'!$B$35))</x:f>
        <x:v>0.6117560486461108</x:v>
      </x:c>
      <x:c r="AA433" s="19" t="n">
        <x:f>T433*'参数'!$B$30/('参数'!$B$32*'参数'!$B$33)/(1-Z433)*AC433</x:f>
        <x:v>9176.404795893966</x:v>
      </x:c>
      <x:c r="AB433" s="19" t="n">
        <x:f>T433*'参数'!$B$31/'参数'!$B$34/(1-Z433)*AC433</x:f>
        <x:v>18352.809591787933</x:v>
      </x:c>
      <x:c r="AC433" s="20" t="n">
        <x:f>'参数'!$L$29*(1+'参数'!$B$53*(B433-1)/119)</x:f>
        <x:v>1.2540504201680671</x:v>
      </x:c>
      <x:c r="AD433" s="20" t="n">
        <x:f>1+'参数'!$B$52*(B433-1)/119</x:f>
        <x:v>1.084453781512605</x:v>
      </x:c>
      <x:c r="AE433" s="19" t="n">
        <x:f>IF(MOD(B433,12)=0,1,0)</x:f>
        <x:v>0</x:v>
      </x:c>
    </x:row>
    <x:row r="434" ht="22" customHeight="1">
      <x:c r="A434" s="18" t="str">
        <x:v>地狱</x:v>
      </x:c>
      <x:c r="B434" s="18" t="n">
        <x:v>69</x:v>
      </x:c>
      <x:c r="C434" s="18" t="n">
        <x:f>ROUNDUP(B434/12,0)</x:f>
        <x:v>6</x:v>
      </x:c>
      <x:c r="D434" s="18" t="n">
        <x:f>ROUND(MAX('参数'!$G$29,E434)+(IF(C434&lt;10,INDEX('参数'!$G$37:$P$37,1,MIN(10,C434+1)),'参数'!$H$29)-MAX('参数'!$G$29,E434))*MOD(B434-1,12)/11,0)</x:f>
        <x:v>100</x:v>
      </x:c>
      <x:c r="E434" s="18" t="n">
        <x:f>INDEX('参数'!$G$37:$P$37,1,C434)</x:f>
        <x:v>100</x:v>
      </x:c>
      <x:c r="F434" s="15" t="n">
        <x:f>'参数'!$I$29</x:f>
        <x:v>1.29</x:v>
      </x:c>
      <x:c r="G434" s="18" t="n">
        <x:f>ROUND(V434*X434/'参数'!$B$56,0)</x:f>
        <x:v>390436</x:v>
      </x:c>
      <x:c r="H434" s="18" t="n">
        <x:f>ROUND((AA434+SQRT(AA434^2+4*AA434*'参数'!$B$22*U434))/2,0)</x:f>
        <x:v>14257</x:v>
      </x:c>
      <x:c r="I434" s="18" t="n">
        <x:f>ROUND(Q434*'参数'!$B$23/'参数'!$B$22,0)</x:f>
        <x:v>2008</x:v>
      </x:c>
      <x:c r="J434" s="18" t="n">
        <x:f>ROUND(G434*'参数'!$B$50,0)</x:f>
        <x:v>1171308</x:v>
      </x:c>
      <x:c r="K434" s="18" t="n">
        <x:f>ROUND(W434*Y434,0)</x:f>
        <x:v>3843524</x:v>
      </x:c>
      <x:c r="L434" s="18" t="n">
        <x:f>ROUND((AB434+SQRT(AB434^2+4*AB434*'参数'!$B$22*U434))/2,0)</x:f>
        <x:v>24315</x:v>
      </x:c>
      <x:c r="M434" s="18" t="n">
        <x:f>ROUND(I434*'参数'!$B$24,0)</x:f>
        <x:v>2510</x:v>
      </x:c>
      <x:c r="N434" s="18" t="n">
        <x:f>'参数'!$B$9*'参数'!$B$10^(D434-1)</x:f>
        <x:v>11195.319600498813</x:v>
      </x:c>
      <x:c r="O434" s="18" t="n">
        <x:f>'参数'!$B$18*'参数'!$B$19^(MIN(E434,MAX(1,5*INT(D434/5)))-1)*F434*'参数'!$J$29*P434</x:f>
        <x:v>1897.6106812882254</x:v>
      </x:c>
      <x:c r="P434" s="21" t="n">
        <x:f>MIN(1,(D434-1)/19)</x:f>
        <x:v>1</x:v>
      </x:c>
      <x:c r="Q434" s="18" t="n">
        <x:f>INDEX('角色成长'!$F$6:$F$105,D434)+O434*'参数'!$K$21</x:f>
        <x:v>10042.190441671442</x:v>
      </x:c>
      <x:c r="R434" s="18" t="n">
        <x:f>INDEX('角色成长'!$I$6:$I$105,D434)+O434*'参数'!$K$21</x:f>
        <x:v>8744.190441671442</x:v>
      </x:c>
      <x:c r="S434" s="18" t="n">
        <x:f>INDEX('角色成长'!$L$6:$L$105,D434)+O434*'参数'!$K$21</x:f>
        <x:v>8003.190441671442</x:v>
      </x:c>
      <x:c r="T434" s="18" t="n">
        <x:f>(INDEX('角色成长'!$J$6:$J$105,D434)+O434*'参数'!$L$21)*(1+'参数'!$B$40*P434)</x:f>
        <x:v>113637.65283705847</x:v>
      </x:c>
      <x:c r="U434" s="18" t="n">
        <x:f>(INDEX('角色成长'!$K$6:$K$105,D434)+O434*'参数'!$M$21)*(1+'参数'!$B$41*P434)</x:f>
        <x:v>6302.800561479835</x:v>
      </x:c>
      <x:c r="V434" s="18" t="n">
        <x:f>(('参数'!$K$5*(((Q434*(1+'参数'!$B$39*P434))^2/((Q434*(1+'参数'!$B$39*P434))+'参数'!$B$22*(I434)))*(1+'参数'!$B$42*P434)/'参数'!$J$5+((Q434*'参数'!$B$43*(1+'参数'!$B$39*P434))^2/((Q434*'参数'!$B$43*(1+'参数'!$B$39*P434))+'参数'!$B$22*(I434)))/'参数'!$B$44))+(((R434*(1+'参数'!$B$39*P434))^2/((R434*(1+'参数'!$B$39*P434))+'参数'!$B$22*(I434)))*(1+'参数'!$B$42*P434)/'参数'!$J$6+((R434*'参数'!$B$45*(1+'参数'!$B$39*P434))^2/((R434*'参数'!$B$45*(1+'参数'!$B$39*P434))+'参数'!$B$22*(I434)))/'参数'!$B$46)+((S434*(1+'参数'!$B$39*P434))^2/((S434*(1+'参数'!$B$39*P434))+'参数'!$B$22*(I434)))*(1+'参数'!$B$42*P434)/'参数'!$J$7)*(1+'参数'!$B$37*('参数'!$B$38-1))*'参数'!$B$25</x:f>
        <x:v>68074.69622887956</x:v>
      </x:c>
      <x:c r="W434" s="18" t="n">
        <x:f>(('参数'!$K$5*(((Q434*(1+'参数'!$B$39*P434))^2/((Q434*(1+'参数'!$B$39*P434))+'参数'!$B$22*(M434)))*(1+'参数'!$B$42*P434)/'参数'!$J$5+((Q434*'参数'!$B$43*(1+'参数'!$B$39*P434))^2/((Q434*'参数'!$B$43*(1+'参数'!$B$39*P434))+'参数'!$B$22*(M434)))/'参数'!$B$44))+(((R434*(1+'参数'!$B$39*P434))^2/((R434*(1+'参数'!$B$39*P434))+'参数'!$B$22*(M434)))*(1+'参数'!$B$42*P434)/'参数'!$J$6+((R434*'参数'!$B$45*(1+'参数'!$B$39*P434))^2/((R434*'参数'!$B$45*(1+'参数'!$B$39*P434))+'参数'!$B$22*(M434)))/'参数'!$B$46)+((S434*(1+'参数'!$B$39*P434))^2/((S434*(1+'参数'!$B$39*P434))+'参数'!$B$22*(M434)))*(1+'参数'!$B$42*P434)/'参数'!$J$7)*(1+'参数'!$B$37*('参数'!$B$38-1))</x:f>
        <x:v>52445.746688054394</x:v>
      </x:c>
      <x:c r="X434" s="25" t="n">
        <x:f>('参数'!$B$26+'参数'!$B$27*(D434-1)/99)*'参数'!$K$29*AD434</x:f>
        <x:v>26.38285714285714</x:v>
      </x:c>
      <x:c r="Y434" s="25" t="n">
        <x:f>('参数'!$B$28+'参数'!$B$29*(D434-1)/99)*'参数'!$K$29*AD434*IF(AE434=1,'参数'!$B$51,1)</x:f>
        <x:v>73.28571428571428</x:v>
      </x:c>
      <x:c r="Z434" s="21" t="n">
        <x:f>MIN('参数'!$B$36,U434/(U434+'参数'!$B$35))</x:f>
        <x:v>0.6117560486461108</x:v>
      </x:c>
      <x:c r="AA434" s="18" t="n">
        <x:f>T434*'参数'!$B$30/('参数'!$B$32*'参数'!$B$33)/(1-Z434)*AC434</x:f>
        <x:v>9182.307918953404</x:v>
      </x:c>
      <x:c r="AB434" s="18" t="n">
        <x:f>T434*'参数'!$B$31/'参数'!$B$34/(1-Z434)*AC434</x:f>
        <x:v>18364.615837906807</x:v>
      </x:c>
      <x:c r="AC434" s="15" t="n">
        <x:f>'参数'!$L$29*(1+'参数'!$B$53*(B434-1)/119)</x:f>
        <x:v>1.254857142857143</x:v>
      </x:c>
      <x:c r="AD434" s="15" t="n">
        <x:f>1+'参数'!$B$52*(B434-1)/119</x:f>
        <x:v>1.0857142857142856</x:v>
      </x:c>
      <x:c r="AE434" s="18" t="n">
        <x:f>IF(MOD(B434,12)=0,1,0)</x:f>
        <x:v>0</x:v>
      </x:c>
    </x:row>
    <x:row r="435" ht="22" customHeight="1">
      <x:c r="A435" s="19" t="str">
        <x:v>地狱</x:v>
      </x:c>
      <x:c r="B435" s="19" t="n">
        <x:v>70</x:v>
      </x:c>
      <x:c r="C435" s="19" t="n">
        <x:f>ROUNDUP(B435/12,0)</x:f>
        <x:v>6</x:v>
      </x:c>
      <x:c r="D435" s="19" t="n">
        <x:f>ROUND(MAX('参数'!$G$29,E435)+(IF(C435&lt;10,INDEX('参数'!$G$37:$P$37,1,MIN(10,C435+1)),'参数'!$H$29)-MAX('参数'!$G$29,E435))*MOD(B435-1,12)/11,0)</x:f>
        <x:v>100</x:v>
      </x:c>
      <x:c r="E435" s="19" t="n">
        <x:f>INDEX('参数'!$G$37:$P$37,1,C435)</x:f>
        <x:v>100</x:v>
      </x:c>
      <x:c r="F435" s="20" t="n">
        <x:f>'参数'!$I$29</x:f>
        <x:v>1.29</x:v>
      </x:c>
      <x:c r="G435" s="19" t="n">
        <x:f>ROUND(V435*X435/'参数'!$B$56,0)</x:f>
        <x:v>390889</x:v>
      </x:c>
      <x:c r="H435" s="19" t="n">
        <x:f>ROUND((AA435+SQRT(AA435^2+4*AA435*'参数'!$B$22*U435))/2,0)</x:f>
        <x:v>14263</x:v>
      </x:c>
      <x:c r="I435" s="19" t="n">
        <x:f>ROUND(Q435*'参数'!$B$23/'参数'!$B$22,0)</x:f>
        <x:v>2008</x:v>
      </x:c>
      <x:c r="J435" s="19" t="n">
        <x:f>ROUND(G435*'参数'!$B$50,0)</x:f>
        <x:v>1172667</x:v>
      </x:c>
      <x:c r="K435" s="19" t="n">
        <x:f>ROUND(W435*Y435,0)</x:f>
        <x:v>3847986</x:v>
      </x:c>
      <x:c r="L435" s="19" t="n">
        <x:f>ROUND((AB435+SQRT(AB435^2+4*AB435*'参数'!$B$22*U435))/2,0)</x:f>
        <x:v>24328</x:v>
      </x:c>
      <x:c r="M435" s="19" t="n">
        <x:f>ROUND(I435*'参数'!$B$24,0)</x:f>
        <x:v>2510</x:v>
      </x:c>
      <x:c r="N435" s="19" t="n">
        <x:f>'参数'!$B$9*'参数'!$B$10^(D435-1)</x:f>
        <x:v>11195.319600498813</x:v>
      </x:c>
      <x:c r="O435" s="19" t="n">
        <x:f>'参数'!$B$18*'参数'!$B$19^(MIN(E435,MAX(1,5*INT(D435/5)))-1)*F435*'参数'!$J$29*P435</x:f>
        <x:v>1897.6106812882254</x:v>
      </x:c>
      <x:c r="P435" s="22" t="n">
        <x:f>MIN(1,(D435-1)/19)</x:f>
        <x:v>1</x:v>
      </x:c>
      <x:c r="Q435" s="19" t="n">
        <x:f>INDEX('角色成长'!$F$6:$F$105,D435)+O435*'参数'!$K$21</x:f>
        <x:v>10042.190441671442</x:v>
      </x:c>
      <x:c r="R435" s="19" t="n">
        <x:f>INDEX('角色成长'!$I$6:$I$105,D435)+O435*'参数'!$K$21</x:f>
        <x:v>8744.190441671442</x:v>
      </x:c>
      <x:c r="S435" s="19" t="n">
        <x:f>INDEX('角色成长'!$L$6:$L$105,D435)+O435*'参数'!$K$21</x:f>
        <x:v>8003.190441671442</x:v>
      </x:c>
      <x:c r="T435" s="19" t="n">
        <x:f>(INDEX('角色成长'!$J$6:$J$105,D435)+O435*'参数'!$L$21)*(1+'参数'!$B$40*P435)</x:f>
        <x:v>113637.65283705847</x:v>
      </x:c>
      <x:c r="U435" s="19" t="n">
        <x:f>(INDEX('角色成长'!$K$6:$K$105,D435)+O435*'参数'!$M$21)*(1+'参数'!$B$41*P435)</x:f>
        <x:v>6302.800561479835</x:v>
      </x:c>
      <x:c r="V435" s="19" t="n">
        <x:f>(('参数'!$K$5*(((Q435*(1+'参数'!$B$39*P435))^2/((Q435*(1+'参数'!$B$39*P435))+'参数'!$B$22*(I435)))*(1+'参数'!$B$42*P435)/'参数'!$J$5+((Q435*'参数'!$B$43*(1+'参数'!$B$39*P435))^2/((Q435*'参数'!$B$43*(1+'参数'!$B$39*P435))+'参数'!$B$22*(I435)))/'参数'!$B$44))+(((R435*(1+'参数'!$B$39*P435))^2/((R435*(1+'参数'!$B$39*P435))+'参数'!$B$22*(I435)))*(1+'参数'!$B$42*P435)/'参数'!$J$6+((R435*'参数'!$B$45*(1+'参数'!$B$39*P435))^2/((R435*'参数'!$B$45*(1+'参数'!$B$39*P435))+'参数'!$B$22*(I435)))/'参数'!$B$46)+((S435*(1+'参数'!$B$39*P435))^2/((S435*(1+'参数'!$B$39*P435))+'参数'!$B$22*(I435)))*(1+'参数'!$B$42*P435)/'参数'!$J$7)*(1+'参数'!$B$37*('参数'!$B$38-1))*'参数'!$B$25</x:f>
        <x:v>68074.69622887956</x:v>
      </x:c>
      <x:c r="W435" s="19" t="n">
        <x:f>(('参数'!$K$5*(((Q435*(1+'参数'!$B$39*P435))^2/((Q435*(1+'参数'!$B$39*P435))+'参数'!$B$22*(M435)))*(1+'参数'!$B$42*P435)/'参数'!$J$5+((Q435*'参数'!$B$43*(1+'参数'!$B$39*P435))^2/((Q435*'参数'!$B$43*(1+'参数'!$B$39*P435))+'参数'!$B$22*(M435)))/'参数'!$B$44))+(((R435*(1+'参数'!$B$39*P435))^2/((R435*(1+'参数'!$B$39*P435))+'参数'!$B$22*(M435)))*(1+'参数'!$B$42*P435)/'参数'!$J$6+((R435*'参数'!$B$45*(1+'参数'!$B$39*P435))^2/((R435*'参数'!$B$45*(1+'参数'!$B$39*P435))+'参数'!$B$22*(M435)))/'参数'!$B$46)+((S435*(1+'参数'!$B$39*P435))^2/((S435*(1+'参数'!$B$39*P435))+'参数'!$B$22*(M435)))*(1+'参数'!$B$42*P435)/'参数'!$J$7)*(1+'参数'!$B$37*('参数'!$B$38-1))</x:f>
        <x:v>52445.746688054394</x:v>
      </x:c>
      <x:c r="X435" s="26" t="n">
        <x:f>('参数'!$B$26+'参数'!$B$27*(D435-1)/99)*'参数'!$K$29*AD435</x:f>
        <x:v>26.413487394957983</x:v>
      </x:c>
      <x:c r="Y435" s="26" t="n">
        <x:f>('参数'!$B$28+'参数'!$B$29*(D435-1)/99)*'参数'!$K$29*AD435*IF(AE435=1,'参数'!$B$51,1)</x:f>
        <x:v>73.37079831932772</x:v>
      </x:c>
      <x:c r="Z435" s="22" t="n">
        <x:f>MIN('参数'!$B$36,U435/(U435+'参数'!$B$35))</x:f>
        <x:v>0.6117560486461108</x:v>
      </x:c>
      <x:c r="AA435" s="19" t="n">
        <x:f>T435*'参数'!$B$30/('参数'!$B$32*'参数'!$B$33)/(1-Z435)*AC435</x:f>
        <x:v>9188.211042012841</x:v>
      </x:c>
      <x:c r="AB435" s="19" t="n">
        <x:f>T435*'参数'!$B$31/'参数'!$B$34/(1-Z435)*AC435</x:f>
        <x:v>18376.422084025682</x:v>
      </x:c>
      <x:c r="AC435" s="20" t="n">
        <x:f>'参数'!$L$29*(1+'参数'!$B$53*(B435-1)/119)</x:f>
        <x:v>1.2556638655462184</x:v>
      </x:c>
      <x:c r="AD435" s="20" t="n">
        <x:f>1+'参数'!$B$52*(B435-1)/119</x:f>
        <x:v>1.0869747899159663</x:v>
      </x:c>
      <x:c r="AE435" s="19" t="n">
        <x:f>IF(MOD(B435,12)=0,1,0)</x:f>
        <x:v>0</x:v>
      </x:c>
    </x:row>
    <x:row r="436" ht="22" customHeight="1">
      <x:c r="A436" s="18" t="str">
        <x:v>地狱</x:v>
      </x:c>
      <x:c r="B436" s="18" t="n">
        <x:v>71</x:v>
      </x:c>
      <x:c r="C436" s="18" t="n">
        <x:f>ROUNDUP(B436/12,0)</x:f>
        <x:v>6</x:v>
      </x:c>
      <x:c r="D436" s="18" t="n">
        <x:f>ROUND(MAX('参数'!$G$29,E436)+(IF(C436&lt;10,INDEX('参数'!$G$37:$P$37,1,MIN(10,C436+1)),'参数'!$H$29)-MAX('参数'!$G$29,E436))*MOD(B436-1,12)/11,0)</x:f>
        <x:v>100</x:v>
      </x:c>
      <x:c r="E436" s="18" t="n">
        <x:f>INDEX('参数'!$G$37:$P$37,1,C436)</x:f>
        <x:v>100</x:v>
      </x:c>
      <x:c r="F436" s="15" t="n">
        <x:f>'参数'!$I$29</x:f>
        <x:v>1.29</x:v>
      </x:c>
      <x:c r="G436" s="18" t="n">
        <x:f>ROUND(V436*X436/'参数'!$B$56,0)</x:f>
        <x:v>391342</x:v>
      </x:c>
      <x:c r="H436" s="18" t="n">
        <x:f>ROUND((AA436+SQRT(AA436^2+4*AA436*'参数'!$B$22*U436))/2,0)</x:f>
        <x:v>14270</x:v>
      </x:c>
      <x:c r="I436" s="18" t="n">
        <x:f>ROUND(Q436*'参数'!$B$23/'参数'!$B$22,0)</x:f>
        <x:v>2008</x:v>
      </x:c>
      <x:c r="J436" s="18" t="n">
        <x:f>ROUND(G436*'参数'!$B$50,0)</x:f>
        <x:v>1174026</x:v>
      </x:c>
      <x:c r="K436" s="18" t="n">
        <x:f>ROUND(W436*Y436,0)</x:f>
        <x:v>3852449</x:v>
      </x:c>
      <x:c r="L436" s="18" t="n">
        <x:f>ROUND((AB436+SQRT(AB436^2+4*AB436*'参数'!$B$22*U436))/2,0)</x:f>
        <x:v>24340</x:v>
      </x:c>
      <x:c r="M436" s="18" t="n">
        <x:f>ROUND(I436*'参数'!$B$24,0)</x:f>
        <x:v>2510</x:v>
      </x:c>
      <x:c r="N436" s="18" t="n">
        <x:f>'参数'!$B$9*'参数'!$B$10^(D436-1)</x:f>
        <x:v>11195.319600498813</x:v>
      </x:c>
      <x:c r="O436" s="18" t="n">
        <x:f>'参数'!$B$18*'参数'!$B$19^(MIN(E436,MAX(1,5*INT(D436/5)))-1)*F436*'参数'!$J$29*P436</x:f>
        <x:v>1897.6106812882254</x:v>
      </x:c>
      <x:c r="P436" s="21" t="n">
        <x:f>MIN(1,(D436-1)/19)</x:f>
        <x:v>1</x:v>
      </x:c>
      <x:c r="Q436" s="18" t="n">
        <x:f>INDEX('角色成长'!$F$6:$F$105,D436)+O436*'参数'!$K$21</x:f>
        <x:v>10042.190441671442</x:v>
      </x:c>
      <x:c r="R436" s="18" t="n">
        <x:f>INDEX('角色成长'!$I$6:$I$105,D436)+O436*'参数'!$K$21</x:f>
        <x:v>8744.190441671442</x:v>
      </x:c>
      <x:c r="S436" s="18" t="n">
        <x:f>INDEX('角色成长'!$L$6:$L$105,D436)+O436*'参数'!$K$21</x:f>
        <x:v>8003.190441671442</x:v>
      </x:c>
      <x:c r="T436" s="18" t="n">
        <x:f>(INDEX('角色成长'!$J$6:$J$105,D436)+O436*'参数'!$L$21)*(1+'参数'!$B$40*P436)</x:f>
        <x:v>113637.65283705847</x:v>
      </x:c>
      <x:c r="U436" s="18" t="n">
        <x:f>(INDEX('角色成长'!$K$6:$K$105,D436)+O436*'参数'!$M$21)*(1+'参数'!$B$41*P436)</x:f>
        <x:v>6302.800561479835</x:v>
      </x:c>
      <x:c r="V436" s="18" t="n">
        <x:f>(('参数'!$K$5*(((Q436*(1+'参数'!$B$39*P436))^2/((Q436*(1+'参数'!$B$39*P436))+'参数'!$B$22*(I436)))*(1+'参数'!$B$42*P436)/'参数'!$J$5+((Q436*'参数'!$B$43*(1+'参数'!$B$39*P436))^2/((Q436*'参数'!$B$43*(1+'参数'!$B$39*P436))+'参数'!$B$22*(I436)))/'参数'!$B$44))+(((R436*(1+'参数'!$B$39*P436))^2/((R436*(1+'参数'!$B$39*P436))+'参数'!$B$22*(I436)))*(1+'参数'!$B$42*P436)/'参数'!$J$6+((R436*'参数'!$B$45*(1+'参数'!$B$39*P436))^2/((R436*'参数'!$B$45*(1+'参数'!$B$39*P436))+'参数'!$B$22*(I436)))/'参数'!$B$46)+((S436*(1+'参数'!$B$39*P436))^2/((S436*(1+'参数'!$B$39*P436))+'参数'!$B$22*(I436)))*(1+'参数'!$B$42*P436)/'参数'!$J$7)*(1+'参数'!$B$37*('参数'!$B$38-1))*'参数'!$B$25</x:f>
        <x:v>68074.69622887956</x:v>
      </x:c>
      <x:c r="W436" s="18" t="n">
        <x:f>(('参数'!$K$5*(((Q436*(1+'参数'!$B$39*P436))^2/((Q436*(1+'参数'!$B$39*P436))+'参数'!$B$22*(M436)))*(1+'参数'!$B$42*P436)/'参数'!$J$5+((Q436*'参数'!$B$43*(1+'参数'!$B$39*P436))^2/((Q436*'参数'!$B$43*(1+'参数'!$B$39*P436))+'参数'!$B$22*(M436)))/'参数'!$B$44))+(((R436*(1+'参数'!$B$39*P436))^2/((R436*(1+'参数'!$B$39*P436))+'参数'!$B$22*(M436)))*(1+'参数'!$B$42*P436)/'参数'!$J$6+((R436*'参数'!$B$45*(1+'参数'!$B$39*P436))^2/((R436*'参数'!$B$45*(1+'参数'!$B$39*P436))+'参数'!$B$22*(M436)))/'参数'!$B$46)+((S436*(1+'参数'!$B$39*P436))^2/((S436*(1+'参数'!$B$39*P436))+'参数'!$B$22*(M436)))*(1+'参数'!$B$42*P436)/'参数'!$J$7)*(1+'参数'!$B$37*('参数'!$B$38-1))</x:f>
        <x:v>52445.746688054394</x:v>
      </x:c>
      <x:c r="X436" s="25" t="n">
        <x:f>('参数'!$B$26+'参数'!$B$27*(D436-1)/99)*'参数'!$K$29*AD436</x:f>
        <x:v>26.44411764705882</x:v>
      </x:c>
      <x:c r="Y436" s="25" t="n">
        <x:f>('参数'!$B$28+'参数'!$B$29*(D436-1)/99)*'参数'!$K$29*AD436*IF(AE436=1,'参数'!$B$51,1)</x:f>
        <x:v>73.45588235294117</x:v>
      </x:c>
      <x:c r="Z436" s="21" t="n">
        <x:f>MIN('参数'!$B$36,U436/(U436+'参数'!$B$35))</x:f>
        <x:v>0.6117560486461108</x:v>
      </x:c>
      <x:c r="AA436" s="18" t="n">
        <x:f>T436*'参数'!$B$30/('参数'!$B$32*'参数'!$B$33)/(1-Z436)*AC436</x:f>
        <x:v>9194.114165072278</x:v>
      </x:c>
      <x:c r="AB436" s="18" t="n">
        <x:f>T436*'参数'!$B$31/'参数'!$B$34/(1-Z436)*AC436</x:f>
        <x:v>18388.228330144557</x:v>
      </x:c>
      <x:c r="AC436" s="15" t="n">
        <x:f>'参数'!$L$29*(1+'参数'!$B$53*(B436-1)/119)</x:f>
        <x:v>1.2564705882352942</x:v>
      </x:c>
      <x:c r="AD436" s="15" t="n">
        <x:f>1+'参数'!$B$52*(B436-1)/119</x:f>
        <x:v>1.088235294117647</x:v>
      </x:c>
      <x:c r="AE436" s="18" t="n">
        <x:f>IF(MOD(B436,12)=0,1,0)</x:f>
        <x:v>0</x:v>
      </x:c>
    </x:row>
    <x:row r="437" ht="22" customHeight="1">
      <x:c r="A437" s="19" t="str">
        <x:v>地狱</x:v>
      </x:c>
      <x:c r="B437" s="19" t="n">
        <x:v>72</x:v>
      </x:c>
      <x:c r="C437" s="19" t="n">
        <x:f>ROUNDUP(B437/12,0)</x:f>
        <x:v>6</x:v>
      </x:c>
      <x:c r="D437" s="19" t="n">
        <x:f>ROUND(MAX('参数'!$G$29,E437)+(IF(C437&lt;10,INDEX('参数'!$G$37:$P$37,1,MIN(10,C437+1)),'参数'!$H$29)-MAX('参数'!$G$29,E437))*MOD(B437-1,12)/11,0)</x:f>
        <x:v>100</x:v>
      </x:c>
      <x:c r="E437" s="19" t="n">
        <x:f>INDEX('参数'!$G$37:$P$37,1,C437)</x:f>
        <x:v>100</x:v>
      </x:c>
      <x:c r="F437" s="20" t="n">
        <x:f>'参数'!$I$29</x:f>
        <x:v>1.29</x:v>
      </x:c>
      <x:c r="G437" s="19" t="n">
        <x:f>ROUND(V437*X437/'参数'!$B$56,0)</x:f>
        <x:v>391796</x:v>
      </x:c>
      <x:c r="H437" s="19" t="n">
        <x:f>ROUND((AA437+SQRT(AA437^2+4*AA437*'参数'!$B$22*U437))/2,0)</x:f>
        <x:v>14277</x:v>
      </x:c>
      <x:c r="I437" s="19" t="n">
        <x:f>ROUND(Q437*'参数'!$B$23/'参数'!$B$22,0)</x:f>
        <x:v>2008</x:v>
      </x:c>
      <x:c r="J437" s="19" t="n">
        <x:f>ROUND(G437*'参数'!$B$50,0)</x:f>
        <x:v>1175388</x:v>
      </x:c>
      <x:c r="K437" s="19" t="n">
        <x:f>ROUND(W437*Y437,0)</x:f>
        <x:v>4435448</x:v>
      </x:c>
      <x:c r="L437" s="19" t="n">
        <x:f>ROUND((AB437+SQRT(AB437^2+4*AB437*'参数'!$B$22*U437))/2,0)</x:f>
        <x:v>24353</x:v>
      </x:c>
      <x:c r="M437" s="19" t="n">
        <x:f>ROUND(I437*'参数'!$B$24,0)</x:f>
        <x:v>2510</x:v>
      </x:c>
      <x:c r="N437" s="19" t="n">
        <x:f>'参数'!$B$9*'参数'!$B$10^(D437-1)</x:f>
        <x:v>11195.319600498813</x:v>
      </x:c>
      <x:c r="O437" s="19" t="n">
        <x:f>'参数'!$B$18*'参数'!$B$19^(MIN(E437,MAX(1,5*INT(D437/5)))-1)*F437*'参数'!$J$29*P437</x:f>
        <x:v>1897.6106812882254</x:v>
      </x:c>
      <x:c r="P437" s="22" t="n">
        <x:f>MIN(1,(D437-1)/19)</x:f>
        <x:v>1</x:v>
      </x:c>
      <x:c r="Q437" s="19" t="n">
        <x:f>INDEX('角色成长'!$F$6:$F$105,D437)+O437*'参数'!$K$21</x:f>
        <x:v>10042.190441671442</x:v>
      </x:c>
      <x:c r="R437" s="19" t="n">
        <x:f>INDEX('角色成长'!$I$6:$I$105,D437)+O437*'参数'!$K$21</x:f>
        <x:v>8744.190441671442</x:v>
      </x:c>
      <x:c r="S437" s="19" t="n">
        <x:f>INDEX('角色成长'!$L$6:$L$105,D437)+O437*'参数'!$K$21</x:f>
        <x:v>8003.190441671442</x:v>
      </x:c>
      <x:c r="T437" s="19" t="n">
        <x:f>(INDEX('角色成长'!$J$6:$J$105,D437)+O437*'参数'!$L$21)*(1+'参数'!$B$40*P437)</x:f>
        <x:v>113637.65283705847</x:v>
      </x:c>
      <x:c r="U437" s="19" t="n">
        <x:f>(INDEX('角色成长'!$K$6:$K$105,D437)+O437*'参数'!$M$21)*(1+'参数'!$B$41*P437)</x:f>
        <x:v>6302.800561479835</x:v>
      </x:c>
      <x:c r="V437" s="19" t="n">
        <x:f>(('参数'!$K$5*(((Q437*(1+'参数'!$B$39*P437))^2/((Q437*(1+'参数'!$B$39*P437))+'参数'!$B$22*(I437)))*(1+'参数'!$B$42*P437)/'参数'!$J$5+((Q437*'参数'!$B$43*(1+'参数'!$B$39*P437))^2/((Q437*'参数'!$B$43*(1+'参数'!$B$39*P437))+'参数'!$B$22*(I437)))/'参数'!$B$44))+(((R437*(1+'参数'!$B$39*P437))^2/((R437*(1+'参数'!$B$39*P437))+'参数'!$B$22*(I437)))*(1+'参数'!$B$42*P437)/'参数'!$J$6+((R437*'参数'!$B$45*(1+'参数'!$B$39*P437))^2/((R437*'参数'!$B$45*(1+'参数'!$B$39*P437))+'参数'!$B$22*(I437)))/'参数'!$B$46)+((S437*(1+'参数'!$B$39*P437))^2/((S437*(1+'参数'!$B$39*P437))+'参数'!$B$22*(I437)))*(1+'参数'!$B$42*P437)/'参数'!$J$7)*(1+'参数'!$B$37*('参数'!$B$38-1))*'参数'!$B$25</x:f>
        <x:v>68074.69622887956</x:v>
      </x:c>
      <x:c r="W437" s="19" t="n">
        <x:f>(('参数'!$K$5*(((Q437*(1+'参数'!$B$39*P437))^2/((Q437*(1+'参数'!$B$39*P437))+'参数'!$B$22*(M437)))*(1+'参数'!$B$42*P437)/'参数'!$J$5+((Q437*'参数'!$B$43*(1+'参数'!$B$39*P437))^2/((Q437*'参数'!$B$43*(1+'参数'!$B$39*P437))+'参数'!$B$22*(M437)))/'参数'!$B$44))+(((R437*(1+'参数'!$B$39*P437))^2/((R437*(1+'参数'!$B$39*P437))+'参数'!$B$22*(M437)))*(1+'参数'!$B$42*P437)/'参数'!$J$6+((R437*'参数'!$B$45*(1+'参数'!$B$39*P437))^2/((R437*'参数'!$B$45*(1+'参数'!$B$39*P437))+'参数'!$B$22*(M437)))/'参数'!$B$46)+((S437*(1+'参数'!$B$39*P437))^2/((S437*(1+'参数'!$B$39*P437))+'参数'!$B$22*(M437)))*(1+'参数'!$B$42*P437)/'参数'!$J$7)*(1+'参数'!$B$37*('参数'!$B$38-1))</x:f>
        <x:v>52445.746688054394</x:v>
      </x:c>
      <x:c r="X437" s="26" t="n">
        <x:f>('参数'!$B$26+'参数'!$B$27*(D437-1)/99)*'参数'!$K$29*AD437</x:f>
        <x:v>26.474747899159663</x:v>
      </x:c>
      <x:c r="Y437" s="26" t="n">
        <x:f>('参数'!$B$28+'参数'!$B$29*(D437-1)/99)*'参数'!$K$29*AD437*IF(AE437=1,'参数'!$B$51,1)</x:f>
        <x:v>84.5721113445378</x:v>
      </x:c>
      <x:c r="Z437" s="22" t="n">
        <x:f>MIN('参数'!$B$36,U437/(U437+'参数'!$B$35))</x:f>
        <x:v>0.6117560486461108</x:v>
      </x:c>
      <x:c r="AA437" s="19" t="n">
        <x:f>T437*'参数'!$B$30/('参数'!$B$32*'参数'!$B$33)/(1-Z437)*AC437</x:f>
        <x:v>9200.017288131712</x:v>
      </x:c>
      <x:c r="AB437" s="19" t="n">
        <x:f>T437*'参数'!$B$31/'参数'!$B$34/(1-Z437)*AC437</x:f>
        <x:v>18400.034576263424</x:v>
      </x:c>
      <x:c r="AC437" s="20" t="n">
        <x:f>'参数'!$L$29*(1+'参数'!$B$53*(B437-1)/119)</x:f>
        <x:v>1.2572773109243696</x:v>
      </x:c>
      <x:c r="AD437" s="20" t="n">
        <x:f>1+'参数'!$B$52*(B437-1)/119</x:f>
        <x:v>1.0894957983193276</x:v>
      </x:c>
      <x:c r="AE437" s="19" t="n">
        <x:f>IF(MOD(B437,12)=0,1,0)</x:f>
        <x:v>1</x:v>
      </x:c>
    </x:row>
    <x:row r="438" ht="22" customHeight="1">
      <x:c r="A438" s="18" t="str">
        <x:v>地狱</x:v>
      </x:c>
      <x:c r="B438" s="18" t="n">
        <x:v>73</x:v>
      </x:c>
      <x:c r="C438" s="18" t="n">
        <x:f>ROUNDUP(B438/12,0)</x:f>
        <x:v>7</x:v>
      </x:c>
      <x:c r="D438" s="18" t="n">
        <x:f>ROUND(MAX('参数'!$G$29,E438)+(IF(C438&lt;10,INDEX('参数'!$G$37:$P$37,1,MIN(10,C438+1)),'参数'!$H$29)-MAX('参数'!$G$29,E438))*MOD(B438-1,12)/11,0)</x:f>
        <x:v>100</x:v>
      </x:c>
      <x:c r="E438" s="18" t="n">
        <x:f>INDEX('参数'!$G$37:$P$37,1,C438)</x:f>
        <x:v>100</x:v>
      </x:c>
      <x:c r="F438" s="15" t="n">
        <x:f>'参数'!$I$29</x:f>
        <x:v>1.29</x:v>
      </x:c>
      <x:c r="G438" s="18" t="n">
        <x:f>ROUND(V438*X438/'参数'!$B$56,0)</x:f>
        <x:v>392249</x:v>
      </x:c>
      <x:c r="H438" s="18" t="n">
        <x:f>ROUND((AA438+SQRT(AA438^2+4*AA438*'参数'!$B$22*U438))/2,0)</x:f>
        <x:v>14284</x:v>
      </x:c>
      <x:c r="I438" s="18" t="n">
        <x:f>ROUND(Q438*'参数'!$B$23/'参数'!$B$22,0)</x:f>
        <x:v>2008</x:v>
      </x:c>
      <x:c r="J438" s="18" t="n">
        <x:f>ROUND(G438*'参数'!$B$50,0)</x:f>
        <x:v>1176747</x:v>
      </x:c>
      <x:c r="K438" s="18" t="n">
        <x:f>ROUND(W438*Y438,0)</x:f>
        <x:v>3861373</x:v>
      </x:c>
      <x:c r="L438" s="18" t="n">
        <x:f>ROUND((AB438+SQRT(AB438^2+4*AB438*'参数'!$B$22*U438))/2,0)</x:f>
        <x:v>24365</x:v>
      </x:c>
      <x:c r="M438" s="18" t="n">
        <x:f>ROUND(I438*'参数'!$B$24,0)</x:f>
        <x:v>2510</x:v>
      </x:c>
      <x:c r="N438" s="18" t="n">
        <x:f>'参数'!$B$9*'参数'!$B$10^(D438-1)</x:f>
        <x:v>11195.319600498813</x:v>
      </x:c>
      <x:c r="O438" s="18" t="n">
        <x:f>'参数'!$B$18*'参数'!$B$19^(MIN(E438,MAX(1,5*INT(D438/5)))-1)*F438*'参数'!$J$29*P438</x:f>
        <x:v>1897.6106812882254</x:v>
      </x:c>
      <x:c r="P438" s="21" t="n">
        <x:f>MIN(1,(D438-1)/19)</x:f>
        <x:v>1</x:v>
      </x:c>
      <x:c r="Q438" s="18" t="n">
        <x:f>INDEX('角色成长'!$F$6:$F$105,D438)+O438*'参数'!$K$21</x:f>
        <x:v>10042.190441671442</x:v>
      </x:c>
      <x:c r="R438" s="18" t="n">
        <x:f>INDEX('角色成长'!$I$6:$I$105,D438)+O438*'参数'!$K$21</x:f>
        <x:v>8744.190441671442</x:v>
      </x:c>
      <x:c r="S438" s="18" t="n">
        <x:f>INDEX('角色成长'!$L$6:$L$105,D438)+O438*'参数'!$K$21</x:f>
        <x:v>8003.190441671442</x:v>
      </x:c>
      <x:c r="T438" s="18" t="n">
        <x:f>(INDEX('角色成长'!$J$6:$J$105,D438)+O438*'参数'!$L$21)*(1+'参数'!$B$40*P438)</x:f>
        <x:v>113637.65283705847</x:v>
      </x:c>
      <x:c r="U438" s="18" t="n">
        <x:f>(INDEX('角色成长'!$K$6:$K$105,D438)+O438*'参数'!$M$21)*(1+'参数'!$B$41*P438)</x:f>
        <x:v>6302.800561479835</x:v>
      </x:c>
      <x:c r="V438" s="18" t="n">
        <x:f>(('参数'!$K$5*(((Q438*(1+'参数'!$B$39*P438))^2/((Q438*(1+'参数'!$B$39*P438))+'参数'!$B$22*(I438)))*(1+'参数'!$B$42*P438)/'参数'!$J$5+((Q438*'参数'!$B$43*(1+'参数'!$B$39*P438))^2/((Q438*'参数'!$B$43*(1+'参数'!$B$39*P438))+'参数'!$B$22*(I438)))/'参数'!$B$44))+(((R438*(1+'参数'!$B$39*P438))^2/((R438*(1+'参数'!$B$39*P438))+'参数'!$B$22*(I438)))*(1+'参数'!$B$42*P438)/'参数'!$J$6+((R438*'参数'!$B$45*(1+'参数'!$B$39*P438))^2/((R438*'参数'!$B$45*(1+'参数'!$B$39*P438))+'参数'!$B$22*(I438)))/'参数'!$B$46)+((S438*(1+'参数'!$B$39*P438))^2/((S438*(1+'参数'!$B$39*P438))+'参数'!$B$22*(I438)))*(1+'参数'!$B$42*P438)/'参数'!$J$7)*(1+'参数'!$B$37*('参数'!$B$38-1))*'参数'!$B$25</x:f>
        <x:v>68074.69622887956</x:v>
      </x:c>
      <x:c r="W438" s="18" t="n">
        <x:f>(('参数'!$K$5*(((Q438*(1+'参数'!$B$39*P438))^2/((Q438*(1+'参数'!$B$39*P438))+'参数'!$B$22*(M438)))*(1+'参数'!$B$42*P438)/'参数'!$J$5+((Q438*'参数'!$B$43*(1+'参数'!$B$39*P438))^2/((Q438*'参数'!$B$43*(1+'参数'!$B$39*P438))+'参数'!$B$22*(M438)))/'参数'!$B$44))+(((R438*(1+'参数'!$B$39*P438))^2/((R438*(1+'参数'!$B$39*P438))+'参数'!$B$22*(M438)))*(1+'参数'!$B$42*P438)/'参数'!$J$6+((R438*'参数'!$B$45*(1+'参数'!$B$39*P438))^2/((R438*'参数'!$B$45*(1+'参数'!$B$39*P438))+'参数'!$B$22*(M438)))/'参数'!$B$46)+((S438*(1+'参数'!$B$39*P438))^2/((S438*(1+'参数'!$B$39*P438))+'参数'!$B$22*(M438)))*(1+'参数'!$B$42*P438)/'参数'!$J$7)*(1+'参数'!$B$37*('参数'!$B$38-1))</x:f>
        <x:v>52445.746688054394</x:v>
      </x:c>
      <x:c r="X438" s="25" t="n">
        <x:f>('参数'!$B$26+'参数'!$B$27*(D438-1)/99)*'参数'!$K$29*AD438</x:f>
        <x:v>26.5053781512605</x:v>
      </x:c>
      <x:c r="Y438" s="25" t="n">
        <x:f>('参数'!$B$28+'参数'!$B$29*(D438-1)/99)*'参数'!$K$29*AD438*IF(AE438=1,'参数'!$B$51,1)</x:f>
        <x:v>73.62605042016806</x:v>
      </x:c>
      <x:c r="Z438" s="21" t="n">
        <x:f>MIN('参数'!$B$36,U438/(U438+'参数'!$B$35))</x:f>
        <x:v>0.6117560486461108</x:v>
      </x:c>
      <x:c r="AA438" s="18" t="n">
        <x:f>T438*'参数'!$B$30/('参数'!$B$32*'参数'!$B$33)/(1-Z438)*AC438</x:f>
        <x:v>9205.92041119115</x:v>
      </x:c>
      <x:c r="AB438" s="18" t="n">
        <x:f>T438*'参数'!$B$31/'参数'!$B$34/(1-Z438)*AC438</x:f>
        <x:v>18411.8408223823</x:v>
      </x:c>
      <x:c r="AC438" s="15" t="n">
        <x:f>'参数'!$L$29*(1+'参数'!$B$53*(B438-1)/119)</x:f>
        <x:v>1.2580840336134453</x:v>
      </x:c>
      <x:c r="AD438" s="15" t="n">
        <x:f>1+'参数'!$B$52*(B438-1)/119</x:f>
        <x:v>1.0907563025210083</x:v>
      </x:c>
      <x:c r="AE438" s="18" t="n">
        <x:f>IF(MOD(B438,12)=0,1,0)</x:f>
        <x:v>0</x:v>
      </x:c>
    </x:row>
    <x:row r="439" ht="22" customHeight="1">
      <x:c r="A439" s="19" t="str">
        <x:v>地狱</x:v>
      </x:c>
      <x:c r="B439" s="19" t="n">
        <x:v>74</x:v>
      </x:c>
      <x:c r="C439" s="19" t="n">
        <x:f>ROUNDUP(B439/12,0)</x:f>
        <x:v>7</x:v>
      </x:c>
      <x:c r="D439" s="19" t="n">
        <x:f>ROUND(MAX('参数'!$G$29,E439)+(IF(C439&lt;10,INDEX('参数'!$G$37:$P$37,1,MIN(10,C439+1)),'参数'!$H$29)-MAX('参数'!$G$29,E439))*MOD(B439-1,12)/11,0)</x:f>
        <x:v>100</x:v>
      </x:c>
      <x:c r="E439" s="19" t="n">
        <x:f>INDEX('参数'!$G$37:$P$37,1,C439)</x:f>
        <x:v>100</x:v>
      </x:c>
      <x:c r="F439" s="20" t="n">
        <x:f>'参数'!$I$29</x:f>
        <x:v>1.29</x:v>
      </x:c>
      <x:c r="G439" s="19" t="n">
        <x:f>ROUND(V439*X439/'参数'!$B$56,0)</x:f>
        <x:v>392702</x:v>
      </x:c>
      <x:c r="H439" s="19" t="n">
        <x:f>ROUND((AA439+SQRT(AA439^2+4*AA439*'参数'!$B$22*U439))/2,0)</x:f>
        <x:v>14290</x:v>
      </x:c>
      <x:c r="I439" s="19" t="n">
        <x:f>ROUND(Q439*'参数'!$B$23/'参数'!$B$22,0)</x:f>
        <x:v>2008</x:v>
      </x:c>
      <x:c r="J439" s="19" t="n">
        <x:f>ROUND(G439*'参数'!$B$50,0)</x:f>
        <x:v>1178106</x:v>
      </x:c>
      <x:c r="K439" s="19" t="n">
        <x:f>ROUND(W439*Y439,0)</x:f>
        <x:v>3865835</x:v>
      </x:c>
      <x:c r="L439" s="19" t="n">
        <x:f>ROUND((AB439+SQRT(AB439^2+4*AB439*'参数'!$B$22*U439))/2,0)</x:f>
        <x:v>24378</x:v>
      </x:c>
      <x:c r="M439" s="19" t="n">
        <x:f>ROUND(I439*'参数'!$B$24,0)</x:f>
        <x:v>2510</x:v>
      </x:c>
      <x:c r="N439" s="19" t="n">
        <x:f>'参数'!$B$9*'参数'!$B$10^(D439-1)</x:f>
        <x:v>11195.319600498813</x:v>
      </x:c>
      <x:c r="O439" s="19" t="n">
        <x:f>'参数'!$B$18*'参数'!$B$19^(MIN(E439,MAX(1,5*INT(D439/5)))-1)*F439*'参数'!$J$29*P439</x:f>
        <x:v>1897.6106812882254</x:v>
      </x:c>
      <x:c r="P439" s="22" t="n">
        <x:f>MIN(1,(D439-1)/19)</x:f>
        <x:v>1</x:v>
      </x:c>
      <x:c r="Q439" s="19" t="n">
        <x:f>INDEX('角色成长'!$F$6:$F$105,D439)+O439*'参数'!$K$21</x:f>
        <x:v>10042.190441671442</x:v>
      </x:c>
      <x:c r="R439" s="19" t="n">
        <x:f>INDEX('角色成长'!$I$6:$I$105,D439)+O439*'参数'!$K$21</x:f>
        <x:v>8744.190441671442</x:v>
      </x:c>
      <x:c r="S439" s="19" t="n">
        <x:f>INDEX('角色成长'!$L$6:$L$105,D439)+O439*'参数'!$K$21</x:f>
        <x:v>8003.190441671442</x:v>
      </x:c>
      <x:c r="T439" s="19" t="n">
        <x:f>(INDEX('角色成长'!$J$6:$J$105,D439)+O439*'参数'!$L$21)*(1+'参数'!$B$40*P439)</x:f>
        <x:v>113637.65283705847</x:v>
      </x:c>
      <x:c r="U439" s="19" t="n">
        <x:f>(INDEX('角色成长'!$K$6:$K$105,D439)+O439*'参数'!$M$21)*(1+'参数'!$B$41*P439)</x:f>
        <x:v>6302.800561479835</x:v>
      </x:c>
      <x:c r="V439" s="19" t="n">
        <x:f>(('参数'!$K$5*(((Q439*(1+'参数'!$B$39*P439))^2/((Q439*(1+'参数'!$B$39*P439))+'参数'!$B$22*(I439)))*(1+'参数'!$B$42*P439)/'参数'!$J$5+((Q439*'参数'!$B$43*(1+'参数'!$B$39*P439))^2/((Q439*'参数'!$B$43*(1+'参数'!$B$39*P439))+'参数'!$B$22*(I439)))/'参数'!$B$44))+(((R439*(1+'参数'!$B$39*P439))^2/((R439*(1+'参数'!$B$39*P439))+'参数'!$B$22*(I439)))*(1+'参数'!$B$42*P439)/'参数'!$J$6+((R439*'参数'!$B$45*(1+'参数'!$B$39*P439))^2/((R439*'参数'!$B$45*(1+'参数'!$B$39*P439))+'参数'!$B$22*(I439)))/'参数'!$B$46)+((S439*(1+'参数'!$B$39*P439))^2/((S439*(1+'参数'!$B$39*P439))+'参数'!$B$22*(I439)))*(1+'参数'!$B$42*P439)/'参数'!$J$7)*(1+'参数'!$B$37*('参数'!$B$38-1))*'参数'!$B$25</x:f>
        <x:v>68074.69622887956</x:v>
      </x:c>
      <x:c r="W439" s="19" t="n">
        <x:f>(('参数'!$K$5*(((Q439*(1+'参数'!$B$39*P439))^2/((Q439*(1+'参数'!$B$39*P439))+'参数'!$B$22*(M439)))*(1+'参数'!$B$42*P439)/'参数'!$J$5+((Q439*'参数'!$B$43*(1+'参数'!$B$39*P439))^2/((Q439*'参数'!$B$43*(1+'参数'!$B$39*P439))+'参数'!$B$22*(M439)))/'参数'!$B$44))+(((R439*(1+'参数'!$B$39*P439))^2/((R439*(1+'参数'!$B$39*P439))+'参数'!$B$22*(M439)))*(1+'参数'!$B$42*P439)/'参数'!$J$6+((R439*'参数'!$B$45*(1+'参数'!$B$39*P439))^2/((R439*'参数'!$B$45*(1+'参数'!$B$39*P439))+'参数'!$B$22*(M439)))/'参数'!$B$46)+((S439*(1+'参数'!$B$39*P439))^2/((S439*(1+'参数'!$B$39*P439))+'参数'!$B$22*(M439)))*(1+'参数'!$B$42*P439)/'参数'!$J$7)*(1+'参数'!$B$37*('参数'!$B$38-1))</x:f>
        <x:v>52445.746688054394</x:v>
      </x:c>
      <x:c r="X439" s="26" t="n">
        <x:f>('参数'!$B$26+'参数'!$B$27*(D439-1)/99)*'参数'!$K$29*AD439</x:f>
        <x:v>26.536008403361343</x:v>
      </x:c>
      <x:c r="Y439" s="26" t="n">
        <x:f>('参数'!$B$28+'参数'!$B$29*(D439-1)/99)*'参数'!$K$29*AD439*IF(AE439=1,'参数'!$B$51,1)</x:f>
        <x:v>73.71113445378151</x:v>
      </x:c>
      <x:c r="Z439" s="22" t="n">
        <x:f>MIN('参数'!$B$36,U439/(U439+'参数'!$B$35))</x:f>
        <x:v>0.6117560486461108</x:v>
      </x:c>
      <x:c r="AA439" s="19" t="n">
        <x:f>T439*'参数'!$B$30/('参数'!$B$32*'参数'!$B$33)/(1-Z439)*AC439</x:f>
        <x:v>9211.823534250587</x:v>
      </x:c>
      <x:c r="AB439" s="19" t="n">
        <x:f>T439*'参数'!$B$31/'参数'!$B$34/(1-Z439)*AC439</x:f>
        <x:v>18423.647068501174</x:v>
      </x:c>
      <x:c r="AC439" s="20" t="n">
        <x:f>'参数'!$L$29*(1+'参数'!$B$53*(B439-1)/119)</x:f>
        <x:v>1.2588907563025211</x:v>
      </x:c>
      <x:c r="AD439" s="20" t="n">
        <x:f>1+'参数'!$B$52*(B439-1)/119</x:f>
        <x:v>1.092016806722689</x:v>
      </x:c>
      <x:c r="AE439" s="19" t="n">
        <x:f>IF(MOD(B439,12)=0,1,0)</x:f>
        <x:v>0</x:v>
      </x:c>
    </x:row>
    <x:row r="440" ht="22" customHeight="1">
      <x:c r="A440" s="18" t="str">
        <x:v>地狱</x:v>
      </x:c>
      <x:c r="B440" s="18" t="n">
        <x:v>75</x:v>
      </x:c>
      <x:c r="C440" s="18" t="n">
        <x:f>ROUNDUP(B440/12,0)</x:f>
        <x:v>7</x:v>
      </x:c>
      <x:c r="D440" s="18" t="n">
        <x:f>ROUND(MAX('参数'!$G$29,E440)+(IF(C440&lt;10,INDEX('参数'!$G$37:$P$37,1,MIN(10,C440+1)),'参数'!$H$29)-MAX('参数'!$G$29,E440))*MOD(B440-1,12)/11,0)</x:f>
        <x:v>100</x:v>
      </x:c>
      <x:c r="E440" s="18" t="n">
        <x:f>INDEX('参数'!$G$37:$P$37,1,C440)</x:f>
        <x:v>100</x:v>
      </x:c>
      <x:c r="F440" s="15" t="n">
        <x:f>'参数'!$I$29</x:f>
        <x:v>1.29</x:v>
      </x:c>
      <x:c r="G440" s="18" t="n">
        <x:f>ROUND(V440*X440/'参数'!$B$56,0)</x:f>
        <x:v>393156</x:v>
      </x:c>
      <x:c r="H440" s="18" t="n">
        <x:f>ROUND((AA440+SQRT(AA440^2+4*AA440*'参数'!$B$22*U440))/2,0)</x:f>
        <x:v>14297</x:v>
      </x:c>
      <x:c r="I440" s="18" t="n">
        <x:f>ROUND(Q440*'参数'!$B$23/'参数'!$B$22,0)</x:f>
        <x:v>2008</x:v>
      </x:c>
      <x:c r="J440" s="18" t="n">
        <x:f>ROUND(G440*'参数'!$B$50,0)</x:f>
        <x:v>1179468</x:v>
      </x:c>
      <x:c r="K440" s="18" t="n">
        <x:f>ROUND(W440*Y440,0)</x:f>
        <x:v>3870298</x:v>
      </x:c>
      <x:c r="L440" s="18" t="n">
        <x:f>ROUND((AB440+SQRT(AB440^2+4*AB440*'参数'!$B$22*U440))/2,0)</x:f>
        <x:v>24390</x:v>
      </x:c>
      <x:c r="M440" s="18" t="n">
        <x:f>ROUND(I440*'参数'!$B$24,0)</x:f>
        <x:v>2510</x:v>
      </x:c>
      <x:c r="N440" s="18" t="n">
        <x:f>'参数'!$B$9*'参数'!$B$10^(D440-1)</x:f>
        <x:v>11195.319600498813</x:v>
      </x:c>
      <x:c r="O440" s="18" t="n">
        <x:f>'参数'!$B$18*'参数'!$B$19^(MIN(E440,MAX(1,5*INT(D440/5)))-1)*F440*'参数'!$J$29*P440</x:f>
        <x:v>1897.6106812882254</x:v>
      </x:c>
      <x:c r="P440" s="21" t="n">
        <x:f>MIN(1,(D440-1)/19)</x:f>
        <x:v>1</x:v>
      </x:c>
      <x:c r="Q440" s="18" t="n">
        <x:f>INDEX('角色成长'!$F$6:$F$105,D440)+O440*'参数'!$K$21</x:f>
        <x:v>10042.190441671442</x:v>
      </x:c>
      <x:c r="R440" s="18" t="n">
        <x:f>INDEX('角色成长'!$I$6:$I$105,D440)+O440*'参数'!$K$21</x:f>
        <x:v>8744.190441671442</x:v>
      </x:c>
      <x:c r="S440" s="18" t="n">
        <x:f>INDEX('角色成长'!$L$6:$L$105,D440)+O440*'参数'!$K$21</x:f>
        <x:v>8003.190441671442</x:v>
      </x:c>
      <x:c r="T440" s="18" t="n">
        <x:f>(INDEX('角色成长'!$J$6:$J$105,D440)+O440*'参数'!$L$21)*(1+'参数'!$B$40*P440)</x:f>
        <x:v>113637.65283705847</x:v>
      </x:c>
      <x:c r="U440" s="18" t="n">
        <x:f>(INDEX('角色成长'!$K$6:$K$105,D440)+O440*'参数'!$M$21)*(1+'参数'!$B$41*P440)</x:f>
        <x:v>6302.800561479835</x:v>
      </x:c>
      <x:c r="V440" s="18" t="n">
        <x:f>(('参数'!$K$5*(((Q440*(1+'参数'!$B$39*P440))^2/((Q440*(1+'参数'!$B$39*P440))+'参数'!$B$22*(I440)))*(1+'参数'!$B$42*P440)/'参数'!$J$5+((Q440*'参数'!$B$43*(1+'参数'!$B$39*P440))^2/((Q440*'参数'!$B$43*(1+'参数'!$B$39*P440))+'参数'!$B$22*(I440)))/'参数'!$B$44))+(((R440*(1+'参数'!$B$39*P440))^2/((R440*(1+'参数'!$B$39*P440))+'参数'!$B$22*(I440)))*(1+'参数'!$B$42*P440)/'参数'!$J$6+((R440*'参数'!$B$45*(1+'参数'!$B$39*P440))^2/((R440*'参数'!$B$45*(1+'参数'!$B$39*P440))+'参数'!$B$22*(I440)))/'参数'!$B$46)+((S440*(1+'参数'!$B$39*P440))^2/((S440*(1+'参数'!$B$39*P440))+'参数'!$B$22*(I440)))*(1+'参数'!$B$42*P440)/'参数'!$J$7)*(1+'参数'!$B$37*('参数'!$B$38-1))*'参数'!$B$25</x:f>
        <x:v>68074.69622887956</x:v>
      </x:c>
      <x:c r="W440" s="18" t="n">
        <x:f>(('参数'!$K$5*(((Q440*(1+'参数'!$B$39*P440))^2/((Q440*(1+'参数'!$B$39*P440))+'参数'!$B$22*(M440)))*(1+'参数'!$B$42*P440)/'参数'!$J$5+((Q440*'参数'!$B$43*(1+'参数'!$B$39*P440))^2/((Q440*'参数'!$B$43*(1+'参数'!$B$39*P440))+'参数'!$B$22*(M440)))/'参数'!$B$44))+(((R440*(1+'参数'!$B$39*P440))^2/((R440*(1+'参数'!$B$39*P440))+'参数'!$B$22*(M440)))*(1+'参数'!$B$42*P440)/'参数'!$J$6+((R440*'参数'!$B$45*(1+'参数'!$B$39*P440))^2/((R440*'参数'!$B$45*(1+'参数'!$B$39*P440))+'参数'!$B$22*(M440)))/'参数'!$B$46)+((S440*(1+'参数'!$B$39*P440))^2/((S440*(1+'参数'!$B$39*P440))+'参数'!$B$22*(M440)))*(1+'参数'!$B$42*P440)/'参数'!$J$7)*(1+'参数'!$B$37*('参数'!$B$38-1))</x:f>
        <x:v>52445.746688054394</x:v>
      </x:c>
      <x:c r="X440" s="25" t="n">
        <x:f>('参数'!$B$26+'参数'!$B$27*(D440-1)/99)*'参数'!$K$29*AD440</x:f>
        <x:v>26.56663865546219</x:v>
      </x:c>
      <x:c r="Y440" s="25" t="n">
        <x:f>('参数'!$B$28+'参数'!$B$29*(D440-1)/99)*'参数'!$K$29*AD440*IF(AE440=1,'参数'!$B$51,1)</x:f>
        <x:v>73.79621848739497</x:v>
      </x:c>
      <x:c r="Z440" s="21" t="n">
        <x:f>MIN('参数'!$B$36,U440/(U440+'参数'!$B$35))</x:f>
        <x:v>0.6117560486461108</x:v>
      </x:c>
      <x:c r="AA440" s="18" t="n">
        <x:f>T440*'参数'!$B$30/('参数'!$B$32*'参数'!$B$33)/(1-Z440)*AC440</x:f>
        <x:v>9217.72665731002</x:v>
      </x:c>
      <x:c r="AB440" s="18" t="n">
        <x:f>T440*'参数'!$B$31/'参数'!$B$34/(1-Z440)*AC440</x:f>
        <x:v>18435.45331462004</x:v>
      </x:c>
      <x:c r="AC440" s="15" t="n">
        <x:f>'参数'!$L$29*(1+'参数'!$B$53*(B440-1)/119)</x:f>
        <x:v>1.2596974789915965</x:v>
      </x:c>
      <x:c r="AD440" s="15" t="n">
        <x:f>1+'参数'!$B$52*(B440-1)/119</x:f>
        <x:v>1.0932773109243699</x:v>
      </x:c>
      <x:c r="AE440" s="18" t="n">
        <x:f>IF(MOD(B440,12)=0,1,0)</x:f>
        <x:v>0</x:v>
      </x:c>
    </x:row>
    <x:row r="441" ht="22" customHeight="1">
      <x:c r="A441" s="19" t="str">
        <x:v>地狱</x:v>
      </x:c>
      <x:c r="B441" s="19" t="n">
        <x:v>76</x:v>
      </x:c>
      <x:c r="C441" s="19" t="n">
        <x:f>ROUNDUP(B441/12,0)</x:f>
        <x:v>7</x:v>
      </x:c>
      <x:c r="D441" s="19" t="n">
        <x:f>ROUND(MAX('参数'!$G$29,E441)+(IF(C441&lt;10,INDEX('参数'!$G$37:$P$37,1,MIN(10,C441+1)),'参数'!$H$29)-MAX('参数'!$G$29,E441))*MOD(B441-1,12)/11,0)</x:f>
        <x:v>100</x:v>
      </x:c>
      <x:c r="E441" s="19" t="n">
        <x:f>INDEX('参数'!$G$37:$P$37,1,C441)</x:f>
        <x:v>100</x:v>
      </x:c>
      <x:c r="F441" s="20" t="n">
        <x:f>'参数'!$I$29</x:f>
        <x:v>1.29</x:v>
      </x:c>
      <x:c r="G441" s="19" t="n">
        <x:f>ROUND(V441*X441/'参数'!$B$56,0)</x:f>
        <x:v>393609</x:v>
      </x:c>
      <x:c r="H441" s="19" t="n">
        <x:f>ROUND((AA441+SQRT(AA441^2+4*AA441*'参数'!$B$22*U441))/2,0)</x:f>
        <x:v>14304</x:v>
      </x:c>
      <x:c r="I441" s="19" t="n">
        <x:f>ROUND(Q441*'参数'!$B$23/'参数'!$B$22,0)</x:f>
        <x:v>2008</x:v>
      </x:c>
      <x:c r="J441" s="19" t="n">
        <x:f>ROUND(G441*'参数'!$B$50,0)</x:f>
        <x:v>1180827</x:v>
      </x:c>
      <x:c r="K441" s="19" t="n">
        <x:f>ROUND(W441*Y441,0)</x:f>
        <x:v>3874760</x:v>
      </x:c>
      <x:c r="L441" s="19" t="n">
        <x:f>ROUND((AB441+SQRT(AB441^2+4*AB441*'参数'!$B$22*U441))/2,0)</x:f>
        <x:v>24403</x:v>
      </x:c>
      <x:c r="M441" s="19" t="n">
        <x:f>ROUND(I441*'参数'!$B$24,0)</x:f>
        <x:v>2510</x:v>
      </x:c>
      <x:c r="N441" s="19" t="n">
        <x:f>'参数'!$B$9*'参数'!$B$10^(D441-1)</x:f>
        <x:v>11195.319600498813</x:v>
      </x:c>
      <x:c r="O441" s="19" t="n">
        <x:f>'参数'!$B$18*'参数'!$B$19^(MIN(E441,MAX(1,5*INT(D441/5)))-1)*F441*'参数'!$J$29*P441</x:f>
        <x:v>1897.6106812882254</x:v>
      </x:c>
      <x:c r="P441" s="22" t="n">
        <x:f>MIN(1,(D441-1)/19)</x:f>
        <x:v>1</x:v>
      </x:c>
      <x:c r="Q441" s="19" t="n">
        <x:f>INDEX('角色成长'!$F$6:$F$105,D441)+O441*'参数'!$K$21</x:f>
        <x:v>10042.190441671442</x:v>
      </x:c>
      <x:c r="R441" s="19" t="n">
        <x:f>INDEX('角色成长'!$I$6:$I$105,D441)+O441*'参数'!$K$21</x:f>
        <x:v>8744.190441671442</x:v>
      </x:c>
      <x:c r="S441" s="19" t="n">
        <x:f>INDEX('角色成长'!$L$6:$L$105,D441)+O441*'参数'!$K$21</x:f>
        <x:v>8003.190441671442</x:v>
      </x:c>
      <x:c r="T441" s="19" t="n">
        <x:f>(INDEX('角色成长'!$J$6:$J$105,D441)+O441*'参数'!$L$21)*(1+'参数'!$B$40*P441)</x:f>
        <x:v>113637.65283705847</x:v>
      </x:c>
      <x:c r="U441" s="19" t="n">
        <x:f>(INDEX('角色成长'!$K$6:$K$105,D441)+O441*'参数'!$M$21)*(1+'参数'!$B$41*P441)</x:f>
        <x:v>6302.800561479835</x:v>
      </x:c>
      <x:c r="V441" s="19" t="n">
        <x:f>(('参数'!$K$5*(((Q441*(1+'参数'!$B$39*P441))^2/((Q441*(1+'参数'!$B$39*P441))+'参数'!$B$22*(I441)))*(1+'参数'!$B$42*P441)/'参数'!$J$5+((Q441*'参数'!$B$43*(1+'参数'!$B$39*P441))^2/((Q441*'参数'!$B$43*(1+'参数'!$B$39*P441))+'参数'!$B$22*(I441)))/'参数'!$B$44))+(((R441*(1+'参数'!$B$39*P441))^2/((R441*(1+'参数'!$B$39*P441))+'参数'!$B$22*(I441)))*(1+'参数'!$B$42*P441)/'参数'!$J$6+((R441*'参数'!$B$45*(1+'参数'!$B$39*P441))^2/((R441*'参数'!$B$45*(1+'参数'!$B$39*P441))+'参数'!$B$22*(I441)))/'参数'!$B$46)+((S441*(1+'参数'!$B$39*P441))^2/((S441*(1+'参数'!$B$39*P441))+'参数'!$B$22*(I441)))*(1+'参数'!$B$42*P441)/'参数'!$J$7)*(1+'参数'!$B$37*('参数'!$B$38-1))*'参数'!$B$25</x:f>
        <x:v>68074.69622887956</x:v>
      </x:c>
      <x:c r="W441" s="19" t="n">
        <x:f>(('参数'!$K$5*(((Q441*(1+'参数'!$B$39*P441))^2/((Q441*(1+'参数'!$B$39*P441))+'参数'!$B$22*(M441)))*(1+'参数'!$B$42*P441)/'参数'!$J$5+((Q441*'参数'!$B$43*(1+'参数'!$B$39*P441))^2/((Q441*'参数'!$B$43*(1+'参数'!$B$39*P441))+'参数'!$B$22*(M441)))/'参数'!$B$44))+(((R441*(1+'参数'!$B$39*P441))^2/((R441*(1+'参数'!$B$39*P441))+'参数'!$B$22*(M441)))*(1+'参数'!$B$42*P441)/'参数'!$J$6+((R441*'参数'!$B$45*(1+'参数'!$B$39*P441))^2/((R441*'参数'!$B$45*(1+'参数'!$B$39*P441))+'参数'!$B$22*(M441)))/'参数'!$B$46)+((S441*(1+'参数'!$B$39*P441))^2/((S441*(1+'参数'!$B$39*P441))+'参数'!$B$22*(M441)))*(1+'参数'!$B$42*P441)/'参数'!$J$7)*(1+'参数'!$B$37*('参数'!$B$38-1))</x:f>
        <x:v>52445.746688054394</x:v>
      </x:c>
      <x:c r="X441" s="26" t="n">
        <x:f>('参数'!$B$26+'参数'!$B$27*(D441-1)/99)*'参数'!$K$29*AD441</x:f>
        <x:v>26.597268907563027</x:v>
      </x:c>
      <x:c r="Y441" s="26" t="n">
        <x:f>('参数'!$B$28+'参数'!$B$29*(D441-1)/99)*'参数'!$K$29*AD441*IF(AE441=1,'参数'!$B$51,1)</x:f>
        <x:v>73.88130252100841</x:v>
      </x:c>
      <x:c r="Z441" s="22" t="n">
        <x:f>MIN('参数'!$B$36,U441/(U441+'参数'!$B$35))</x:f>
        <x:v>0.6117560486461108</x:v>
      </x:c>
      <x:c r="AA441" s="19" t="n">
        <x:f>T441*'参数'!$B$30/('参数'!$B$32*'参数'!$B$33)/(1-Z441)*AC441</x:f>
        <x:v>9223.62978036946</x:v>
      </x:c>
      <x:c r="AB441" s="19" t="n">
        <x:f>T441*'参数'!$B$31/'参数'!$B$34/(1-Z441)*AC441</x:f>
        <x:v>18447.25956073892</x:v>
      </x:c>
      <x:c r="AC441" s="20" t="n">
        <x:f>'参数'!$L$29*(1+'参数'!$B$53*(B441-1)/119)</x:f>
        <x:v>1.2605042016806722</x:v>
      </x:c>
      <x:c r="AD441" s="20" t="n">
        <x:f>1+'参数'!$B$52*(B441-1)/119</x:f>
        <x:v>1.0945378151260505</x:v>
      </x:c>
      <x:c r="AE441" s="19" t="n">
        <x:f>IF(MOD(B441,12)=0,1,0)</x:f>
        <x:v>0</x:v>
      </x:c>
    </x:row>
    <x:row r="442" ht="22" customHeight="1">
      <x:c r="A442" s="18" t="str">
        <x:v>地狱</x:v>
      </x:c>
      <x:c r="B442" s="18" t="n">
        <x:v>77</x:v>
      </x:c>
      <x:c r="C442" s="18" t="n">
        <x:f>ROUNDUP(B442/12,0)</x:f>
        <x:v>7</x:v>
      </x:c>
      <x:c r="D442" s="18" t="n">
        <x:f>ROUND(MAX('参数'!$G$29,E442)+(IF(C442&lt;10,INDEX('参数'!$G$37:$P$37,1,MIN(10,C442+1)),'参数'!$H$29)-MAX('参数'!$G$29,E442))*MOD(B442-1,12)/11,0)</x:f>
        <x:v>100</x:v>
      </x:c>
      <x:c r="E442" s="18" t="n">
        <x:f>INDEX('参数'!$G$37:$P$37,1,C442)</x:f>
        <x:v>100</x:v>
      </x:c>
      <x:c r="F442" s="15" t="n">
        <x:f>'参数'!$I$29</x:f>
        <x:v>1.29</x:v>
      </x:c>
      <x:c r="G442" s="18" t="n">
        <x:f>ROUND(V442*X442/'参数'!$B$56,0)</x:f>
        <x:v>394062</x:v>
      </x:c>
      <x:c r="H442" s="18" t="n">
        <x:f>ROUND((AA442+SQRT(AA442^2+4*AA442*'参数'!$B$22*U442))/2,0)</x:f>
        <x:v>14311</x:v>
      </x:c>
      <x:c r="I442" s="18" t="n">
        <x:f>ROUND(Q442*'参数'!$B$23/'参数'!$B$22,0)</x:f>
        <x:v>2008</x:v>
      </x:c>
      <x:c r="J442" s="18" t="n">
        <x:f>ROUND(G442*'参数'!$B$50,0)</x:f>
        <x:v>1182186</x:v>
      </x:c>
      <x:c r="K442" s="18" t="n">
        <x:f>ROUND(W442*Y442,0)</x:f>
        <x:v>3879222</x:v>
      </x:c>
      <x:c r="L442" s="18" t="n">
        <x:f>ROUND((AB442+SQRT(AB442^2+4*AB442*'参数'!$B$22*U442))/2,0)</x:f>
        <x:v>24416</x:v>
      </x:c>
      <x:c r="M442" s="18" t="n">
        <x:f>ROUND(I442*'参数'!$B$24,0)</x:f>
        <x:v>2510</x:v>
      </x:c>
      <x:c r="N442" s="18" t="n">
        <x:f>'参数'!$B$9*'参数'!$B$10^(D442-1)</x:f>
        <x:v>11195.319600498813</x:v>
      </x:c>
      <x:c r="O442" s="18" t="n">
        <x:f>'参数'!$B$18*'参数'!$B$19^(MIN(E442,MAX(1,5*INT(D442/5)))-1)*F442*'参数'!$J$29*P442</x:f>
        <x:v>1897.6106812882254</x:v>
      </x:c>
      <x:c r="P442" s="21" t="n">
        <x:f>MIN(1,(D442-1)/19)</x:f>
        <x:v>1</x:v>
      </x:c>
      <x:c r="Q442" s="18" t="n">
        <x:f>INDEX('角色成长'!$F$6:$F$105,D442)+O442*'参数'!$K$21</x:f>
        <x:v>10042.190441671442</x:v>
      </x:c>
      <x:c r="R442" s="18" t="n">
        <x:f>INDEX('角色成长'!$I$6:$I$105,D442)+O442*'参数'!$K$21</x:f>
        <x:v>8744.190441671442</x:v>
      </x:c>
      <x:c r="S442" s="18" t="n">
        <x:f>INDEX('角色成长'!$L$6:$L$105,D442)+O442*'参数'!$K$21</x:f>
        <x:v>8003.190441671442</x:v>
      </x:c>
      <x:c r="T442" s="18" t="n">
        <x:f>(INDEX('角色成长'!$J$6:$J$105,D442)+O442*'参数'!$L$21)*(1+'参数'!$B$40*P442)</x:f>
        <x:v>113637.65283705847</x:v>
      </x:c>
      <x:c r="U442" s="18" t="n">
        <x:f>(INDEX('角色成长'!$K$6:$K$105,D442)+O442*'参数'!$M$21)*(1+'参数'!$B$41*P442)</x:f>
        <x:v>6302.800561479835</x:v>
      </x:c>
      <x:c r="V442" s="18" t="n">
        <x:f>(('参数'!$K$5*(((Q442*(1+'参数'!$B$39*P442))^2/((Q442*(1+'参数'!$B$39*P442))+'参数'!$B$22*(I442)))*(1+'参数'!$B$42*P442)/'参数'!$J$5+((Q442*'参数'!$B$43*(1+'参数'!$B$39*P442))^2/((Q442*'参数'!$B$43*(1+'参数'!$B$39*P442))+'参数'!$B$22*(I442)))/'参数'!$B$44))+(((R442*(1+'参数'!$B$39*P442))^2/((R442*(1+'参数'!$B$39*P442))+'参数'!$B$22*(I442)))*(1+'参数'!$B$42*P442)/'参数'!$J$6+((R442*'参数'!$B$45*(1+'参数'!$B$39*P442))^2/((R442*'参数'!$B$45*(1+'参数'!$B$39*P442))+'参数'!$B$22*(I442)))/'参数'!$B$46)+((S442*(1+'参数'!$B$39*P442))^2/((S442*(1+'参数'!$B$39*P442))+'参数'!$B$22*(I442)))*(1+'参数'!$B$42*P442)/'参数'!$J$7)*(1+'参数'!$B$37*('参数'!$B$38-1))*'参数'!$B$25</x:f>
        <x:v>68074.69622887956</x:v>
      </x:c>
      <x:c r="W442" s="18" t="n">
        <x:f>(('参数'!$K$5*(((Q442*(1+'参数'!$B$39*P442))^2/((Q442*(1+'参数'!$B$39*P442))+'参数'!$B$22*(M442)))*(1+'参数'!$B$42*P442)/'参数'!$J$5+((Q442*'参数'!$B$43*(1+'参数'!$B$39*P442))^2/((Q442*'参数'!$B$43*(1+'参数'!$B$39*P442))+'参数'!$B$22*(M442)))/'参数'!$B$44))+(((R442*(1+'参数'!$B$39*P442))^2/((R442*(1+'参数'!$B$39*P442))+'参数'!$B$22*(M442)))*(1+'参数'!$B$42*P442)/'参数'!$J$6+((R442*'参数'!$B$45*(1+'参数'!$B$39*P442))^2/((R442*'参数'!$B$45*(1+'参数'!$B$39*P442))+'参数'!$B$22*(M442)))/'参数'!$B$46)+((S442*(1+'参数'!$B$39*P442))^2/((S442*(1+'参数'!$B$39*P442))+'参数'!$B$22*(M442)))*(1+'参数'!$B$42*P442)/'参数'!$J$7)*(1+'参数'!$B$37*('参数'!$B$38-1))</x:f>
        <x:v>52445.746688054394</x:v>
      </x:c>
      <x:c r="X442" s="25" t="n">
        <x:f>('参数'!$B$26+'参数'!$B$27*(D442-1)/99)*'参数'!$K$29*AD442</x:f>
        <x:v>26.62789915966387</x:v>
      </x:c>
      <x:c r="Y442" s="25" t="n">
        <x:f>('参数'!$B$28+'参数'!$B$29*(D442-1)/99)*'参数'!$K$29*AD442*IF(AE442=1,'参数'!$B$51,1)</x:f>
        <x:v>73.96638655462185</x:v>
      </x:c>
      <x:c r="Z442" s="21" t="n">
        <x:f>MIN('参数'!$B$36,U442/(U442+'参数'!$B$35))</x:f>
        <x:v>0.6117560486461108</x:v>
      </x:c>
      <x:c r="AA442" s="18" t="n">
        <x:f>T442*'参数'!$B$30/('参数'!$B$32*'参数'!$B$33)/(1-Z442)*AC442</x:f>
        <x:v>9229.532903428895</x:v>
      </x:c>
      <x:c r="AB442" s="18" t="n">
        <x:f>T442*'参数'!$B$31/'参数'!$B$34/(1-Z442)*AC442</x:f>
        <x:v>18459.06580685779</x:v>
      </x:c>
      <x:c r="AC442" s="15" t="n">
        <x:f>'参数'!$L$29*(1+'参数'!$B$53*(B442-1)/119)</x:f>
        <x:v>1.2613109243697478</x:v>
      </x:c>
      <x:c r="AD442" s="15" t="n">
        <x:f>1+'参数'!$B$52*(B442-1)/119</x:f>
        <x:v>1.0957983193277312</x:v>
      </x:c>
      <x:c r="AE442" s="18" t="n">
        <x:f>IF(MOD(B442,12)=0,1,0)</x:f>
        <x:v>0</x:v>
      </x:c>
    </x:row>
    <x:row r="443" ht="22" customHeight="1">
      <x:c r="A443" s="19" t="str">
        <x:v>地狱</x:v>
      </x:c>
      <x:c r="B443" s="19" t="n">
        <x:v>78</x:v>
      </x:c>
      <x:c r="C443" s="19" t="n">
        <x:f>ROUNDUP(B443/12,0)</x:f>
        <x:v>7</x:v>
      </x:c>
      <x:c r="D443" s="19" t="n">
        <x:f>ROUND(MAX('参数'!$G$29,E443)+(IF(C443&lt;10,INDEX('参数'!$G$37:$P$37,1,MIN(10,C443+1)),'参数'!$H$29)-MAX('参数'!$G$29,E443))*MOD(B443-1,12)/11,0)</x:f>
        <x:v>100</x:v>
      </x:c>
      <x:c r="E443" s="19" t="n">
        <x:f>INDEX('参数'!$G$37:$P$37,1,C443)</x:f>
        <x:v>100</x:v>
      </x:c>
      <x:c r="F443" s="20" t="n">
        <x:f>'参数'!$I$29</x:f>
        <x:v>1.29</x:v>
      </x:c>
      <x:c r="G443" s="19" t="n">
        <x:f>ROUND(V443*X443/'参数'!$B$56,0)</x:f>
        <x:v>394515</x:v>
      </x:c>
      <x:c r="H443" s="19" t="n">
        <x:f>ROUND((AA443+SQRT(AA443^2+4*AA443*'参数'!$B$22*U443))/2,0)</x:f>
        <x:v>14317</x:v>
      </x:c>
      <x:c r="I443" s="19" t="n">
        <x:f>ROUND(Q443*'参数'!$B$23/'参数'!$B$22,0)</x:f>
        <x:v>2008</x:v>
      </x:c>
      <x:c r="J443" s="19" t="n">
        <x:f>ROUND(G443*'参数'!$B$50,0)</x:f>
        <x:v>1183545</x:v>
      </x:c>
      <x:c r="K443" s="19" t="n">
        <x:f>ROUND(W443*Y443,0)</x:f>
        <x:v>3883685</x:v>
      </x:c>
      <x:c r="L443" s="19" t="n">
        <x:f>ROUND((AB443+SQRT(AB443^2+4*AB443*'参数'!$B$22*U443))/2,0)</x:f>
        <x:v>24428</x:v>
      </x:c>
      <x:c r="M443" s="19" t="n">
        <x:f>ROUND(I443*'参数'!$B$24,0)</x:f>
        <x:v>2510</x:v>
      </x:c>
      <x:c r="N443" s="19" t="n">
        <x:f>'参数'!$B$9*'参数'!$B$10^(D443-1)</x:f>
        <x:v>11195.319600498813</x:v>
      </x:c>
      <x:c r="O443" s="19" t="n">
        <x:f>'参数'!$B$18*'参数'!$B$19^(MIN(E443,MAX(1,5*INT(D443/5)))-1)*F443*'参数'!$J$29*P443</x:f>
        <x:v>1897.6106812882254</x:v>
      </x:c>
      <x:c r="P443" s="22" t="n">
        <x:f>MIN(1,(D443-1)/19)</x:f>
        <x:v>1</x:v>
      </x:c>
      <x:c r="Q443" s="19" t="n">
        <x:f>INDEX('角色成长'!$F$6:$F$105,D443)+O443*'参数'!$K$21</x:f>
        <x:v>10042.190441671442</x:v>
      </x:c>
      <x:c r="R443" s="19" t="n">
        <x:f>INDEX('角色成长'!$I$6:$I$105,D443)+O443*'参数'!$K$21</x:f>
        <x:v>8744.190441671442</x:v>
      </x:c>
      <x:c r="S443" s="19" t="n">
        <x:f>INDEX('角色成长'!$L$6:$L$105,D443)+O443*'参数'!$K$21</x:f>
        <x:v>8003.190441671442</x:v>
      </x:c>
      <x:c r="T443" s="19" t="n">
        <x:f>(INDEX('角色成长'!$J$6:$J$105,D443)+O443*'参数'!$L$21)*(1+'参数'!$B$40*P443)</x:f>
        <x:v>113637.65283705847</x:v>
      </x:c>
      <x:c r="U443" s="19" t="n">
        <x:f>(INDEX('角色成长'!$K$6:$K$105,D443)+O443*'参数'!$M$21)*(1+'参数'!$B$41*P443)</x:f>
        <x:v>6302.800561479835</x:v>
      </x:c>
      <x:c r="V443" s="19" t="n">
        <x:f>(('参数'!$K$5*(((Q443*(1+'参数'!$B$39*P443))^2/((Q443*(1+'参数'!$B$39*P443))+'参数'!$B$22*(I443)))*(1+'参数'!$B$42*P443)/'参数'!$J$5+((Q443*'参数'!$B$43*(1+'参数'!$B$39*P443))^2/((Q443*'参数'!$B$43*(1+'参数'!$B$39*P443))+'参数'!$B$22*(I443)))/'参数'!$B$44))+(((R443*(1+'参数'!$B$39*P443))^2/((R443*(1+'参数'!$B$39*P443))+'参数'!$B$22*(I443)))*(1+'参数'!$B$42*P443)/'参数'!$J$6+((R443*'参数'!$B$45*(1+'参数'!$B$39*P443))^2/((R443*'参数'!$B$45*(1+'参数'!$B$39*P443))+'参数'!$B$22*(I443)))/'参数'!$B$46)+((S443*(1+'参数'!$B$39*P443))^2/((S443*(1+'参数'!$B$39*P443))+'参数'!$B$22*(I443)))*(1+'参数'!$B$42*P443)/'参数'!$J$7)*(1+'参数'!$B$37*('参数'!$B$38-1))*'参数'!$B$25</x:f>
        <x:v>68074.69622887956</x:v>
      </x:c>
      <x:c r="W443" s="19" t="n">
        <x:f>(('参数'!$K$5*(((Q443*(1+'参数'!$B$39*P443))^2/((Q443*(1+'参数'!$B$39*P443))+'参数'!$B$22*(M443)))*(1+'参数'!$B$42*P443)/'参数'!$J$5+((Q443*'参数'!$B$43*(1+'参数'!$B$39*P443))^2/((Q443*'参数'!$B$43*(1+'参数'!$B$39*P443))+'参数'!$B$22*(M443)))/'参数'!$B$44))+(((R443*(1+'参数'!$B$39*P443))^2/((R443*(1+'参数'!$B$39*P443))+'参数'!$B$22*(M443)))*(1+'参数'!$B$42*P443)/'参数'!$J$6+((R443*'参数'!$B$45*(1+'参数'!$B$39*P443))^2/((R443*'参数'!$B$45*(1+'参数'!$B$39*P443))+'参数'!$B$22*(M443)))/'参数'!$B$46)+((S443*(1+'参数'!$B$39*P443))^2/((S443*(1+'参数'!$B$39*P443))+'参数'!$B$22*(M443)))*(1+'参数'!$B$42*P443)/'参数'!$J$7)*(1+'参数'!$B$37*('参数'!$B$38-1))</x:f>
        <x:v>52445.746688054394</x:v>
      </x:c>
      <x:c r="X443" s="26" t="n">
        <x:f>('参数'!$B$26+'参数'!$B$27*(D443-1)/99)*'参数'!$K$29*AD443</x:f>
        <x:v>26.658529411764707</x:v>
      </x:c>
      <x:c r="Y443" s="26" t="n">
        <x:f>('参数'!$B$28+'参数'!$B$29*(D443-1)/99)*'参数'!$K$29*AD443*IF(AE443=1,'参数'!$B$51,1)</x:f>
        <x:v>74.0514705882353</x:v>
      </x:c>
      <x:c r="Z443" s="22" t="n">
        <x:f>MIN('参数'!$B$36,U443/(U443+'参数'!$B$35))</x:f>
        <x:v>0.6117560486461108</x:v>
      </x:c>
      <x:c r="AA443" s="19" t="n">
        <x:f>T443*'参数'!$B$30/('参数'!$B$32*'参数'!$B$33)/(1-Z443)*AC443</x:f>
        <x:v>9235.436026488333</x:v>
      </x:c>
      <x:c r="AB443" s="19" t="n">
        <x:f>T443*'参数'!$B$31/'参数'!$B$34/(1-Z443)*AC443</x:f>
        <x:v>18470.872052976665</x:v>
      </x:c>
      <x:c r="AC443" s="20" t="n">
        <x:f>'参数'!$L$29*(1+'参数'!$B$53*(B443-1)/119)</x:f>
        <x:v>1.2621176470588236</x:v>
      </x:c>
      <x:c r="AD443" s="20" t="n">
        <x:f>1+'参数'!$B$52*(B443-1)/119</x:f>
        <x:v>1.0970588235294119</x:v>
      </x:c>
      <x:c r="AE443" s="19" t="n">
        <x:f>IF(MOD(B443,12)=0,1,0)</x:f>
        <x:v>0</x:v>
      </x:c>
    </x:row>
    <x:row r="444" ht="22" customHeight="1">
      <x:c r="A444" s="18" t="str">
        <x:v>地狱</x:v>
      </x:c>
      <x:c r="B444" s="18" t="n">
        <x:v>79</x:v>
      </x:c>
      <x:c r="C444" s="18" t="n">
        <x:f>ROUNDUP(B444/12,0)</x:f>
        <x:v>7</x:v>
      </x:c>
      <x:c r="D444" s="18" t="n">
        <x:f>ROUND(MAX('参数'!$G$29,E444)+(IF(C444&lt;10,INDEX('参数'!$G$37:$P$37,1,MIN(10,C444+1)),'参数'!$H$29)-MAX('参数'!$G$29,E444))*MOD(B444-1,12)/11,0)</x:f>
        <x:v>100</x:v>
      </x:c>
      <x:c r="E444" s="18" t="n">
        <x:f>INDEX('参数'!$G$37:$P$37,1,C444)</x:f>
        <x:v>100</x:v>
      </x:c>
      <x:c r="F444" s="15" t="n">
        <x:f>'参数'!$I$29</x:f>
        <x:v>1.29</x:v>
      </x:c>
      <x:c r="G444" s="18" t="n">
        <x:f>ROUND(V444*X444/'参数'!$B$56,0)</x:f>
        <x:v>394969</x:v>
      </x:c>
      <x:c r="H444" s="18" t="n">
        <x:f>ROUND((AA444+SQRT(AA444^2+4*AA444*'参数'!$B$22*U444))/2,0)</x:f>
        <x:v>14324</x:v>
      </x:c>
      <x:c r="I444" s="18" t="n">
        <x:f>ROUND(Q444*'参数'!$B$23/'参数'!$B$22,0)</x:f>
        <x:v>2008</x:v>
      </x:c>
      <x:c r="J444" s="18" t="n">
        <x:f>ROUND(G444*'参数'!$B$50,0)</x:f>
        <x:v>1184907</x:v>
      </x:c>
      <x:c r="K444" s="18" t="n">
        <x:f>ROUND(W444*Y444,0)</x:f>
        <x:v>3888147</x:v>
      </x:c>
      <x:c r="L444" s="18" t="n">
        <x:f>ROUND((AB444+SQRT(AB444^2+4*AB444*'参数'!$B$22*U444))/2,0)</x:f>
        <x:v>24441</x:v>
      </x:c>
      <x:c r="M444" s="18" t="n">
        <x:f>ROUND(I444*'参数'!$B$24,0)</x:f>
        <x:v>2510</x:v>
      </x:c>
      <x:c r="N444" s="18" t="n">
        <x:f>'参数'!$B$9*'参数'!$B$10^(D444-1)</x:f>
        <x:v>11195.319600498813</x:v>
      </x:c>
      <x:c r="O444" s="18" t="n">
        <x:f>'参数'!$B$18*'参数'!$B$19^(MIN(E444,MAX(1,5*INT(D444/5)))-1)*F444*'参数'!$J$29*P444</x:f>
        <x:v>1897.6106812882254</x:v>
      </x:c>
      <x:c r="P444" s="21" t="n">
        <x:f>MIN(1,(D444-1)/19)</x:f>
        <x:v>1</x:v>
      </x:c>
      <x:c r="Q444" s="18" t="n">
        <x:f>INDEX('角色成长'!$F$6:$F$105,D444)+O444*'参数'!$K$21</x:f>
        <x:v>10042.190441671442</x:v>
      </x:c>
      <x:c r="R444" s="18" t="n">
        <x:f>INDEX('角色成长'!$I$6:$I$105,D444)+O444*'参数'!$K$21</x:f>
        <x:v>8744.190441671442</x:v>
      </x:c>
      <x:c r="S444" s="18" t="n">
        <x:f>INDEX('角色成长'!$L$6:$L$105,D444)+O444*'参数'!$K$21</x:f>
        <x:v>8003.190441671442</x:v>
      </x:c>
      <x:c r="T444" s="18" t="n">
        <x:f>(INDEX('角色成长'!$J$6:$J$105,D444)+O444*'参数'!$L$21)*(1+'参数'!$B$40*P444)</x:f>
        <x:v>113637.65283705847</x:v>
      </x:c>
      <x:c r="U444" s="18" t="n">
        <x:f>(INDEX('角色成长'!$K$6:$K$105,D444)+O444*'参数'!$M$21)*(1+'参数'!$B$41*P444)</x:f>
        <x:v>6302.800561479835</x:v>
      </x:c>
      <x:c r="V444" s="18" t="n">
        <x:f>(('参数'!$K$5*(((Q444*(1+'参数'!$B$39*P444))^2/((Q444*(1+'参数'!$B$39*P444))+'参数'!$B$22*(I444)))*(1+'参数'!$B$42*P444)/'参数'!$J$5+((Q444*'参数'!$B$43*(1+'参数'!$B$39*P444))^2/((Q444*'参数'!$B$43*(1+'参数'!$B$39*P444))+'参数'!$B$22*(I444)))/'参数'!$B$44))+(((R444*(1+'参数'!$B$39*P444))^2/((R444*(1+'参数'!$B$39*P444))+'参数'!$B$22*(I444)))*(1+'参数'!$B$42*P444)/'参数'!$J$6+((R444*'参数'!$B$45*(1+'参数'!$B$39*P444))^2/((R444*'参数'!$B$45*(1+'参数'!$B$39*P444))+'参数'!$B$22*(I444)))/'参数'!$B$46)+((S444*(1+'参数'!$B$39*P444))^2/((S444*(1+'参数'!$B$39*P444))+'参数'!$B$22*(I444)))*(1+'参数'!$B$42*P444)/'参数'!$J$7)*(1+'参数'!$B$37*('参数'!$B$38-1))*'参数'!$B$25</x:f>
        <x:v>68074.69622887956</x:v>
      </x:c>
      <x:c r="W444" s="18" t="n">
        <x:f>(('参数'!$K$5*(((Q444*(1+'参数'!$B$39*P444))^2/((Q444*(1+'参数'!$B$39*P444))+'参数'!$B$22*(M444)))*(1+'参数'!$B$42*P444)/'参数'!$J$5+((Q444*'参数'!$B$43*(1+'参数'!$B$39*P444))^2/((Q444*'参数'!$B$43*(1+'参数'!$B$39*P444))+'参数'!$B$22*(M444)))/'参数'!$B$44))+(((R444*(1+'参数'!$B$39*P444))^2/((R444*(1+'参数'!$B$39*P444))+'参数'!$B$22*(M444)))*(1+'参数'!$B$42*P444)/'参数'!$J$6+((R444*'参数'!$B$45*(1+'参数'!$B$39*P444))^2/((R444*'参数'!$B$45*(1+'参数'!$B$39*P444))+'参数'!$B$22*(M444)))/'参数'!$B$46)+((S444*(1+'参数'!$B$39*P444))^2/((S444*(1+'参数'!$B$39*P444))+'参数'!$B$22*(M444)))*(1+'参数'!$B$42*P444)/'参数'!$J$7)*(1+'参数'!$B$37*('参数'!$B$38-1))</x:f>
        <x:v>52445.746688054394</x:v>
      </x:c>
      <x:c r="X444" s="25" t="n">
        <x:f>('参数'!$B$26+'参数'!$B$27*(D444-1)/99)*'参数'!$K$29*AD444</x:f>
        <x:v>26.68915966386555</x:v>
      </x:c>
      <x:c r="Y444" s="25" t="n">
        <x:f>('参数'!$B$28+'参数'!$B$29*(D444-1)/99)*'参数'!$K$29*AD444*IF(AE444=1,'参数'!$B$51,1)</x:f>
        <x:v>74.13655462184875</x:v>
      </x:c>
      <x:c r="Z444" s="21" t="n">
        <x:f>MIN('参数'!$B$36,U444/(U444+'参数'!$B$35))</x:f>
        <x:v>0.6117560486461108</x:v>
      </x:c>
      <x:c r="AA444" s="18" t="n">
        <x:f>T444*'参数'!$B$30/('参数'!$B$32*'参数'!$B$33)/(1-Z444)*AC444</x:f>
        <x:v>9241.339149547768</x:v>
      </x:c>
      <x:c r="AB444" s="18" t="n">
        <x:f>T444*'参数'!$B$31/'参数'!$B$34/(1-Z444)*AC444</x:f>
        <x:v>18482.678299095536</x:v>
      </x:c>
      <x:c r="AC444" s="15" t="n">
        <x:f>'参数'!$L$29*(1+'参数'!$B$53*(B444-1)/119)</x:f>
        <x:v>1.2629243697478991</x:v>
      </x:c>
      <x:c r="AD444" s="15" t="n">
        <x:f>1+'参数'!$B$52*(B444-1)/119</x:f>
        <x:v>1.0983193277310925</x:v>
      </x:c>
      <x:c r="AE444" s="18" t="n">
        <x:f>IF(MOD(B444,12)=0,1,0)</x:f>
        <x:v>0</x:v>
      </x:c>
    </x:row>
    <x:row r="445" ht="22" customHeight="1">
      <x:c r="A445" s="19" t="str">
        <x:v>地狱</x:v>
      </x:c>
      <x:c r="B445" s="19" t="n">
        <x:v>80</x:v>
      </x:c>
      <x:c r="C445" s="19" t="n">
        <x:f>ROUNDUP(B445/12,0)</x:f>
        <x:v>7</x:v>
      </x:c>
      <x:c r="D445" s="19" t="n">
        <x:f>ROUND(MAX('参数'!$G$29,E445)+(IF(C445&lt;10,INDEX('参数'!$G$37:$P$37,1,MIN(10,C445+1)),'参数'!$H$29)-MAX('参数'!$G$29,E445))*MOD(B445-1,12)/11,0)</x:f>
        <x:v>100</x:v>
      </x:c>
      <x:c r="E445" s="19" t="n">
        <x:f>INDEX('参数'!$G$37:$P$37,1,C445)</x:f>
        <x:v>100</x:v>
      </x:c>
      <x:c r="F445" s="20" t="n">
        <x:f>'参数'!$I$29</x:f>
        <x:v>1.29</x:v>
      </x:c>
      <x:c r="G445" s="19" t="n">
        <x:f>ROUND(V445*X445/'参数'!$B$56,0)</x:f>
        <x:v>395422</x:v>
      </x:c>
      <x:c r="H445" s="19" t="n">
        <x:f>ROUND((AA445+SQRT(AA445^2+4*AA445*'参数'!$B$22*U445))/2,0)</x:f>
        <x:v>14331</x:v>
      </x:c>
      <x:c r="I445" s="19" t="n">
        <x:f>ROUND(Q445*'参数'!$B$23/'参数'!$B$22,0)</x:f>
        <x:v>2008</x:v>
      </x:c>
      <x:c r="J445" s="19" t="n">
        <x:f>ROUND(G445*'参数'!$B$50,0)</x:f>
        <x:v>1186266</x:v>
      </x:c>
      <x:c r="K445" s="19" t="n">
        <x:f>ROUND(W445*Y445,0)</x:f>
        <x:v>3892609</x:v>
      </x:c>
      <x:c r="L445" s="19" t="n">
        <x:f>ROUND((AB445+SQRT(AB445^2+4*AB445*'参数'!$B$22*U445))/2,0)</x:f>
        <x:v>24453</x:v>
      </x:c>
      <x:c r="M445" s="19" t="n">
        <x:f>ROUND(I445*'参数'!$B$24,0)</x:f>
        <x:v>2510</x:v>
      </x:c>
      <x:c r="N445" s="19" t="n">
        <x:f>'参数'!$B$9*'参数'!$B$10^(D445-1)</x:f>
        <x:v>11195.319600498813</x:v>
      </x:c>
      <x:c r="O445" s="19" t="n">
        <x:f>'参数'!$B$18*'参数'!$B$19^(MIN(E445,MAX(1,5*INT(D445/5)))-1)*F445*'参数'!$J$29*P445</x:f>
        <x:v>1897.6106812882254</x:v>
      </x:c>
      <x:c r="P445" s="22" t="n">
        <x:f>MIN(1,(D445-1)/19)</x:f>
        <x:v>1</x:v>
      </x:c>
      <x:c r="Q445" s="19" t="n">
        <x:f>INDEX('角色成长'!$F$6:$F$105,D445)+O445*'参数'!$K$21</x:f>
        <x:v>10042.190441671442</x:v>
      </x:c>
      <x:c r="R445" s="19" t="n">
        <x:f>INDEX('角色成长'!$I$6:$I$105,D445)+O445*'参数'!$K$21</x:f>
        <x:v>8744.190441671442</x:v>
      </x:c>
      <x:c r="S445" s="19" t="n">
        <x:f>INDEX('角色成长'!$L$6:$L$105,D445)+O445*'参数'!$K$21</x:f>
        <x:v>8003.190441671442</x:v>
      </x:c>
      <x:c r="T445" s="19" t="n">
        <x:f>(INDEX('角色成长'!$J$6:$J$105,D445)+O445*'参数'!$L$21)*(1+'参数'!$B$40*P445)</x:f>
        <x:v>113637.65283705847</x:v>
      </x:c>
      <x:c r="U445" s="19" t="n">
        <x:f>(INDEX('角色成长'!$K$6:$K$105,D445)+O445*'参数'!$M$21)*(1+'参数'!$B$41*P445)</x:f>
        <x:v>6302.800561479835</x:v>
      </x:c>
      <x:c r="V445" s="19" t="n">
        <x:f>(('参数'!$K$5*(((Q445*(1+'参数'!$B$39*P445))^2/((Q445*(1+'参数'!$B$39*P445))+'参数'!$B$22*(I445)))*(1+'参数'!$B$42*P445)/'参数'!$J$5+((Q445*'参数'!$B$43*(1+'参数'!$B$39*P445))^2/((Q445*'参数'!$B$43*(1+'参数'!$B$39*P445))+'参数'!$B$22*(I445)))/'参数'!$B$44))+(((R445*(1+'参数'!$B$39*P445))^2/((R445*(1+'参数'!$B$39*P445))+'参数'!$B$22*(I445)))*(1+'参数'!$B$42*P445)/'参数'!$J$6+((R445*'参数'!$B$45*(1+'参数'!$B$39*P445))^2/((R445*'参数'!$B$45*(1+'参数'!$B$39*P445))+'参数'!$B$22*(I445)))/'参数'!$B$46)+((S445*(1+'参数'!$B$39*P445))^2/((S445*(1+'参数'!$B$39*P445))+'参数'!$B$22*(I445)))*(1+'参数'!$B$42*P445)/'参数'!$J$7)*(1+'参数'!$B$37*('参数'!$B$38-1))*'参数'!$B$25</x:f>
        <x:v>68074.69622887956</x:v>
      </x:c>
      <x:c r="W445" s="19" t="n">
        <x:f>(('参数'!$K$5*(((Q445*(1+'参数'!$B$39*P445))^2/((Q445*(1+'参数'!$B$39*P445))+'参数'!$B$22*(M445)))*(1+'参数'!$B$42*P445)/'参数'!$J$5+((Q445*'参数'!$B$43*(1+'参数'!$B$39*P445))^2/((Q445*'参数'!$B$43*(1+'参数'!$B$39*P445))+'参数'!$B$22*(M445)))/'参数'!$B$44))+(((R445*(1+'参数'!$B$39*P445))^2/((R445*(1+'参数'!$B$39*P445))+'参数'!$B$22*(M445)))*(1+'参数'!$B$42*P445)/'参数'!$J$6+((R445*'参数'!$B$45*(1+'参数'!$B$39*P445))^2/((R445*'参数'!$B$45*(1+'参数'!$B$39*P445))+'参数'!$B$22*(M445)))/'参数'!$B$46)+((S445*(1+'参数'!$B$39*P445))^2/((S445*(1+'参数'!$B$39*P445))+'参数'!$B$22*(M445)))*(1+'参数'!$B$42*P445)/'参数'!$J$7)*(1+'参数'!$B$37*('参数'!$B$38-1))</x:f>
        <x:v>52445.746688054394</x:v>
      </x:c>
      <x:c r="X445" s="26" t="n">
        <x:f>('参数'!$B$26+'参数'!$B$27*(D445-1)/99)*'参数'!$K$29*AD445</x:f>
        <x:v>26.71978991596639</x:v>
      </x:c>
      <x:c r="Y445" s="26" t="n">
        <x:f>('参数'!$B$28+'参数'!$B$29*(D445-1)/99)*'参数'!$K$29*AD445*IF(AE445=1,'参数'!$B$51,1)</x:f>
        <x:v>74.22163865546219</x:v>
      </x:c>
      <x:c r="Z445" s="22" t="n">
        <x:f>MIN('参数'!$B$36,U445/(U445+'参数'!$B$35))</x:f>
        <x:v>0.6117560486461108</x:v>
      </x:c>
      <x:c r="AA445" s="19" t="n">
        <x:f>T445*'参数'!$B$30/('参数'!$B$32*'参数'!$B$33)/(1-Z445)*AC445</x:f>
        <x:v>9247.242272607204</x:v>
      </x:c>
      <x:c r="AB445" s="19" t="n">
        <x:f>T445*'参数'!$B$31/'参数'!$B$34/(1-Z445)*AC445</x:f>
        <x:v>18494.484545214407</x:v>
      </x:c>
      <x:c r="AC445" s="20" t="n">
        <x:f>'参数'!$L$29*(1+'参数'!$B$53*(B445-1)/119)</x:f>
        <x:v>1.2637310924369747</x:v>
      </x:c>
      <x:c r="AD445" s="20" t="n">
        <x:f>1+'参数'!$B$52*(B445-1)/119</x:f>
        <x:v>1.0995798319327732</x:v>
      </x:c>
      <x:c r="AE445" s="19" t="n">
        <x:f>IF(MOD(B445,12)=0,1,0)</x:f>
        <x:v>0</x:v>
      </x:c>
    </x:row>
    <x:row r="446" ht="22" customHeight="1">
      <x:c r="A446" s="18" t="str">
        <x:v>地狱</x:v>
      </x:c>
      <x:c r="B446" s="18" t="n">
        <x:v>81</x:v>
      </x:c>
      <x:c r="C446" s="18" t="n">
        <x:f>ROUNDUP(B446/12,0)</x:f>
        <x:v>7</x:v>
      </x:c>
      <x:c r="D446" s="18" t="n">
        <x:f>ROUND(MAX('参数'!$G$29,E446)+(IF(C446&lt;10,INDEX('参数'!$G$37:$P$37,1,MIN(10,C446+1)),'参数'!$H$29)-MAX('参数'!$G$29,E446))*MOD(B446-1,12)/11,0)</x:f>
        <x:v>100</x:v>
      </x:c>
      <x:c r="E446" s="18" t="n">
        <x:f>INDEX('参数'!$G$37:$P$37,1,C446)</x:f>
        <x:v>100</x:v>
      </x:c>
      <x:c r="F446" s="15" t="n">
        <x:f>'参数'!$I$29</x:f>
        <x:v>1.29</x:v>
      </x:c>
      <x:c r="G446" s="18" t="n">
        <x:f>ROUND(V446*X446/'参数'!$B$56,0)</x:f>
        <x:v>395875</x:v>
      </x:c>
      <x:c r="H446" s="18" t="n">
        <x:f>ROUND((AA446+SQRT(AA446^2+4*AA446*'参数'!$B$22*U446))/2,0)</x:f>
        <x:v>14338</x:v>
      </x:c>
      <x:c r="I446" s="18" t="n">
        <x:f>ROUND(Q446*'参数'!$B$23/'参数'!$B$22,0)</x:f>
        <x:v>2008</x:v>
      </x:c>
      <x:c r="J446" s="18" t="n">
        <x:f>ROUND(G446*'参数'!$B$50,0)</x:f>
        <x:v>1187625</x:v>
      </x:c>
      <x:c r="K446" s="18" t="n">
        <x:f>ROUND(W446*Y446,0)</x:f>
        <x:v>3897072</x:v>
      </x:c>
      <x:c r="L446" s="18" t="n">
        <x:f>ROUND((AB446+SQRT(AB446^2+4*AB446*'参数'!$B$22*U446))/2,0)</x:f>
        <x:v>24466</x:v>
      </x:c>
      <x:c r="M446" s="18" t="n">
        <x:f>ROUND(I446*'参数'!$B$24,0)</x:f>
        <x:v>2510</x:v>
      </x:c>
      <x:c r="N446" s="18" t="n">
        <x:f>'参数'!$B$9*'参数'!$B$10^(D446-1)</x:f>
        <x:v>11195.319600498813</x:v>
      </x:c>
      <x:c r="O446" s="18" t="n">
        <x:f>'参数'!$B$18*'参数'!$B$19^(MIN(E446,MAX(1,5*INT(D446/5)))-1)*F446*'参数'!$J$29*P446</x:f>
        <x:v>1897.6106812882254</x:v>
      </x:c>
      <x:c r="P446" s="21" t="n">
        <x:f>MIN(1,(D446-1)/19)</x:f>
        <x:v>1</x:v>
      </x:c>
      <x:c r="Q446" s="18" t="n">
        <x:f>INDEX('角色成长'!$F$6:$F$105,D446)+O446*'参数'!$K$21</x:f>
        <x:v>10042.190441671442</x:v>
      </x:c>
      <x:c r="R446" s="18" t="n">
        <x:f>INDEX('角色成长'!$I$6:$I$105,D446)+O446*'参数'!$K$21</x:f>
        <x:v>8744.190441671442</x:v>
      </x:c>
      <x:c r="S446" s="18" t="n">
        <x:f>INDEX('角色成长'!$L$6:$L$105,D446)+O446*'参数'!$K$21</x:f>
        <x:v>8003.190441671442</x:v>
      </x:c>
      <x:c r="T446" s="18" t="n">
        <x:f>(INDEX('角色成长'!$J$6:$J$105,D446)+O446*'参数'!$L$21)*(1+'参数'!$B$40*P446)</x:f>
        <x:v>113637.65283705847</x:v>
      </x:c>
      <x:c r="U446" s="18" t="n">
        <x:f>(INDEX('角色成长'!$K$6:$K$105,D446)+O446*'参数'!$M$21)*(1+'参数'!$B$41*P446)</x:f>
        <x:v>6302.800561479835</x:v>
      </x:c>
      <x:c r="V446" s="18" t="n">
        <x:f>(('参数'!$K$5*(((Q446*(1+'参数'!$B$39*P446))^2/((Q446*(1+'参数'!$B$39*P446))+'参数'!$B$22*(I446)))*(1+'参数'!$B$42*P446)/'参数'!$J$5+((Q446*'参数'!$B$43*(1+'参数'!$B$39*P446))^2/((Q446*'参数'!$B$43*(1+'参数'!$B$39*P446))+'参数'!$B$22*(I446)))/'参数'!$B$44))+(((R446*(1+'参数'!$B$39*P446))^2/((R446*(1+'参数'!$B$39*P446))+'参数'!$B$22*(I446)))*(1+'参数'!$B$42*P446)/'参数'!$J$6+((R446*'参数'!$B$45*(1+'参数'!$B$39*P446))^2/((R446*'参数'!$B$45*(1+'参数'!$B$39*P446))+'参数'!$B$22*(I446)))/'参数'!$B$46)+((S446*(1+'参数'!$B$39*P446))^2/((S446*(1+'参数'!$B$39*P446))+'参数'!$B$22*(I446)))*(1+'参数'!$B$42*P446)/'参数'!$J$7)*(1+'参数'!$B$37*('参数'!$B$38-1))*'参数'!$B$25</x:f>
        <x:v>68074.69622887956</x:v>
      </x:c>
      <x:c r="W446" s="18" t="n">
        <x:f>(('参数'!$K$5*(((Q446*(1+'参数'!$B$39*P446))^2/((Q446*(1+'参数'!$B$39*P446))+'参数'!$B$22*(M446)))*(1+'参数'!$B$42*P446)/'参数'!$J$5+((Q446*'参数'!$B$43*(1+'参数'!$B$39*P446))^2/((Q446*'参数'!$B$43*(1+'参数'!$B$39*P446))+'参数'!$B$22*(M446)))/'参数'!$B$44))+(((R446*(1+'参数'!$B$39*P446))^2/((R446*(1+'参数'!$B$39*P446))+'参数'!$B$22*(M446)))*(1+'参数'!$B$42*P446)/'参数'!$J$6+((R446*'参数'!$B$45*(1+'参数'!$B$39*P446))^2/((R446*'参数'!$B$45*(1+'参数'!$B$39*P446))+'参数'!$B$22*(M446)))/'参数'!$B$46)+((S446*(1+'参数'!$B$39*P446))^2/((S446*(1+'参数'!$B$39*P446))+'参数'!$B$22*(M446)))*(1+'参数'!$B$42*P446)/'参数'!$J$7)*(1+'参数'!$B$37*('参数'!$B$38-1))</x:f>
        <x:v>52445.746688054394</x:v>
      </x:c>
      <x:c r="X446" s="25" t="n">
        <x:f>('参数'!$B$26+'参数'!$B$27*(D446-1)/99)*'参数'!$K$29*AD446</x:f>
        <x:v>26.75042016806723</x:v>
      </x:c>
      <x:c r="Y446" s="25" t="n">
        <x:f>('参数'!$B$28+'参数'!$B$29*(D446-1)/99)*'参数'!$K$29*AD446*IF(AE446=1,'参数'!$B$51,1)</x:f>
        <x:v>74.30672268907564</x:v>
      </x:c>
      <x:c r="Z446" s="21" t="n">
        <x:f>MIN('参数'!$B$36,U446/(U446+'参数'!$B$35))</x:f>
        <x:v>0.6117560486461108</x:v>
      </x:c>
      <x:c r="AA446" s="18" t="n">
        <x:f>T446*'参数'!$B$30/('参数'!$B$32*'参数'!$B$33)/(1-Z446)*AC446</x:f>
        <x:v>9253.145395666641</x:v>
      </x:c>
      <x:c r="AB446" s="18" t="n">
        <x:f>T446*'参数'!$B$31/'参数'!$B$34/(1-Z446)*AC446</x:f>
        <x:v>18506.290791333282</x:v>
      </x:c>
      <x:c r="AC446" s="15" t="n">
        <x:f>'参数'!$L$29*(1+'参数'!$B$53*(B446-1)/119)</x:f>
        <x:v>1.2645378151260505</x:v>
      </x:c>
      <x:c r="AD446" s="15" t="n">
        <x:f>1+'参数'!$B$52*(B446-1)/119</x:f>
        <x:v>1.1008403361344539</x:v>
      </x:c>
      <x:c r="AE446" s="18" t="n">
        <x:f>IF(MOD(B446,12)=0,1,0)</x:f>
        <x:v>0</x:v>
      </x:c>
    </x:row>
    <x:row r="447" ht="22" customHeight="1">
      <x:c r="A447" s="19" t="str">
        <x:v>地狱</x:v>
      </x:c>
      <x:c r="B447" s="19" t="n">
        <x:v>82</x:v>
      </x:c>
      <x:c r="C447" s="19" t="n">
        <x:f>ROUNDUP(B447/12,0)</x:f>
        <x:v>7</x:v>
      </x:c>
      <x:c r="D447" s="19" t="n">
        <x:f>ROUND(MAX('参数'!$G$29,E447)+(IF(C447&lt;10,INDEX('参数'!$G$37:$P$37,1,MIN(10,C447+1)),'参数'!$H$29)-MAX('参数'!$G$29,E447))*MOD(B447-1,12)/11,0)</x:f>
        <x:v>100</x:v>
      </x:c>
      <x:c r="E447" s="19" t="n">
        <x:f>INDEX('参数'!$G$37:$P$37,1,C447)</x:f>
        <x:v>100</x:v>
      </x:c>
      <x:c r="F447" s="20" t="n">
        <x:f>'参数'!$I$29</x:f>
        <x:v>1.29</x:v>
      </x:c>
      <x:c r="G447" s="19" t="n">
        <x:f>ROUND(V447*X447/'参数'!$B$56,0)</x:f>
        <x:v>396329</x:v>
      </x:c>
      <x:c r="H447" s="19" t="n">
        <x:f>ROUND((AA447+SQRT(AA447^2+4*AA447*'参数'!$B$22*U447))/2,0)</x:f>
        <x:v>14344</x:v>
      </x:c>
      <x:c r="I447" s="19" t="n">
        <x:f>ROUND(Q447*'参数'!$B$23/'参数'!$B$22,0)</x:f>
        <x:v>2008</x:v>
      </x:c>
      <x:c r="J447" s="19" t="n">
        <x:f>ROUND(G447*'参数'!$B$50,0)</x:f>
        <x:v>1188987</x:v>
      </x:c>
      <x:c r="K447" s="19" t="n">
        <x:f>ROUND(W447*Y447,0)</x:f>
        <x:v>3901534</x:v>
      </x:c>
      <x:c r="L447" s="19" t="n">
        <x:f>ROUND((AB447+SQRT(AB447^2+4*AB447*'参数'!$B$22*U447))/2,0)</x:f>
        <x:v>24478</x:v>
      </x:c>
      <x:c r="M447" s="19" t="n">
        <x:f>ROUND(I447*'参数'!$B$24,0)</x:f>
        <x:v>2510</x:v>
      </x:c>
      <x:c r="N447" s="19" t="n">
        <x:f>'参数'!$B$9*'参数'!$B$10^(D447-1)</x:f>
        <x:v>11195.319600498813</x:v>
      </x:c>
      <x:c r="O447" s="19" t="n">
        <x:f>'参数'!$B$18*'参数'!$B$19^(MIN(E447,MAX(1,5*INT(D447/5)))-1)*F447*'参数'!$J$29*P447</x:f>
        <x:v>1897.6106812882254</x:v>
      </x:c>
      <x:c r="P447" s="22" t="n">
        <x:f>MIN(1,(D447-1)/19)</x:f>
        <x:v>1</x:v>
      </x:c>
      <x:c r="Q447" s="19" t="n">
        <x:f>INDEX('角色成长'!$F$6:$F$105,D447)+O447*'参数'!$K$21</x:f>
        <x:v>10042.190441671442</x:v>
      </x:c>
      <x:c r="R447" s="19" t="n">
        <x:f>INDEX('角色成长'!$I$6:$I$105,D447)+O447*'参数'!$K$21</x:f>
        <x:v>8744.190441671442</x:v>
      </x:c>
      <x:c r="S447" s="19" t="n">
        <x:f>INDEX('角色成长'!$L$6:$L$105,D447)+O447*'参数'!$K$21</x:f>
        <x:v>8003.190441671442</x:v>
      </x:c>
      <x:c r="T447" s="19" t="n">
        <x:f>(INDEX('角色成长'!$J$6:$J$105,D447)+O447*'参数'!$L$21)*(1+'参数'!$B$40*P447)</x:f>
        <x:v>113637.65283705847</x:v>
      </x:c>
      <x:c r="U447" s="19" t="n">
        <x:f>(INDEX('角色成长'!$K$6:$K$105,D447)+O447*'参数'!$M$21)*(1+'参数'!$B$41*P447)</x:f>
        <x:v>6302.800561479835</x:v>
      </x:c>
      <x:c r="V447" s="19" t="n">
        <x:f>(('参数'!$K$5*(((Q447*(1+'参数'!$B$39*P447))^2/((Q447*(1+'参数'!$B$39*P447))+'参数'!$B$22*(I447)))*(1+'参数'!$B$42*P447)/'参数'!$J$5+((Q447*'参数'!$B$43*(1+'参数'!$B$39*P447))^2/((Q447*'参数'!$B$43*(1+'参数'!$B$39*P447))+'参数'!$B$22*(I447)))/'参数'!$B$44))+(((R447*(1+'参数'!$B$39*P447))^2/((R447*(1+'参数'!$B$39*P447))+'参数'!$B$22*(I447)))*(1+'参数'!$B$42*P447)/'参数'!$J$6+((R447*'参数'!$B$45*(1+'参数'!$B$39*P447))^2/((R447*'参数'!$B$45*(1+'参数'!$B$39*P447))+'参数'!$B$22*(I447)))/'参数'!$B$46)+((S447*(1+'参数'!$B$39*P447))^2/((S447*(1+'参数'!$B$39*P447))+'参数'!$B$22*(I447)))*(1+'参数'!$B$42*P447)/'参数'!$J$7)*(1+'参数'!$B$37*('参数'!$B$38-1))*'参数'!$B$25</x:f>
        <x:v>68074.69622887956</x:v>
      </x:c>
      <x:c r="W447" s="19" t="n">
        <x:f>(('参数'!$K$5*(((Q447*(1+'参数'!$B$39*P447))^2/((Q447*(1+'参数'!$B$39*P447))+'参数'!$B$22*(M447)))*(1+'参数'!$B$42*P447)/'参数'!$J$5+((Q447*'参数'!$B$43*(1+'参数'!$B$39*P447))^2/((Q447*'参数'!$B$43*(1+'参数'!$B$39*P447))+'参数'!$B$22*(M447)))/'参数'!$B$44))+(((R447*(1+'参数'!$B$39*P447))^2/((R447*(1+'参数'!$B$39*P447))+'参数'!$B$22*(M447)))*(1+'参数'!$B$42*P447)/'参数'!$J$6+((R447*'参数'!$B$45*(1+'参数'!$B$39*P447))^2/((R447*'参数'!$B$45*(1+'参数'!$B$39*P447))+'参数'!$B$22*(M447)))/'参数'!$B$46)+((S447*(1+'参数'!$B$39*P447))^2/((S447*(1+'参数'!$B$39*P447))+'参数'!$B$22*(M447)))*(1+'参数'!$B$42*P447)/'参数'!$J$7)*(1+'参数'!$B$37*('参数'!$B$38-1))</x:f>
        <x:v>52445.746688054394</x:v>
      </x:c>
      <x:c r="X447" s="26" t="n">
        <x:f>('参数'!$B$26+'参数'!$B$27*(D447-1)/99)*'参数'!$K$29*AD447</x:f>
        <x:v>26.78105042016807</x:v>
      </x:c>
      <x:c r="Y447" s="26" t="n">
        <x:f>('参数'!$B$28+'参数'!$B$29*(D447-1)/99)*'参数'!$K$29*AD447*IF(AE447=1,'参数'!$B$51,1)</x:f>
        <x:v>74.39180672268908</x:v>
      </x:c>
      <x:c r="Z447" s="22" t="n">
        <x:f>MIN('参数'!$B$36,U447/(U447+'参数'!$B$35))</x:f>
        <x:v>0.6117560486461108</x:v>
      </x:c>
      <x:c r="AA447" s="19" t="n">
        <x:f>T447*'参数'!$B$30/('参数'!$B$32*'参数'!$B$33)/(1-Z447)*AC447</x:f>
        <x:v>9259.048518726077</x:v>
      </x:c>
      <x:c r="AB447" s="19" t="n">
        <x:f>T447*'参数'!$B$31/'参数'!$B$34/(1-Z447)*AC447</x:f>
        <x:v>18518.097037452153</x:v>
      </x:c>
      <x:c r="AC447" s="20" t="n">
        <x:f>'参数'!$L$29*(1+'参数'!$B$53*(B447-1)/119)</x:f>
        <x:v>1.2653445378151258</x:v>
      </x:c>
      <x:c r="AD447" s="20" t="n">
        <x:f>1+'参数'!$B$52*(B447-1)/119</x:f>
        <x:v>1.1021008403361345</x:v>
      </x:c>
      <x:c r="AE447" s="19" t="n">
        <x:f>IF(MOD(B447,12)=0,1,0)</x:f>
        <x:v>0</x:v>
      </x:c>
    </x:row>
    <x:row r="448" ht="22" customHeight="1">
      <x:c r="A448" s="18" t="str">
        <x:v>地狱</x:v>
      </x:c>
      <x:c r="B448" s="18" t="n">
        <x:v>83</x:v>
      </x:c>
      <x:c r="C448" s="18" t="n">
        <x:f>ROUNDUP(B448/12,0)</x:f>
        <x:v>7</x:v>
      </x:c>
      <x:c r="D448" s="18" t="n">
        <x:f>ROUND(MAX('参数'!$G$29,E448)+(IF(C448&lt;10,INDEX('参数'!$G$37:$P$37,1,MIN(10,C448+1)),'参数'!$H$29)-MAX('参数'!$G$29,E448))*MOD(B448-1,12)/11,0)</x:f>
        <x:v>100</x:v>
      </x:c>
      <x:c r="E448" s="18" t="n">
        <x:f>INDEX('参数'!$G$37:$P$37,1,C448)</x:f>
        <x:v>100</x:v>
      </x:c>
      <x:c r="F448" s="15" t="n">
        <x:f>'参数'!$I$29</x:f>
        <x:v>1.29</x:v>
      </x:c>
      <x:c r="G448" s="18" t="n">
        <x:f>ROUND(V448*X448/'参数'!$B$56,0)</x:f>
        <x:v>396782</x:v>
      </x:c>
      <x:c r="H448" s="18" t="n">
        <x:f>ROUND((AA448+SQRT(AA448^2+4*AA448*'参数'!$B$22*U448))/2,0)</x:f>
        <x:v>14351</x:v>
      </x:c>
      <x:c r="I448" s="18" t="n">
        <x:f>ROUND(Q448*'参数'!$B$23/'参数'!$B$22,0)</x:f>
        <x:v>2008</x:v>
      </x:c>
      <x:c r="J448" s="18" t="n">
        <x:f>ROUND(G448*'参数'!$B$50,0)</x:f>
        <x:v>1190346</x:v>
      </x:c>
      <x:c r="K448" s="18" t="n">
        <x:f>ROUND(W448*Y448,0)</x:f>
        <x:v>3905996</x:v>
      </x:c>
      <x:c r="L448" s="18" t="n">
        <x:f>ROUND((AB448+SQRT(AB448^2+4*AB448*'参数'!$B$22*U448))/2,0)</x:f>
        <x:v>24491</x:v>
      </x:c>
      <x:c r="M448" s="18" t="n">
        <x:f>ROUND(I448*'参数'!$B$24,0)</x:f>
        <x:v>2510</x:v>
      </x:c>
      <x:c r="N448" s="18" t="n">
        <x:f>'参数'!$B$9*'参数'!$B$10^(D448-1)</x:f>
        <x:v>11195.319600498813</x:v>
      </x:c>
      <x:c r="O448" s="18" t="n">
        <x:f>'参数'!$B$18*'参数'!$B$19^(MIN(E448,MAX(1,5*INT(D448/5)))-1)*F448*'参数'!$J$29*P448</x:f>
        <x:v>1897.6106812882254</x:v>
      </x:c>
      <x:c r="P448" s="21" t="n">
        <x:f>MIN(1,(D448-1)/19)</x:f>
        <x:v>1</x:v>
      </x:c>
      <x:c r="Q448" s="18" t="n">
        <x:f>INDEX('角色成长'!$F$6:$F$105,D448)+O448*'参数'!$K$21</x:f>
        <x:v>10042.190441671442</x:v>
      </x:c>
      <x:c r="R448" s="18" t="n">
        <x:f>INDEX('角色成长'!$I$6:$I$105,D448)+O448*'参数'!$K$21</x:f>
        <x:v>8744.190441671442</x:v>
      </x:c>
      <x:c r="S448" s="18" t="n">
        <x:f>INDEX('角色成长'!$L$6:$L$105,D448)+O448*'参数'!$K$21</x:f>
        <x:v>8003.190441671442</x:v>
      </x:c>
      <x:c r="T448" s="18" t="n">
        <x:f>(INDEX('角色成长'!$J$6:$J$105,D448)+O448*'参数'!$L$21)*(1+'参数'!$B$40*P448)</x:f>
        <x:v>113637.65283705847</x:v>
      </x:c>
      <x:c r="U448" s="18" t="n">
        <x:f>(INDEX('角色成长'!$K$6:$K$105,D448)+O448*'参数'!$M$21)*(1+'参数'!$B$41*P448)</x:f>
        <x:v>6302.800561479835</x:v>
      </x:c>
      <x:c r="V448" s="18" t="n">
        <x:f>(('参数'!$K$5*(((Q448*(1+'参数'!$B$39*P448))^2/((Q448*(1+'参数'!$B$39*P448))+'参数'!$B$22*(I448)))*(1+'参数'!$B$42*P448)/'参数'!$J$5+((Q448*'参数'!$B$43*(1+'参数'!$B$39*P448))^2/((Q448*'参数'!$B$43*(1+'参数'!$B$39*P448))+'参数'!$B$22*(I448)))/'参数'!$B$44))+(((R448*(1+'参数'!$B$39*P448))^2/((R448*(1+'参数'!$B$39*P448))+'参数'!$B$22*(I448)))*(1+'参数'!$B$42*P448)/'参数'!$J$6+((R448*'参数'!$B$45*(1+'参数'!$B$39*P448))^2/((R448*'参数'!$B$45*(1+'参数'!$B$39*P448))+'参数'!$B$22*(I448)))/'参数'!$B$46)+((S448*(1+'参数'!$B$39*P448))^2/((S448*(1+'参数'!$B$39*P448))+'参数'!$B$22*(I448)))*(1+'参数'!$B$42*P448)/'参数'!$J$7)*(1+'参数'!$B$37*('参数'!$B$38-1))*'参数'!$B$25</x:f>
        <x:v>68074.69622887956</x:v>
      </x:c>
      <x:c r="W448" s="18" t="n">
        <x:f>(('参数'!$K$5*(((Q448*(1+'参数'!$B$39*P448))^2/((Q448*(1+'参数'!$B$39*P448))+'参数'!$B$22*(M448)))*(1+'参数'!$B$42*P448)/'参数'!$J$5+((Q448*'参数'!$B$43*(1+'参数'!$B$39*P448))^2/((Q448*'参数'!$B$43*(1+'参数'!$B$39*P448))+'参数'!$B$22*(M448)))/'参数'!$B$44))+(((R448*(1+'参数'!$B$39*P448))^2/((R448*(1+'参数'!$B$39*P448))+'参数'!$B$22*(M448)))*(1+'参数'!$B$42*P448)/'参数'!$J$6+((R448*'参数'!$B$45*(1+'参数'!$B$39*P448))^2/((R448*'参数'!$B$45*(1+'参数'!$B$39*P448))+'参数'!$B$22*(M448)))/'参数'!$B$46)+((S448*(1+'参数'!$B$39*P448))^2/((S448*(1+'参数'!$B$39*P448))+'参数'!$B$22*(M448)))*(1+'参数'!$B$42*P448)/'参数'!$J$7)*(1+'参数'!$B$37*('参数'!$B$38-1))</x:f>
        <x:v>52445.746688054394</x:v>
      </x:c>
      <x:c r="X448" s="25" t="n">
        <x:f>('参数'!$B$26+'参数'!$B$27*(D448-1)/99)*'参数'!$K$29*AD448</x:f>
        <x:v>26.81168067226891</x:v>
      </x:c>
      <x:c r="Y448" s="25" t="n">
        <x:f>('参数'!$B$28+'参数'!$B$29*(D448-1)/99)*'参数'!$K$29*AD448*IF(AE448=1,'参数'!$B$51,1)</x:f>
        <x:v>74.47689075630252</x:v>
      </x:c>
      <x:c r="Z448" s="21" t="n">
        <x:f>MIN('参数'!$B$36,U448/(U448+'参数'!$B$35))</x:f>
        <x:v>0.6117560486461108</x:v>
      </x:c>
      <x:c r="AA448" s="18" t="n">
        <x:f>T448*'参数'!$B$30/('参数'!$B$32*'参数'!$B$33)/(1-Z448)*AC448</x:f>
        <x:v>9264.951641785514</x:v>
      </x:c>
      <x:c r="AB448" s="18" t="n">
        <x:f>T448*'参数'!$B$31/'参数'!$B$34/(1-Z448)*AC448</x:f>
        <x:v>18529.903283571028</x:v>
      </x:c>
      <x:c r="AC448" s="15" t="n">
        <x:f>'参数'!$L$29*(1+'参数'!$B$53*(B448-1)/119)</x:f>
        <x:v>1.2661512605042016</x:v>
      </x:c>
      <x:c r="AD448" s="15" t="n">
        <x:f>1+'参数'!$B$52*(B448-1)/119</x:f>
        <x:v>1.1033613445378152</x:v>
      </x:c>
      <x:c r="AE448" s="18" t="n">
        <x:f>IF(MOD(B448,12)=0,1,0)</x:f>
        <x:v>0</x:v>
      </x:c>
    </x:row>
    <x:row r="449" ht="22" customHeight="1">
      <x:c r="A449" s="19" t="str">
        <x:v>地狱</x:v>
      </x:c>
      <x:c r="B449" s="19" t="n">
        <x:v>84</x:v>
      </x:c>
      <x:c r="C449" s="19" t="n">
        <x:f>ROUNDUP(B449/12,0)</x:f>
        <x:v>7</x:v>
      </x:c>
      <x:c r="D449" s="19" t="n">
        <x:f>ROUND(MAX('参数'!$G$29,E449)+(IF(C449&lt;10,INDEX('参数'!$G$37:$P$37,1,MIN(10,C449+1)),'参数'!$H$29)-MAX('参数'!$G$29,E449))*MOD(B449-1,12)/11,0)</x:f>
        <x:v>100</x:v>
      </x:c>
      <x:c r="E449" s="19" t="n">
        <x:f>INDEX('参数'!$G$37:$P$37,1,C449)</x:f>
        <x:v>100</x:v>
      </x:c>
      <x:c r="F449" s="20" t="n">
        <x:f>'参数'!$I$29</x:f>
        <x:v>1.29</x:v>
      </x:c>
      <x:c r="G449" s="19" t="n">
        <x:f>ROUND(V449*X449/'参数'!$B$56,0)</x:f>
        <x:v>397235</x:v>
      </x:c>
      <x:c r="H449" s="19" t="n">
        <x:f>ROUND((AA449+SQRT(AA449^2+4*AA449*'参数'!$B$22*U449))/2,0)</x:f>
        <x:v>14358</x:v>
      </x:c>
      <x:c r="I449" s="19" t="n">
        <x:f>ROUND(Q449*'参数'!$B$23/'参数'!$B$22,0)</x:f>
        <x:v>2008</x:v>
      </x:c>
      <x:c r="J449" s="19" t="n">
        <x:f>ROUND(G449*'参数'!$B$50,0)</x:f>
        <x:v>1191705</x:v>
      </x:c>
      <x:c r="K449" s="19" t="n">
        <x:f>ROUND(W449*Y449,0)</x:f>
        <x:v>4497027</x:v>
      </x:c>
      <x:c r="L449" s="19" t="n">
        <x:f>ROUND((AB449+SQRT(AB449^2+4*AB449*'参数'!$B$22*U449))/2,0)</x:f>
        <x:v>24503</x:v>
      </x:c>
      <x:c r="M449" s="19" t="n">
        <x:f>ROUND(I449*'参数'!$B$24,0)</x:f>
        <x:v>2510</x:v>
      </x:c>
      <x:c r="N449" s="19" t="n">
        <x:f>'参数'!$B$9*'参数'!$B$10^(D449-1)</x:f>
        <x:v>11195.319600498813</x:v>
      </x:c>
      <x:c r="O449" s="19" t="n">
        <x:f>'参数'!$B$18*'参数'!$B$19^(MIN(E449,MAX(1,5*INT(D449/5)))-1)*F449*'参数'!$J$29*P449</x:f>
        <x:v>1897.6106812882254</x:v>
      </x:c>
      <x:c r="P449" s="22" t="n">
        <x:f>MIN(1,(D449-1)/19)</x:f>
        <x:v>1</x:v>
      </x:c>
      <x:c r="Q449" s="19" t="n">
        <x:f>INDEX('角色成长'!$F$6:$F$105,D449)+O449*'参数'!$K$21</x:f>
        <x:v>10042.190441671442</x:v>
      </x:c>
      <x:c r="R449" s="19" t="n">
        <x:f>INDEX('角色成长'!$I$6:$I$105,D449)+O449*'参数'!$K$21</x:f>
        <x:v>8744.190441671442</x:v>
      </x:c>
      <x:c r="S449" s="19" t="n">
        <x:f>INDEX('角色成长'!$L$6:$L$105,D449)+O449*'参数'!$K$21</x:f>
        <x:v>8003.190441671442</x:v>
      </x:c>
      <x:c r="T449" s="19" t="n">
        <x:f>(INDEX('角色成长'!$J$6:$J$105,D449)+O449*'参数'!$L$21)*(1+'参数'!$B$40*P449)</x:f>
        <x:v>113637.65283705847</x:v>
      </x:c>
      <x:c r="U449" s="19" t="n">
        <x:f>(INDEX('角色成长'!$K$6:$K$105,D449)+O449*'参数'!$M$21)*(1+'参数'!$B$41*P449)</x:f>
        <x:v>6302.800561479835</x:v>
      </x:c>
      <x:c r="V449" s="19" t="n">
        <x:f>(('参数'!$K$5*(((Q449*(1+'参数'!$B$39*P449))^2/((Q449*(1+'参数'!$B$39*P449))+'参数'!$B$22*(I449)))*(1+'参数'!$B$42*P449)/'参数'!$J$5+((Q449*'参数'!$B$43*(1+'参数'!$B$39*P449))^2/((Q449*'参数'!$B$43*(1+'参数'!$B$39*P449))+'参数'!$B$22*(I449)))/'参数'!$B$44))+(((R449*(1+'参数'!$B$39*P449))^2/((R449*(1+'参数'!$B$39*P449))+'参数'!$B$22*(I449)))*(1+'参数'!$B$42*P449)/'参数'!$J$6+((R449*'参数'!$B$45*(1+'参数'!$B$39*P449))^2/((R449*'参数'!$B$45*(1+'参数'!$B$39*P449))+'参数'!$B$22*(I449)))/'参数'!$B$46)+((S449*(1+'参数'!$B$39*P449))^2/((S449*(1+'参数'!$B$39*P449))+'参数'!$B$22*(I449)))*(1+'参数'!$B$42*P449)/'参数'!$J$7)*(1+'参数'!$B$37*('参数'!$B$38-1))*'参数'!$B$25</x:f>
        <x:v>68074.69622887956</x:v>
      </x:c>
      <x:c r="W449" s="19" t="n">
        <x:f>(('参数'!$K$5*(((Q449*(1+'参数'!$B$39*P449))^2/((Q449*(1+'参数'!$B$39*P449))+'参数'!$B$22*(M449)))*(1+'参数'!$B$42*P449)/'参数'!$J$5+((Q449*'参数'!$B$43*(1+'参数'!$B$39*P449))^2/((Q449*'参数'!$B$43*(1+'参数'!$B$39*P449))+'参数'!$B$22*(M449)))/'参数'!$B$44))+(((R449*(1+'参数'!$B$39*P449))^2/((R449*(1+'参数'!$B$39*P449))+'参数'!$B$22*(M449)))*(1+'参数'!$B$42*P449)/'参数'!$J$6+((R449*'参数'!$B$45*(1+'参数'!$B$39*P449))^2/((R449*'参数'!$B$45*(1+'参数'!$B$39*P449))+'参数'!$B$22*(M449)))/'参数'!$B$46)+((S449*(1+'参数'!$B$39*P449))^2/((S449*(1+'参数'!$B$39*P449))+'参数'!$B$22*(M449)))*(1+'参数'!$B$42*P449)/'参数'!$J$7)*(1+'参数'!$B$37*('参数'!$B$38-1))</x:f>
        <x:v>52445.746688054394</x:v>
      </x:c>
      <x:c r="X449" s="26" t="n">
        <x:f>('参数'!$B$26+'参数'!$B$27*(D449-1)/99)*'参数'!$K$29*AD449</x:f>
        <x:v>26.84231092436975</x:v>
      </x:c>
      <x:c r="Y449" s="26" t="n">
        <x:f>('参数'!$B$28+'参数'!$B$29*(D449-1)/99)*'参数'!$K$29*AD449*IF(AE449=1,'参数'!$B$51,1)</x:f>
        <x:v>85.74627100840335</x:v>
      </x:c>
      <x:c r="Z449" s="22" t="n">
        <x:f>MIN('参数'!$B$36,U449/(U449+'参数'!$B$35))</x:f>
        <x:v>0.6117560486461108</x:v>
      </x:c>
      <x:c r="AA449" s="19" t="n">
        <x:f>T449*'参数'!$B$30/('参数'!$B$32*'参数'!$B$33)/(1-Z449)*AC449</x:f>
        <x:v>9270.854764844951</x:v>
      </x:c>
      <x:c r="AB449" s="19" t="n">
        <x:f>T449*'参数'!$B$31/'参数'!$B$34/(1-Z449)*AC449</x:f>
        <x:v>18541.709529689902</x:v>
      </x:c>
      <x:c r="AC449" s="20" t="n">
        <x:f>'参数'!$L$29*(1+'参数'!$B$53*(B449-1)/119)</x:f>
        <x:v>1.2669579831932773</x:v>
      </x:c>
      <x:c r="AD449" s="20" t="n">
        <x:f>1+'参数'!$B$52*(B449-1)/119</x:f>
        <x:v>1.1046218487394959</x:v>
      </x:c>
      <x:c r="AE449" s="19" t="n">
        <x:f>IF(MOD(B449,12)=0,1,0)</x:f>
        <x:v>1</x:v>
      </x:c>
    </x:row>
    <x:row r="450" ht="22" customHeight="1">
      <x:c r="A450" s="18" t="str">
        <x:v>地狱</x:v>
      </x:c>
      <x:c r="B450" s="18" t="n">
        <x:v>85</x:v>
      </x:c>
      <x:c r="C450" s="18" t="n">
        <x:f>ROUNDUP(B450/12,0)</x:f>
        <x:v>8</x:v>
      </x:c>
      <x:c r="D450" s="18" t="n">
        <x:f>ROUND(MAX('参数'!$G$29,E450)+(IF(C450&lt;10,INDEX('参数'!$G$37:$P$37,1,MIN(10,C450+1)),'参数'!$H$29)-MAX('参数'!$G$29,E450))*MOD(B450-1,12)/11,0)</x:f>
        <x:v>100</x:v>
      </x:c>
      <x:c r="E450" s="18" t="n">
        <x:f>INDEX('参数'!$G$37:$P$37,1,C450)</x:f>
        <x:v>100</x:v>
      </x:c>
      <x:c r="F450" s="15" t="n">
        <x:f>'参数'!$I$29</x:f>
        <x:v>1.29</x:v>
      </x:c>
      <x:c r="G450" s="18" t="n">
        <x:f>ROUND(V450*X450/'参数'!$B$56,0)</x:f>
        <x:v>397689</x:v>
      </x:c>
      <x:c r="H450" s="18" t="n">
        <x:f>ROUND((AA450+SQRT(AA450^2+4*AA450*'参数'!$B$22*U450))/2,0)</x:f>
        <x:v>14365</x:v>
      </x:c>
      <x:c r="I450" s="18" t="n">
        <x:f>ROUND(Q450*'参数'!$B$23/'参数'!$B$22,0)</x:f>
        <x:v>2008</x:v>
      </x:c>
      <x:c r="J450" s="18" t="n">
        <x:f>ROUND(G450*'参数'!$B$50,0)</x:f>
        <x:v>1193067</x:v>
      </x:c>
      <x:c r="K450" s="18" t="n">
        <x:f>ROUND(W450*Y450,0)</x:f>
        <x:v>3914921</x:v>
      </x:c>
      <x:c r="L450" s="18" t="n">
        <x:f>ROUND((AB450+SQRT(AB450^2+4*AB450*'参数'!$B$22*U450))/2,0)</x:f>
        <x:v>24516</x:v>
      </x:c>
      <x:c r="M450" s="18" t="n">
        <x:f>ROUND(I450*'参数'!$B$24,0)</x:f>
        <x:v>2510</x:v>
      </x:c>
      <x:c r="N450" s="18" t="n">
        <x:f>'参数'!$B$9*'参数'!$B$10^(D450-1)</x:f>
        <x:v>11195.319600498813</x:v>
      </x:c>
      <x:c r="O450" s="18" t="n">
        <x:f>'参数'!$B$18*'参数'!$B$19^(MIN(E450,MAX(1,5*INT(D450/5)))-1)*F450*'参数'!$J$29*P450</x:f>
        <x:v>1897.6106812882254</x:v>
      </x:c>
      <x:c r="P450" s="21" t="n">
        <x:f>MIN(1,(D450-1)/19)</x:f>
        <x:v>1</x:v>
      </x:c>
      <x:c r="Q450" s="18" t="n">
        <x:f>INDEX('角色成长'!$F$6:$F$105,D450)+O450*'参数'!$K$21</x:f>
        <x:v>10042.190441671442</x:v>
      </x:c>
      <x:c r="R450" s="18" t="n">
        <x:f>INDEX('角色成长'!$I$6:$I$105,D450)+O450*'参数'!$K$21</x:f>
        <x:v>8744.190441671442</x:v>
      </x:c>
      <x:c r="S450" s="18" t="n">
        <x:f>INDEX('角色成长'!$L$6:$L$105,D450)+O450*'参数'!$K$21</x:f>
        <x:v>8003.190441671442</x:v>
      </x:c>
      <x:c r="T450" s="18" t="n">
        <x:f>(INDEX('角色成长'!$J$6:$J$105,D450)+O450*'参数'!$L$21)*(1+'参数'!$B$40*P450)</x:f>
        <x:v>113637.65283705847</x:v>
      </x:c>
      <x:c r="U450" s="18" t="n">
        <x:f>(INDEX('角色成长'!$K$6:$K$105,D450)+O450*'参数'!$M$21)*(1+'参数'!$B$41*P450)</x:f>
        <x:v>6302.800561479835</x:v>
      </x:c>
      <x:c r="V450" s="18" t="n">
        <x:f>(('参数'!$K$5*(((Q450*(1+'参数'!$B$39*P450))^2/((Q450*(1+'参数'!$B$39*P450))+'参数'!$B$22*(I450)))*(1+'参数'!$B$42*P450)/'参数'!$J$5+((Q450*'参数'!$B$43*(1+'参数'!$B$39*P450))^2/((Q450*'参数'!$B$43*(1+'参数'!$B$39*P450))+'参数'!$B$22*(I450)))/'参数'!$B$44))+(((R450*(1+'参数'!$B$39*P450))^2/((R450*(1+'参数'!$B$39*P450))+'参数'!$B$22*(I450)))*(1+'参数'!$B$42*P450)/'参数'!$J$6+((R450*'参数'!$B$45*(1+'参数'!$B$39*P450))^2/((R450*'参数'!$B$45*(1+'参数'!$B$39*P450))+'参数'!$B$22*(I450)))/'参数'!$B$46)+((S450*(1+'参数'!$B$39*P450))^2/((S450*(1+'参数'!$B$39*P450))+'参数'!$B$22*(I450)))*(1+'参数'!$B$42*P450)/'参数'!$J$7)*(1+'参数'!$B$37*('参数'!$B$38-1))*'参数'!$B$25</x:f>
        <x:v>68074.69622887956</x:v>
      </x:c>
      <x:c r="W450" s="18" t="n">
        <x:f>(('参数'!$K$5*(((Q450*(1+'参数'!$B$39*P450))^2/((Q450*(1+'参数'!$B$39*P450))+'参数'!$B$22*(M450)))*(1+'参数'!$B$42*P450)/'参数'!$J$5+((Q450*'参数'!$B$43*(1+'参数'!$B$39*P450))^2/((Q450*'参数'!$B$43*(1+'参数'!$B$39*P450))+'参数'!$B$22*(M450)))/'参数'!$B$44))+(((R450*(1+'参数'!$B$39*P450))^2/((R450*(1+'参数'!$B$39*P450))+'参数'!$B$22*(M450)))*(1+'参数'!$B$42*P450)/'参数'!$J$6+((R450*'参数'!$B$45*(1+'参数'!$B$39*P450))^2/((R450*'参数'!$B$45*(1+'参数'!$B$39*P450))+'参数'!$B$22*(M450)))/'参数'!$B$46)+((S450*(1+'参数'!$B$39*P450))^2/((S450*(1+'参数'!$B$39*P450))+'参数'!$B$22*(M450)))*(1+'参数'!$B$42*P450)/'参数'!$J$7)*(1+'参数'!$B$37*('参数'!$B$38-1))</x:f>
        <x:v>52445.746688054394</x:v>
      </x:c>
      <x:c r="X450" s="25" t="n">
        <x:f>('参数'!$B$26+'参数'!$B$27*(D450-1)/99)*'参数'!$K$29*AD450</x:f>
        <x:v>26.87294117647059</x:v>
      </x:c>
      <x:c r="Y450" s="25" t="n">
        <x:f>('参数'!$B$28+'参数'!$B$29*(D450-1)/99)*'参数'!$K$29*AD450*IF(AE450=1,'参数'!$B$51,1)</x:f>
        <x:v>74.64705882352942</x:v>
      </x:c>
      <x:c r="Z450" s="21" t="n">
        <x:f>MIN('参数'!$B$36,U450/(U450+'参数'!$B$35))</x:f>
        <x:v>0.6117560486461108</x:v>
      </x:c>
      <x:c r="AA450" s="18" t="n">
        <x:f>T450*'参数'!$B$30/('参数'!$B$32*'参数'!$B$33)/(1-Z450)*AC450</x:f>
        <x:v>9276.757887904387</x:v>
      </x:c>
      <x:c r="AB450" s="18" t="n">
        <x:f>T450*'参数'!$B$31/'参数'!$B$34/(1-Z450)*AC450</x:f>
        <x:v>18553.515775808773</x:v>
      </x:c>
      <x:c r="AC450" s="15" t="n">
        <x:f>'参数'!$L$29*(1+'参数'!$B$53*(B450-1)/119)</x:f>
        <x:v>1.267764705882353</x:v>
      </x:c>
      <x:c r="AD450" s="15" t="n">
        <x:f>1+'参数'!$B$52*(B450-1)/119</x:f>
        <x:v>1.1058823529411765</x:v>
      </x:c>
      <x:c r="AE450" s="18" t="n">
        <x:f>IF(MOD(B450,12)=0,1,0)</x:f>
        <x:v>0</x:v>
      </x:c>
    </x:row>
    <x:row r="451" ht="22" customHeight="1">
      <x:c r="A451" s="19" t="str">
        <x:v>地狱</x:v>
      </x:c>
      <x:c r="B451" s="19" t="n">
        <x:v>86</x:v>
      </x:c>
      <x:c r="C451" s="19" t="n">
        <x:f>ROUNDUP(B451/12,0)</x:f>
        <x:v>8</x:v>
      </x:c>
      <x:c r="D451" s="19" t="n">
        <x:f>ROUND(MAX('参数'!$G$29,E451)+(IF(C451&lt;10,INDEX('参数'!$G$37:$P$37,1,MIN(10,C451+1)),'参数'!$H$29)-MAX('参数'!$G$29,E451))*MOD(B451-1,12)/11,0)</x:f>
        <x:v>100</x:v>
      </x:c>
      <x:c r="E451" s="19" t="n">
        <x:f>INDEX('参数'!$G$37:$P$37,1,C451)</x:f>
        <x:v>100</x:v>
      </x:c>
      <x:c r="F451" s="20" t="n">
        <x:f>'参数'!$I$29</x:f>
        <x:v>1.29</x:v>
      </x:c>
      <x:c r="G451" s="19" t="n">
        <x:f>ROUND(V451*X451/'参数'!$B$56,0)</x:f>
        <x:v>398142</x:v>
      </x:c>
      <x:c r="H451" s="19" t="n">
        <x:f>ROUND((AA451+SQRT(AA451^2+4*AA451*'参数'!$B$22*U451))/2,0)</x:f>
        <x:v>14371</x:v>
      </x:c>
      <x:c r="I451" s="19" t="n">
        <x:f>ROUND(Q451*'参数'!$B$23/'参数'!$B$22,0)</x:f>
        <x:v>2008</x:v>
      </x:c>
      <x:c r="J451" s="19" t="n">
        <x:f>ROUND(G451*'参数'!$B$50,0)</x:f>
        <x:v>1194426</x:v>
      </x:c>
      <x:c r="K451" s="19" t="n">
        <x:f>ROUND(W451*Y451,0)</x:f>
        <x:v>3919383</x:v>
      </x:c>
      <x:c r="L451" s="19" t="n">
        <x:f>ROUND((AB451+SQRT(AB451^2+4*AB451*'参数'!$B$22*U451))/2,0)</x:f>
        <x:v>24528</x:v>
      </x:c>
      <x:c r="M451" s="19" t="n">
        <x:f>ROUND(I451*'参数'!$B$24,0)</x:f>
        <x:v>2510</x:v>
      </x:c>
      <x:c r="N451" s="19" t="n">
        <x:f>'参数'!$B$9*'参数'!$B$10^(D451-1)</x:f>
        <x:v>11195.319600498813</x:v>
      </x:c>
      <x:c r="O451" s="19" t="n">
        <x:f>'参数'!$B$18*'参数'!$B$19^(MIN(E451,MAX(1,5*INT(D451/5)))-1)*F451*'参数'!$J$29*P451</x:f>
        <x:v>1897.6106812882254</x:v>
      </x:c>
      <x:c r="P451" s="22" t="n">
        <x:f>MIN(1,(D451-1)/19)</x:f>
        <x:v>1</x:v>
      </x:c>
      <x:c r="Q451" s="19" t="n">
        <x:f>INDEX('角色成长'!$F$6:$F$105,D451)+O451*'参数'!$K$21</x:f>
        <x:v>10042.190441671442</x:v>
      </x:c>
      <x:c r="R451" s="19" t="n">
        <x:f>INDEX('角色成长'!$I$6:$I$105,D451)+O451*'参数'!$K$21</x:f>
        <x:v>8744.190441671442</x:v>
      </x:c>
      <x:c r="S451" s="19" t="n">
        <x:f>INDEX('角色成长'!$L$6:$L$105,D451)+O451*'参数'!$K$21</x:f>
        <x:v>8003.190441671442</x:v>
      </x:c>
      <x:c r="T451" s="19" t="n">
        <x:f>(INDEX('角色成长'!$J$6:$J$105,D451)+O451*'参数'!$L$21)*(1+'参数'!$B$40*P451)</x:f>
        <x:v>113637.65283705847</x:v>
      </x:c>
      <x:c r="U451" s="19" t="n">
        <x:f>(INDEX('角色成长'!$K$6:$K$105,D451)+O451*'参数'!$M$21)*(1+'参数'!$B$41*P451)</x:f>
        <x:v>6302.800561479835</x:v>
      </x:c>
      <x:c r="V451" s="19" t="n">
        <x:f>(('参数'!$K$5*(((Q451*(1+'参数'!$B$39*P451))^2/((Q451*(1+'参数'!$B$39*P451))+'参数'!$B$22*(I451)))*(1+'参数'!$B$42*P451)/'参数'!$J$5+((Q451*'参数'!$B$43*(1+'参数'!$B$39*P451))^2/((Q451*'参数'!$B$43*(1+'参数'!$B$39*P451))+'参数'!$B$22*(I451)))/'参数'!$B$44))+(((R451*(1+'参数'!$B$39*P451))^2/((R451*(1+'参数'!$B$39*P451))+'参数'!$B$22*(I451)))*(1+'参数'!$B$42*P451)/'参数'!$J$6+((R451*'参数'!$B$45*(1+'参数'!$B$39*P451))^2/((R451*'参数'!$B$45*(1+'参数'!$B$39*P451))+'参数'!$B$22*(I451)))/'参数'!$B$46)+((S451*(1+'参数'!$B$39*P451))^2/((S451*(1+'参数'!$B$39*P451))+'参数'!$B$22*(I451)))*(1+'参数'!$B$42*P451)/'参数'!$J$7)*(1+'参数'!$B$37*('参数'!$B$38-1))*'参数'!$B$25</x:f>
        <x:v>68074.69622887956</x:v>
      </x:c>
      <x:c r="W451" s="19" t="n">
        <x:f>(('参数'!$K$5*(((Q451*(1+'参数'!$B$39*P451))^2/((Q451*(1+'参数'!$B$39*P451))+'参数'!$B$22*(M451)))*(1+'参数'!$B$42*P451)/'参数'!$J$5+((Q451*'参数'!$B$43*(1+'参数'!$B$39*P451))^2/((Q451*'参数'!$B$43*(1+'参数'!$B$39*P451))+'参数'!$B$22*(M451)))/'参数'!$B$44))+(((R451*(1+'参数'!$B$39*P451))^2/((R451*(1+'参数'!$B$39*P451))+'参数'!$B$22*(M451)))*(1+'参数'!$B$42*P451)/'参数'!$J$6+((R451*'参数'!$B$45*(1+'参数'!$B$39*P451))^2/((R451*'参数'!$B$45*(1+'参数'!$B$39*P451))+'参数'!$B$22*(M451)))/'参数'!$B$46)+((S451*(1+'参数'!$B$39*P451))^2/((S451*(1+'参数'!$B$39*P451))+'参数'!$B$22*(M451)))*(1+'参数'!$B$42*P451)/'参数'!$J$7)*(1+'参数'!$B$37*('参数'!$B$38-1))</x:f>
        <x:v>52445.746688054394</x:v>
      </x:c>
      <x:c r="X451" s="26" t="n">
        <x:f>('参数'!$B$26+'参数'!$B$27*(D451-1)/99)*'参数'!$K$29*AD451</x:f>
        <x:v>26.903571428571432</x:v>
      </x:c>
      <x:c r="Y451" s="26" t="n">
        <x:f>('参数'!$B$28+'参数'!$B$29*(D451-1)/99)*'参数'!$K$29*AD451*IF(AE451=1,'参数'!$B$51,1)</x:f>
        <x:v>74.73214285714286</x:v>
      </x:c>
      <x:c r="Z451" s="22" t="n">
        <x:f>MIN('参数'!$B$36,U451/(U451+'参数'!$B$35))</x:f>
        <x:v>0.6117560486461108</x:v>
      </x:c>
      <x:c r="AA451" s="19" t="n">
        <x:f>T451*'参数'!$B$30/('参数'!$B$32*'参数'!$B$33)/(1-Z451)*AC451</x:f>
        <x:v>9282.661010963822</x:v>
      </x:c>
      <x:c r="AB451" s="19" t="n">
        <x:f>T451*'参数'!$B$31/'参数'!$B$34/(1-Z451)*AC451</x:f>
        <x:v>18565.322021927645</x:v>
      </x:c>
      <x:c r="AC451" s="20" t="n">
        <x:f>'参数'!$L$29*(1+'参数'!$B$53*(B451-1)/119)</x:f>
        <x:v>1.2685714285714285</x:v>
      </x:c>
      <x:c r="AD451" s="20" t="n">
        <x:f>1+'参数'!$B$52*(B451-1)/119</x:f>
        <x:v>1.1071428571428572</x:v>
      </x:c>
      <x:c r="AE451" s="19" t="n">
        <x:f>IF(MOD(B451,12)=0,1,0)</x:f>
        <x:v>0</x:v>
      </x:c>
    </x:row>
    <x:row r="452" ht="22" customHeight="1">
      <x:c r="A452" s="18" t="str">
        <x:v>地狱</x:v>
      </x:c>
      <x:c r="B452" s="18" t="n">
        <x:v>87</x:v>
      </x:c>
      <x:c r="C452" s="18" t="n">
        <x:f>ROUNDUP(B452/12,0)</x:f>
        <x:v>8</x:v>
      </x:c>
      <x:c r="D452" s="18" t="n">
        <x:f>ROUND(MAX('参数'!$G$29,E452)+(IF(C452&lt;10,INDEX('参数'!$G$37:$P$37,1,MIN(10,C452+1)),'参数'!$H$29)-MAX('参数'!$G$29,E452))*MOD(B452-1,12)/11,0)</x:f>
        <x:v>100</x:v>
      </x:c>
      <x:c r="E452" s="18" t="n">
        <x:f>INDEX('参数'!$G$37:$P$37,1,C452)</x:f>
        <x:v>100</x:v>
      </x:c>
      <x:c r="F452" s="15" t="n">
        <x:f>'参数'!$I$29</x:f>
        <x:v>1.29</x:v>
      </x:c>
      <x:c r="G452" s="18" t="n">
        <x:f>ROUND(V452*X452/'参数'!$B$56,0)</x:f>
        <x:v>398595</x:v>
      </x:c>
      <x:c r="H452" s="18" t="n">
        <x:f>ROUND((AA452+SQRT(AA452^2+4*AA452*'参数'!$B$22*U452))/2,0)</x:f>
        <x:v>14378</x:v>
      </x:c>
      <x:c r="I452" s="18" t="n">
        <x:f>ROUND(Q452*'参数'!$B$23/'参数'!$B$22,0)</x:f>
        <x:v>2008</x:v>
      </x:c>
      <x:c r="J452" s="18" t="n">
        <x:f>ROUND(G452*'参数'!$B$50,0)</x:f>
        <x:v>1195785</x:v>
      </x:c>
      <x:c r="K452" s="18" t="n">
        <x:f>ROUND(W452*Y452,0)</x:f>
        <x:v>3923845</x:v>
      </x:c>
      <x:c r="L452" s="18" t="n">
        <x:f>ROUND((AB452+SQRT(AB452^2+4*AB452*'参数'!$B$22*U452))/2,0)</x:f>
        <x:v>24541</x:v>
      </x:c>
      <x:c r="M452" s="18" t="n">
        <x:f>ROUND(I452*'参数'!$B$24,0)</x:f>
        <x:v>2510</x:v>
      </x:c>
      <x:c r="N452" s="18" t="n">
        <x:f>'参数'!$B$9*'参数'!$B$10^(D452-1)</x:f>
        <x:v>11195.319600498813</x:v>
      </x:c>
      <x:c r="O452" s="18" t="n">
        <x:f>'参数'!$B$18*'参数'!$B$19^(MIN(E452,MAX(1,5*INT(D452/5)))-1)*F452*'参数'!$J$29*P452</x:f>
        <x:v>1897.6106812882254</x:v>
      </x:c>
      <x:c r="P452" s="21" t="n">
        <x:f>MIN(1,(D452-1)/19)</x:f>
        <x:v>1</x:v>
      </x:c>
      <x:c r="Q452" s="18" t="n">
        <x:f>INDEX('角色成长'!$F$6:$F$105,D452)+O452*'参数'!$K$21</x:f>
        <x:v>10042.190441671442</x:v>
      </x:c>
      <x:c r="R452" s="18" t="n">
        <x:f>INDEX('角色成长'!$I$6:$I$105,D452)+O452*'参数'!$K$21</x:f>
        <x:v>8744.190441671442</x:v>
      </x:c>
      <x:c r="S452" s="18" t="n">
        <x:f>INDEX('角色成长'!$L$6:$L$105,D452)+O452*'参数'!$K$21</x:f>
        <x:v>8003.190441671442</x:v>
      </x:c>
      <x:c r="T452" s="18" t="n">
        <x:f>(INDEX('角色成长'!$J$6:$J$105,D452)+O452*'参数'!$L$21)*(1+'参数'!$B$40*P452)</x:f>
        <x:v>113637.65283705847</x:v>
      </x:c>
      <x:c r="U452" s="18" t="n">
        <x:f>(INDEX('角色成长'!$K$6:$K$105,D452)+O452*'参数'!$M$21)*(1+'参数'!$B$41*P452)</x:f>
        <x:v>6302.800561479835</x:v>
      </x:c>
      <x:c r="V452" s="18" t="n">
        <x:f>(('参数'!$K$5*(((Q452*(1+'参数'!$B$39*P452))^2/((Q452*(1+'参数'!$B$39*P452))+'参数'!$B$22*(I452)))*(1+'参数'!$B$42*P452)/'参数'!$J$5+((Q452*'参数'!$B$43*(1+'参数'!$B$39*P452))^2/((Q452*'参数'!$B$43*(1+'参数'!$B$39*P452))+'参数'!$B$22*(I452)))/'参数'!$B$44))+(((R452*(1+'参数'!$B$39*P452))^2/((R452*(1+'参数'!$B$39*P452))+'参数'!$B$22*(I452)))*(1+'参数'!$B$42*P452)/'参数'!$J$6+((R452*'参数'!$B$45*(1+'参数'!$B$39*P452))^2/((R452*'参数'!$B$45*(1+'参数'!$B$39*P452))+'参数'!$B$22*(I452)))/'参数'!$B$46)+((S452*(1+'参数'!$B$39*P452))^2/((S452*(1+'参数'!$B$39*P452))+'参数'!$B$22*(I452)))*(1+'参数'!$B$42*P452)/'参数'!$J$7)*(1+'参数'!$B$37*('参数'!$B$38-1))*'参数'!$B$25</x:f>
        <x:v>68074.69622887956</x:v>
      </x:c>
      <x:c r="W452" s="18" t="n">
        <x:f>(('参数'!$K$5*(((Q452*(1+'参数'!$B$39*P452))^2/((Q452*(1+'参数'!$B$39*P452))+'参数'!$B$22*(M452)))*(1+'参数'!$B$42*P452)/'参数'!$J$5+((Q452*'参数'!$B$43*(1+'参数'!$B$39*P452))^2/((Q452*'参数'!$B$43*(1+'参数'!$B$39*P452))+'参数'!$B$22*(M452)))/'参数'!$B$44))+(((R452*(1+'参数'!$B$39*P452))^2/((R452*(1+'参数'!$B$39*P452))+'参数'!$B$22*(M452)))*(1+'参数'!$B$42*P452)/'参数'!$J$6+((R452*'参数'!$B$45*(1+'参数'!$B$39*P452))^2/((R452*'参数'!$B$45*(1+'参数'!$B$39*P452))+'参数'!$B$22*(M452)))/'参数'!$B$46)+((S452*(1+'参数'!$B$39*P452))^2/((S452*(1+'参数'!$B$39*P452))+'参数'!$B$22*(M452)))*(1+'参数'!$B$42*P452)/'参数'!$J$7)*(1+'参数'!$B$37*('参数'!$B$38-1))</x:f>
        <x:v>52445.746688054394</x:v>
      </x:c>
      <x:c r="X452" s="25" t="n">
        <x:f>('参数'!$B$26+'参数'!$B$27*(D452-1)/99)*'参数'!$K$29*AD452</x:f>
        <x:v>26.93420168067227</x:v>
      </x:c>
      <x:c r="Y452" s="25" t="n">
        <x:f>('参数'!$B$28+'参数'!$B$29*(D452-1)/99)*'参数'!$K$29*AD452*IF(AE452=1,'参数'!$B$51,1)</x:f>
        <x:v>74.8172268907563</x:v>
      </x:c>
      <x:c r="Z452" s="21" t="n">
        <x:f>MIN('参数'!$B$36,U452/(U452+'参数'!$B$35))</x:f>
        <x:v>0.6117560486461108</x:v>
      </x:c>
      <x:c r="AA452" s="18" t="n">
        <x:f>T452*'参数'!$B$30/('参数'!$B$32*'参数'!$B$33)/(1-Z452)*AC452</x:f>
        <x:v>9288.56413402326</x:v>
      </x:c>
      <x:c r="AB452" s="18" t="n">
        <x:f>T452*'参数'!$B$31/'参数'!$B$34/(1-Z452)*AC452</x:f>
        <x:v>18577.12826804652</x:v>
      </x:c>
      <x:c r="AC452" s="15" t="n">
        <x:f>'参数'!$L$29*(1+'参数'!$B$53*(B452-1)/119)</x:f>
        <x:v>1.2693781512605042</x:v>
      </x:c>
      <x:c r="AD452" s="15" t="n">
        <x:f>1+'参数'!$B$52*(B452-1)/119</x:f>
        <x:v>1.1084033613445379</x:v>
      </x:c>
      <x:c r="AE452" s="18" t="n">
        <x:f>IF(MOD(B452,12)=0,1,0)</x:f>
        <x:v>0</x:v>
      </x:c>
    </x:row>
    <x:row r="453" ht="22" customHeight="1">
      <x:c r="A453" s="19" t="str">
        <x:v>地狱</x:v>
      </x:c>
      <x:c r="B453" s="19" t="n">
        <x:v>88</x:v>
      </x:c>
      <x:c r="C453" s="19" t="n">
        <x:f>ROUNDUP(B453/12,0)</x:f>
        <x:v>8</x:v>
      </x:c>
      <x:c r="D453" s="19" t="n">
        <x:f>ROUND(MAX('参数'!$G$29,E453)+(IF(C453&lt;10,INDEX('参数'!$G$37:$P$37,1,MIN(10,C453+1)),'参数'!$H$29)-MAX('参数'!$G$29,E453))*MOD(B453-1,12)/11,0)</x:f>
        <x:v>100</x:v>
      </x:c>
      <x:c r="E453" s="19" t="n">
        <x:f>INDEX('参数'!$G$37:$P$37,1,C453)</x:f>
        <x:v>100</x:v>
      </x:c>
      <x:c r="F453" s="20" t="n">
        <x:f>'参数'!$I$29</x:f>
        <x:v>1.29</x:v>
      </x:c>
      <x:c r="G453" s="19" t="n">
        <x:f>ROUND(V453*X453/'参数'!$B$56,0)</x:f>
        <x:v>399048</x:v>
      </x:c>
      <x:c r="H453" s="19" t="n">
        <x:f>ROUND((AA453+SQRT(AA453^2+4*AA453*'参数'!$B$22*U453))/2,0)</x:f>
        <x:v>14385</x:v>
      </x:c>
      <x:c r="I453" s="19" t="n">
        <x:f>ROUND(Q453*'参数'!$B$23/'参数'!$B$22,0)</x:f>
        <x:v>2008</x:v>
      </x:c>
      <x:c r="J453" s="19" t="n">
        <x:f>ROUND(G453*'参数'!$B$50,0)</x:f>
        <x:v>1197144</x:v>
      </x:c>
      <x:c r="K453" s="19" t="n">
        <x:f>ROUND(W453*Y453,0)</x:f>
        <x:v>3928308</x:v>
      </x:c>
      <x:c r="L453" s="19" t="n">
        <x:f>ROUND((AB453+SQRT(AB453^2+4*AB453*'参数'!$B$22*U453))/2,0)</x:f>
        <x:v>24554</x:v>
      </x:c>
      <x:c r="M453" s="19" t="n">
        <x:f>ROUND(I453*'参数'!$B$24,0)</x:f>
        <x:v>2510</x:v>
      </x:c>
      <x:c r="N453" s="19" t="n">
        <x:f>'参数'!$B$9*'参数'!$B$10^(D453-1)</x:f>
        <x:v>11195.319600498813</x:v>
      </x:c>
      <x:c r="O453" s="19" t="n">
        <x:f>'参数'!$B$18*'参数'!$B$19^(MIN(E453,MAX(1,5*INT(D453/5)))-1)*F453*'参数'!$J$29*P453</x:f>
        <x:v>1897.6106812882254</x:v>
      </x:c>
      <x:c r="P453" s="22" t="n">
        <x:f>MIN(1,(D453-1)/19)</x:f>
        <x:v>1</x:v>
      </x:c>
      <x:c r="Q453" s="19" t="n">
        <x:f>INDEX('角色成长'!$F$6:$F$105,D453)+O453*'参数'!$K$21</x:f>
        <x:v>10042.190441671442</x:v>
      </x:c>
      <x:c r="R453" s="19" t="n">
        <x:f>INDEX('角色成长'!$I$6:$I$105,D453)+O453*'参数'!$K$21</x:f>
        <x:v>8744.190441671442</x:v>
      </x:c>
      <x:c r="S453" s="19" t="n">
        <x:f>INDEX('角色成长'!$L$6:$L$105,D453)+O453*'参数'!$K$21</x:f>
        <x:v>8003.190441671442</x:v>
      </x:c>
      <x:c r="T453" s="19" t="n">
        <x:f>(INDEX('角色成长'!$J$6:$J$105,D453)+O453*'参数'!$L$21)*(1+'参数'!$B$40*P453)</x:f>
        <x:v>113637.65283705847</x:v>
      </x:c>
      <x:c r="U453" s="19" t="n">
        <x:f>(INDEX('角色成长'!$K$6:$K$105,D453)+O453*'参数'!$M$21)*(1+'参数'!$B$41*P453)</x:f>
        <x:v>6302.800561479835</x:v>
      </x:c>
      <x:c r="V453" s="19" t="n">
        <x:f>(('参数'!$K$5*(((Q453*(1+'参数'!$B$39*P453))^2/((Q453*(1+'参数'!$B$39*P453))+'参数'!$B$22*(I453)))*(1+'参数'!$B$42*P453)/'参数'!$J$5+((Q453*'参数'!$B$43*(1+'参数'!$B$39*P453))^2/((Q453*'参数'!$B$43*(1+'参数'!$B$39*P453))+'参数'!$B$22*(I453)))/'参数'!$B$44))+(((R453*(1+'参数'!$B$39*P453))^2/((R453*(1+'参数'!$B$39*P453))+'参数'!$B$22*(I453)))*(1+'参数'!$B$42*P453)/'参数'!$J$6+((R453*'参数'!$B$45*(1+'参数'!$B$39*P453))^2/((R453*'参数'!$B$45*(1+'参数'!$B$39*P453))+'参数'!$B$22*(I453)))/'参数'!$B$46)+((S453*(1+'参数'!$B$39*P453))^2/((S453*(1+'参数'!$B$39*P453))+'参数'!$B$22*(I453)))*(1+'参数'!$B$42*P453)/'参数'!$J$7)*(1+'参数'!$B$37*('参数'!$B$38-1))*'参数'!$B$25</x:f>
        <x:v>68074.69622887956</x:v>
      </x:c>
      <x:c r="W453" s="19" t="n">
        <x:f>(('参数'!$K$5*(((Q453*(1+'参数'!$B$39*P453))^2/((Q453*(1+'参数'!$B$39*P453))+'参数'!$B$22*(M453)))*(1+'参数'!$B$42*P453)/'参数'!$J$5+((Q453*'参数'!$B$43*(1+'参数'!$B$39*P453))^2/((Q453*'参数'!$B$43*(1+'参数'!$B$39*P453))+'参数'!$B$22*(M453)))/'参数'!$B$44))+(((R453*(1+'参数'!$B$39*P453))^2/((R453*(1+'参数'!$B$39*P453))+'参数'!$B$22*(M453)))*(1+'参数'!$B$42*P453)/'参数'!$J$6+((R453*'参数'!$B$45*(1+'参数'!$B$39*P453))^2/((R453*'参数'!$B$45*(1+'参数'!$B$39*P453))+'参数'!$B$22*(M453)))/'参数'!$B$46)+((S453*(1+'参数'!$B$39*P453))^2/((S453*(1+'参数'!$B$39*P453))+'参数'!$B$22*(M453)))*(1+'参数'!$B$42*P453)/'参数'!$J$7)*(1+'参数'!$B$37*('参数'!$B$38-1))</x:f>
        <x:v>52445.746688054394</x:v>
      </x:c>
      <x:c r="X453" s="26" t="n">
        <x:f>('参数'!$B$26+'参数'!$B$27*(D453-1)/99)*'参数'!$K$29*AD453</x:f>
        <x:v>26.964831932773112</x:v>
      </x:c>
      <x:c r="Y453" s="26" t="n">
        <x:f>('参数'!$B$28+'参数'!$B$29*(D453-1)/99)*'参数'!$K$29*AD453*IF(AE453=1,'参数'!$B$51,1)</x:f>
        <x:v>74.90231092436976</x:v>
      </x:c>
      <x:c r="Z453" s="22" t="n">
        <x:f>MIN('参数'!$B$36,U453/(U453+'参数'!$B$35))</x:f>
        <x:v>0.6117560486461108</x:v>
      </x:c>
      <x:c r="AA453" s="19" t="n">
        <x:f>T453*'参数'!$B$30/('参数'!$B$32*'参数'!$B$33)/(1-Z453)*AC453</x:f>
        <x:v>9294.467257082697</x:v>
      </x:c>
      <x:c r="AB453" s="19" t="n">
        <x:f>T453*'参数'!$B$31/'参数'!$B$34/(1-Z453)*AC453</x:f>
        <x:v>18588.934514165394</x:v>
      </x:c>
      <x:c r="AC453" s="20" t="n">
        <x:f>'参数'!$L$29*(1+'参数'!$B$53*(B453-1)/119)</x:f>
        <x:v>1.2701848739495798</x:v>
      </x:c>
      <x:c r="AD453" s="20" t="n">
        <x:f>1+'参数'!$B$52*(B453-1)/119</x:f>
        <x:v>1.1096638655462185</x:v>
      </x:c>
      <x:c r="AE453" s="19" t="n">
        <x:f>IF(MOD(B453,12)=0,1,0)</x:f>
        <x:v>0</x:v>
      </x:c>
    </x:row>
    <x:row r="454" ht="22" customHeight="1">
      <x:c r="A454" s="18" t="str">
        <x:v>地狱</x:v>
      </x:c>
      <x:c r="B454" s="18" t="n">
        <x:v>89</x:v>
      </x:c>
      <x:c r="C454" s="18" t="n">
        <x:f>ROUNDUP(B454/12,0)</x:f>
        <x:v>8</x:v>
      </x:c>
      <x:c r="D454" s="18" t="n">
        <x:f>ROUND(MAX('参数'!$G$29,E454)+(IF(C454&lt;10,INDEX('参数'!$G$37:$P$37,1,MIN(10,C454+1)),'参数'!$H$29)-MAX('参数'!$G$29,E454))*MOD(B454-1,12)/11,0)</x:f>
        <x:v>100</x:v>
      </x:c>
      <x:c r="E454" s="18" t="n">
        <x:f>INDEX('参数'!$G$37:$P$37,1,C454)</x:f>
        <x:v>100</x:v>
      </x:c>
      <x:c r="F454" s="15" t="n">
        <x:f>'参数'!$I$29</x:f>
        <x:v>1.29</x:v>
      </x:c>
      <x:c r="G454" s="18" t="n">
        <x:f>ROUND(V454*X454/'参数'!$B$56,0)</x:f>
        <x:v>399502</x:v>
      </x:c>
      <x:c r="H454" s="18" t="n">
        <x:f>ROUND((AA454+SQRT(AA454^2+4*AA454*'参数'!$B$22*U454))/2,0)</x:f>
        <x:v>14392</x:v>
      </x:c>
      <x:c r="I454" s="18" t="n">
        <x:f>ROUND(Q454*'参数'!$B$23/'参数'!$B$22,0)</x:f>
        <x:v>2008</x:v>
      </x:c>
      <x:c r="J454" s="18" t="n">
        <x:f>ROUND(G454*'参数'!$B$50,0)</x:f>
        <x:v>1198506</x:v>
      </x:c>
      <x:c r="K454" s="18" t="n">
        <x:f>ROUND(W454*Y454,0)</x:f>
        <x:v>3932770</x:v>
      </x:c>
      <x:c r="L454" s="18" t="n">
        <x:f>ROUND((AB454+SQRT(AB454^2+4*AB454*'参数'!$B$22*U454))/2,0)</x:f>
        <x:v>24566</x:v>
      </x:c>
      <x:c r="M454" s="18" t="n">
        <x:f>ROUND(I454*'参数'!$B$24,0)</x:f>
        <x:v>2510</x:v>
      </x:c>
      <x:c r="N454" s="18" t="n">
        <x:f>'参数'!$B$9*'参数'!$B$10^(D454-1)</x:f>
        <x:v>11195.319600498813</x:v>
      </x:c>
      <x:c r="O454" s="18" t="n">
        <x:f>'参数'!$B$18*'参数'!$B$19^(MIN(E454,MAX(1,5*INT(D454/5)))-1)*F454*'参数'!$J$29*P454</x:f>
        <x:v>1897.6106812882254</x:v>
      </x:c>
      <x:c r="P454" s="21" t="n">
        <x:f>MIN(1,(D454-1)/19)</x:f>
        <x:v>1</x:v>
      </x:c>
      <x:c r="Q454" s="18" t="n">
        <x:f>INDEX('角色成长'!$F$6:$F$105,D454)+O454*'参数'!$K$21</x:f>
        <x:v>10042.190441671442</x:v>
      </x:c>
      <x:c r="R454" s="18" t="n">
        <x:f>INDEX('角色成长'!$I$6:$I$105,D454)+O454*'参数'!$K$21</x:f>
        <x:v>8744.190441671442</x:v>
      </x:c>
      <x:c r="S454" s="18" t="n">
        <x:f>INDEX('角色成长'!$L$6:$L$105,D454)+O454*'参数'!$K$21</x:f>
        <x:v>8003.190441671442</x:v>
      </x:c>
      <x:c r="T454" s="18" t="n">
        <x:f>(INDEX('角色成长'!$J$6:$J$105,D454)+O454*'参数'!$L$21)*(1+'参数'!$B$40*P454)</x:f>
        <x:v>113637.65283705847</x:v>
      </x:c>
      <x:c r="U454" s="18" t="n">
        <x:f>(INDEX('角色成长'!$K$6:$K$105,D454)+O454*'参数'!$M$21)*(1+'参数'!$B$41*P454)</x:f>
        <x:v>6302.800561479835</x:v>
      </x:c>
      <x:c r="V454" s="18" t="n">
        <x:f>(('参数'!$K$5*(((Q454*(1+'参数'!$B$39*P454))^2/((Q454*(1+'参数'!$B$39*P454))+'参数'!$B$22*(I454)))*(1+'参数'!$B$42*P454)/'参数'!$J$5+((Q454*'参数'!$B$43*(1+'参数'!$B$39*P454))^2/((Q454*'参数'!$B$43*(1+'参数'!$B$39*P454))+'参数'!$B$22*(I454)))/'参数'!$B$44))+(((R454*(1+'参数'!$B$39*P454))^2/((R454*(1+'参数'!$B$39*P454))+'参数'!$B$22*(I454)))*(1+'参数'!$B$42*P454)/'参数'!$J$6+((R454*'参数'!$B$45*(1+'参数'!$B$39*P454))^2/((R454*'参数'!$B$45*(1+'参数'!$B$39*P454))+'参数'!$B$22*(I454)))/'参数'!$B$46)+((S454*(1+'参数'!$B$39*P454))^2/((S454*(1+'参数'!$B$39*P454))+'参数'!$B$22*(I454)))*(1+'参数'!$B$42*P454)/'参数'!$J$7)*(1+'参数'!$B$37*('参数'!$B$38-1))*'参数'!$B$25</x:f>
        <x:v>68074.69622887956</x:v>
      </x:c>
      <x:c r="W454" s="18" t="n">
        <x:f>(('参数'!$K$5*(((Q454*(1+'参数'!$B$39*P454))^2/((Q454*(1+'参数'!$B$39*P454))+'参数'!$B$22*(M454)))*(1+'参数'!$B$42*P454)/'参数'!$J$5+((Q454*'参数'!$B$43*(1+'参数'!$B$39*P454))^2/((Q454*'参数'!$B$43*(1+'参数'!$B$39*P454))+'参数'!$B$22*(M454)))/'参数'!$B$44))+(((R454*(1+'参数'!$B$39*P454))^2/((R454*(1+'参数'!$B$39*P454))+'参数'!$B$22*(M454)))*(1+'参数'!$B$42*P454)/'参数'!$J$6+((R454*'参数'!$B$45*(1+'参数'!$B$39*P454))^2/((R454*'参数'!$B$45*(1+'参数'!$B$39*P454))+'参数'!$B$22*(M454)))/'参数'!$B$46)+((S454*(1+'参数'!$B$39*P454))^2/((S454*(1+'参数'!$B$39*P454))+'参数'!$B$22*(M454)))*(1+'参数'!$B$42*P454)/'参数'!$J$7)*(1+'参数'!$B$37*('参数'!$B$38-1))</x:f>
        <x:v>52445.746688054394</x:v>
      </x:c>
      <x:c r="X454" s="25" t="n">
        <x:f>('参数'!$B$26+'参数'!$B$27*(D454-1)/99)*'参数'!$K$29*AD454</x:f>
        <x:v>26.99546218487395</x:v>
      </x:c>
      <x:c r="Y454" s="25" t="n">
        <x:f>('参数'!$B$28+'参数'!$B$29*(D454-1)/99)*'参数'!$K$29*AD454*IF(AE454=1,'参数'!$B$51,1)</x:f>
        <x:v>74.9873949579832</x:v>
      </x:c>
      <x:c r="Z454" s="21" t="n">
        <x:f>MIN('参数'!$B$36,U454/(U454+'参数'!$B$35))</x:f>
        <x:v>0.6117560486461108</x:v>
      </x:c>
      <x:c r="AA454" s="18" t="n">
        <x:f>T454*'参数'!$B$30/('参数'!$B$32*'参数'!$B$33)/(1-Z454)*AC454</x:f>
        <x:v>9300.370380142134</x:v>
      </x:c>
      <x:c r="AB454" s="18" t="n">
        <x:f>T454*'参数'!$B$31/'参数'!$B$34/(1-Z454)*AC454</x:f>
        <x:v>18600.74076028427</x:v>
      </x:c>
      <x:c r="AC454" s="15" t="n">
        <x:f>'参数'!$L$29*(1+'参数'!$B$53*(B454-1)/119)</x:f>
        <x:v>1.2709915966386556</x:v>
      </x:c>
      <x:c r="AD454" s="15" t="n">
        <x:f>1+'参数'!$B$52*(B454-1)/119</x:f>
        <x:v>1.1109243697478992</x:v>
      </x:c>
      <x:c r="AE454" s="18" t="n">
        <x:f>IF(MOD(B454,12)=0,1,0)</x:f>
        <x:v>0</x:v>
      </x:c>
    </x:row>
    <x:row r="455" ht="22" customHeight="1">
      <x:c r="A455" s="19" t="str">
        <x:v>地狱</x:v>
      </x:c>
      <x:c r="B455" s="19" t="n">
        <x:v>90</x:v>
      </x:c>
      <x:c r="C455" s="19" t="n">
        <x:f>ROUNDUP(B455/12,0)</x:f>
        <x:v>8</x:v>
      </x:c>
      <x:c r="D455" s="19" t="n">
        <x:f>ROUND(MAX('参数'!$G$29,E455)+(IF(C455&lt;10,INDEX('参数'!$G$37:$P$37,1,MIN(10,C455+1)),'参数'!$H$29)-MAX('参数'!$G$29,E455))*MOD(B455-1,12)/11,0)</x:f>
        <x:v>100</x:v>
      </x:c>
      <x:c r="E455" s="19" t="n">
        <x:f>INDEX('参数'!$G$37:$P$37,1,C455)</x:f>
        <x:v>100</x:v>
      </x:c>
      <x:c r="F455" s="20" t="n">
        <x:f>'参数'!$I$29</x:f>
        <x:v>1.29</x:v>
      </x:c>
      <x:c r="G455" s="19" t="n">
        <x:f>ROUND(V455*X455/'参数'!$B$56,0)</x:f>
        <x:v>399955</x:v>
      </x:c>
      <x:c r="H455" s="19" t="n">
        <x:f>ROUND((AA455+SQRT(AA455^2+4*AA455*'参数'!$B$22*U455))/2,0)</x:f>
        <x:v>14398</x:v>
      </x:c>
      <x:c r="I455" s="19" t="n">
        <x:f>ROUND(Q455*'参数'!$B$23/'参数'!$B$22,0)</x:f>
        <x:v>2008</x:v>
      </x:c>
      <x:c r="J455" s="19" t="n">
        <x:f>ROUND(G455*'参数'!$B$50,0)</x:f>
        <x:v>1199865</x:v>
      </x:c>
      <x:c r="K455" s="19" t="n">
        <x:f>ROUND(W455*Y455,0)</x:f>
        <x:v>3937232</x:v>
      </x:c>
      <x:c r="L455" s="19" t="n">
        <x:f>ROUND((AB455+SQRT(AB455^2+4*AB455*'参数'!$B$22*U455))/2,0)</x:f>
        <x:v>24579</x:v>
      </x:c>
      <x:c r="M455" s="19" t="n">
        <x:f>ROUND(I455*'参数'!$B$24,0)</x:f>
        <x:v>2510</x:v>
      </x:c>
      <x:c r="N455" s="19" t="n">
        <x:f>'参数'!$B$9*'参数'!$B$10^(D455-1)</x:f>
        <x:v>11195.319600498813</x:v>
      </x:c>
      <x:c r="O455" s="19" t="n">
        <x:f>'参数'!$B$18*'参数'!$B$19^(MIN(E455,MAX(1,5*INT(D455/5)))-1)*F455*'参数'!$J$29*P455</x:f>
        <x:v>1897.6106812882254</x:v>
      </x:c>
      <x:c r="P455" s="22" t="n">
        <x:f>MIN(1,(D455-1)/19)</x:f>
        <x:v>1</x:v>
      </x:c>
      <x:c r="Q455" s="19" t="n">
        <x:f>INDEX('角色成长'!$F$6:$F$105,D455)+O455*'参数'!$K$21</x:f>
        <x:v>10042.190441671442</x:v>
      </x:c>
      <x:c r="R455" s="19" t="n">
        <x:f>INDEX('角色成长'!$I$6:$I$105,D455)+O455*'参数'!$K$21</x:f>
        <x:v>8744.190441671442</x:v>
      </x:c>
      <x:c r="S455" s="19" t="n">
        <x:f>INDEX('角色成长'!$L$6:$L$105,D455)+O455*'参数'!$K$21</x:f>
        <x:v>8003.190441671442</x:v>
      </x:c>
      <x:c r="T455" s="19" t="n">
        <x:f>(INDEX('角色成长'!$J$6:$J$105,D455)+O455*'参数'!$L$21)*(1+'参数'!$B$40*P455)</x:f>
        <x:v>113637.65283705847</x:v>
      </x:c>
      <x:c r="U455" s="19" t="n">
        <x:f>(INDEX('角色成长'!$K$6:$K$105,D455)+O455*'参数'!$M$21)*(1+'参数'!$B$41*P455)</x:f>
        <x:v>6302.800561479835</x:v>
      </x:c>
      <x:c r="V455" s="19" t="n">
        <x:f>(('参数'!$K$5*(((Q455*(1+'参数'!$B$39*P455))^2/((Q455*(1+'参数'!$B$39*P455))+'参数'!$B$22*(I455)))*(1+'参数'!$B$42*P455)/'参数'!$J$5+((Q455*'参数'!$B$43*(1+'参数'!$B$39*P455))^2/((Q455*'参数'!$B$43*(1+'参数'!$B$39*P455))+'参数'!$B$22*(I455)))/'参数'!$B$44))+(((R455*(1+'参数'!$B$39*P455))^2/((R455*(1+'参数'!$B$39*P455))+'参数'!$B$22*(I455)))*(1+'参数'!$B$42*P455)/'参数'!$J$6+((R455*'参数'!$B$45*(1+'参数'!$B$39*P455))^2/((R455*'参数'!$B$45*(1+'参数'!$B$39*P455))+'参数'!$B$22*(I455)))/'参数'!$B$46)+((S455*(1+'参数'!$B$39*P455))^2/((S455*(1+'参数'!$B$39*P455))+'参数'!$B$22*(I455)))*(1+'参数'!$B$42*P455)/'参数'!$J$7)*(1+'参数'!$B$37*('参数'!$B$38-1))*'参数'!$B$25</x:f>
        <x:v>68074.69622887956</x:v>
      </x:c>
      <x:c r="W455" s="19" t="n">
        <x:f>(('参数'!$K$5*(((Q455*(1+'参数'!$B$39*P455))^2/((Q455*(1+'参数'!$B$39*P455))+'参数'!$B$22*(M455)))*(1+'参数'!$B$42*P455)/'参数'!$J$5+((Q455*'参数'!$B$43*(1+'参数'!$B$39*P455))^2/((Q455*'参数'!$B$43*(1+'参数'!$B$39*P455))+'参数'!$B$22*(M455)))/'参数'!$B$44))+(((R455*(1+'参数'!$B$39*P455))^2/((R455*(1+'参数'!$B$39*P455))+'参数'!$B$22*(M455)))*(1+'参数'!$B$42*P455)/'参数'!$J$6+((R455*'参数'!$B$45*(1+'参数'!$B$39*P455))^2/((R455*'参数'!$B$45*(1+'参数'!$B$39*P455))+'参数'!$B$22*(M455)))/'参数'!$B$46)+((S455*(1+'参数'!$B$39*P455))^2/((S455*(1+'参数'!$B$39*P455))+'参数'!$B$22*(M455)))*(1+'参数'!$B$42*P455)/'参数'!$J$7)*(1+'参数'!$B$37*('参数'!$B$38-1))</x:f>
        <x:v>52445.746688054394</x:v>
      </x:c>
      <x:c r="X455" s="26" t="n">
        <x:f>('参数'!$B$26+'参数'!$B$27*(D455-1)/99)*'参数'!$K$29*AD455</x:f>
        <x:v>27.026092436974793</x:v>
      </x:c>
      <x:c r="Y455" s="26" t="n">
        <x:f>('参数'!$B$28+'参数'!$B$29*(D455-1)/99)*'参数'!$K$29*AD455*IF(AE455=1,'参数'!$B$51,1)</x:f>
        <x:v>75.07247899159664</x:v>
      </x:c>
      <x:c r="Z455" s="22" t="n">
        <x:f>MIN('参数'!$B$36,U455/(U455+'参数'!$B$35))</x:f>
        <x:v>0.6117560486461108</x:v>
      </x:c>
      <x:c r="AA455" s="19" t="n">
        <x:f>T455*'参数'!$B$30/('参数'!$B$32*'参数'!$B$33)/(1-Z455)*AC455</x:f>
        <x:v>9306.273503201568</x:v>
      </x:c>
      <x:c r="AB455" s="19" t="n">
        <x:f>T455*'参数'!$B$31/'参数'!$B$34/(1-Z455)*AC455</x:f>
        <x:v>18612.547006403136</x:v>
      </x:c>
      <x:c r="AC455" s="20" t="n">
        <x:f>'参数'!$L$29*(1+'参数'!$B$53*(B455-1)/119)</x:f>
        <x:v>1.271798319327731</x:v>
      </x:c>
      <x:c r="AD455" s="20" t="n">
        <x:f>1+'参数'!$B$52*(B455-1)/119</x:f>
        <x:v>1.1121848739495799</x:v>
      </x:c>
      <x:c r="AE455" s="19" t="n">
        <x:f>IF(MOD(B455,12)=0,1,0)</x:f>
        <x:v>0</x:v>
      </x:c>
    </x:row>
    <x:row r="456" ht="22" customHeight="1">
      <x:c r="A456" s="18" t="str">
        <x:v>地狱</x:v>
      </x:c>
      <x:c r="B456" s="18" t="n">
        <x:v>91</x:v>
      </x:c>
      <x:c r="C456" s="18" t="n">
        <x:f>ROUNDUP(B456/12,0)</x:f>
        <x:v>8</x:v>
      </x:c>
      <x:c r="D456" s="18" t="n">
        <x:f>ROUND(MAX('参数'!$G$29,E456)+(IF(C456&lt;10,INDEX('参数'!$G$37:$P$37,1,MIN(10,C456+1)),'参数'!$H$29)-MAX('参数'!$G$29,E456))*MOD(B456-1,12)/11,0)</x:f>
        <x:v>100</x:v>
      </x:c>
      <x:c r="E456" s="18" t="n">
        <x:f>INDEX('参数'!$G$37:$P$37,1,C456)</x:f>
        <x:v>100</x:v>
      </x:c>
      <x:c r="F456" s="15" t="n">
        <x:f>'参数'!$I$29</x:f>
        <x:v>1.29</x:v>
      </x:c>
      <x:c r="G456" s="18" t="n">
        <x:f>ROUND(V456*X456/'参数'!$B$56,0)</x:f>
        <x:v>400408</x:v>
      </x:c>
      <x:c r="H456" s="18" t="n">
        <x:f>ROUND((AA456+SQRT(AA456^2+4*AA456*'参数'!$B$22*U456))/2,0)</x:f>
        <x:v>14405</x:v>
      </x:c>
      <x:c r="I456" s="18" t="n">
        <x:f>ROUND(Q456*'参数'!$B$23/'参数'!$B$22,0)</x:f>
        <x:v>2008</x:v>
      </x:c>
      <x:c r="J456" s="18" t="n">
        <x:f>ROUND(G456*'参数'!$B$50,0)</x:f>
        <x:v>1201224</x:v>
      </x:c>
      <x:c r="K456" s="18" t="n">
        <x:f>ROUND(W456*Y456,0)</x:f>
        <x:v>3941695</x:v>
      </x:c>
      <x:c r="L456" s="18" t="n">
        <x:f>ROUND((AB456+SQRT(AB456^2+4*AB456*'参数'!$B$22*U456))/2,0)</x:f>
        <x:v>24591</x:v>
      </x:c>
      <x:c r="M456" s="18" t="n">
        <x:f>ROUND(I456*'参数'!$B$24,0)</x:f>
        <x:v>2510</x:v>
      </x:c>
      <x:c r="N456" s="18" t="n">
        <x:f>'参数'!$B$9*'参数'!$B$10^(D456-1)</x:f>
        <x:v>11195.319600498813</x:v>
      </x:c>
      <x:c r="O456" s="18" t="n">
        <x:f>'参数'!$B$18*'参数'!$B$19^(MIN(E456,MAX(1,5*INT(D456/5)))-1)*F456*'参数'!$J$29*P456</x:f>
        <x:v>1897.6106812882254</x:v>
      </x:c>
      <x:c r="P456" s="21" t="n">
        <x:f>MIN(1,(D456-1)/19)</x:f>
        <x:v>1</x:v>
      </x:c>
      <x:c r="Q456" s="18" t="n">
        <x:f>INDEX('角色成长'!$F$6:$F$105,D456)+O456*'参数'!$K$21</x:f>
        <x:v>10042.190441671442</x:v>
      </x:c>
      <x:c r="R456" s="18" t="n">
        <x:f>INDEX('角色成长'!$I$6:$I$105,D456)+O456*'参数'!$K$21</x:f>
        <x:v>8744.190441671442</x:v>
      </x:c>
      <x:c r="S456" s="18" t="n">
        <x:f>INDEX('角色成长'!$L$6:$L$105,D456)+O456*'参数'!$K$21</x:f>
        <x:v>8003.190441671442</x:v>
      </x:c>
      <x:c r="T456" s="18" t="n">
        <x:f>(INDEX('角色成长'!$J$6:$J$105,D456)+O456*'参数'!$L$21)*(1+'参数'!$B$40*P456)</x:f>
        <x:v>113637.65283705847</x:v>
      </x:c>
      <x:c r="U456" s="18" t="n">
        <x:f>(INDEX('角色成长'!$K$6:$K$105,D456)+O456*'参数'!$M$21)*(1+'参数'!$B$41*P456)</x:f>
        <x:v>6302.800561479835</x:v>
      </x:c>
      <x:c r="V456" s="18" t="n">
        <x:f>(('参数'!$K$5*(((Q456*(1+'参数'!$B$39*P456))^2/((Q456*(1+'参数'!$B$39*P456))+'参数'!$B$22*(I456)))*(1+'参数'!$B$42*P456)/'参数'!$J$5+((Q456*'参数'!$B$43*(1+'参数'!$B$39*P456))^2/((Q456*'参数'!$B$43*(1+'参数'!$B$39*P456))+'参数'!$B$22*(I456)))/'参数'!$B$44))+(((R456*(1+'参数'!$B$39*P456))^2/((R456*(1+'参数'!$B$39*P456))+'参数'!$B$22*(I456)))*(1+'参数'!$B$42*P456)/'参数'!$J$6+((R456*'参数'!$B$45*(1+'参数'!$B$39*P456))^2/((R456*'参数'!$B$45*(1+'参数'!$B$39*P456))+'参数'!$B$22*(I456)))/'参数'!$B$46)+((S456*(1+'参数'!$B$39*P456))^2/((S456*(1+'参数'!$B$39*P456))+'参数'!$B$22*(I456)))*(1+'参数'!$B$42*P456)/'参数'!$J$7)*(1+'参数'!$B$37*('参数'!$B$38-1))*'参数'!$B$25</x:f>
        <x:v>68074.69622887956</x:v>
      </x:c>
      <x:c r="W456" s="18" t="n">
        <x:f>(('参数'!$K$5*(((Q456*(1+'参数'!$B$39*P456))^2/((Q456*(1+'参数'!$B$39*P456))+'参数'!$B$22*(M456)))*(1+'参数'!$B$42*P456)/'参数'!$J$5+((Q456*'参数'!$B$43*(1+'参数'!$B$39*P456))^2/((Q456*'参数'!$B$43*(1+'参数'!$B$39*P456))+'参数'!$B$22*(M456)))/'参数'!$B$44))+(((R456*(1+'参数'!$B$39*P456))^2/((R456*(1+'参数'!$B$39*P456))+'参数'!$B$22*(M456)))*(1+'参数'!$B$42*P456)/'参数'!$J$6+((R456*'参数'!$B$45*(1+'参数'!$B$39*P456))^2/((R456*'参数'!$B$45*(1+'参数'!$B$39*P456))+'参数'!$B$22*(M456)))/'参数'!$B$46)+((S456*(1+'参数'!$B$39*P456))^2/((S456*(1+'参数'!$B$39*P456))+'参数'!$B$22*(M456)))*(1+'参数'!$B$42*P456)/'参数'!$J$7)*(1+'参数'!$B$37*('参数'!$B$38-1))</x:f>
        <x:v>52445.746688054394</x:v>
      </x:c>
      <x:c r="X456" s="25" t="n">
        <x:f>('参数'!$B$26+'参数'!$B$27*(D456-1)/99)*'参数'!$K$29*AD456</x:f>
        <x:v>27.05672268907563</x:v>
      </x:c>
      <x:c r="Y456" s="25" t="n">
        <x:f>('参数'!$B$28+'参数'!$B$29*(D456-1)/99)*'参数'!$K$29*AD456*IF(AE456=1,'参数'!$B$51,1)</x:f>
        <x:v>75.15756302521008</x:v>
      </x:c>
      <x:c r="Z456" s="21" t="n">
        <x:f>MIN('参数'!$B$36,U456/(U456+'参数'!$B$35))</x:f>
        <x:v>0.6117560486461108</x:v>
      </x:c>
      <x:c r="AA456" s="18" t="n">
        <x:f>T456*'参数'!$B$30/('参数'!$B$32*'参数'!$B$33)/(1-Z456)*AC456</x:f>
        <x:v>9312.176626261005</x:v>
      </x:c>
      <x:c r="AB456" s="18" t="n">
        <x:f>T456*'参数'!$B$31/'参数'!$B$34/(1-Z456)*AC456</x:f>
        <x:v>18624.35325252201</x:v>
      </x:c>
      <x:c r="AC456" s="15" t="n">
        <x:f>'参数'!$L$29*(1+'参数'!$B$53*(B456-1)/119)</x:f>
        <x:v>1.2726050420168067</x:v>
      </x:c>
      <x:c r="AD456" s="15" t="n">
        <x:f>1+'参数'!$B$52*(B456-1)/119</x:f>
        <x:v>1.1134453781512605</x:v>
      </x:c>
      <x:c r="AE456" s="18" t="n">
        <x:f>IF(MOD(B456,12)=0,1,0)</x:f>
        <x:v>0</x:v>
      </x:c>
    </x:row>
    <x:row r="457" ht="22" customHeight="1">
      <x:c r="A457" s="19" t="str">
        <x:v>地狱</x:v>
      </x:c>
      <x:c r="B457" s="19" t="n">
        <x:v>92</x:v>
      </x:c>
      <x:c r="C457" s="19" t="n">
        <x:f>ROUNDUP(B457/12,0)</x:f>
        <x:v>8</x:v>
      </x:c>
      <x:c r="D457" s="19" t="n">
        <x:f>ROUND(MAX('参数'!$G$29,E457)+(IF(C457&lt;10,INDEX('参数'!$G$37:$P$37,1,MIN(10,C457+1)),'参数'!$H$29)-MAX('参数'!$G$29,E457))*MOD(B457-1,12)/11,0)</x:f>
        <x:v>100</x:v>
      </x:c>
      <x:c r="E457" s="19" t="n">
        <x:f>INDEX('参数'!$G$37:$P$37,1,C457)</x:f>
        <x:v>100</x:v>
      </x:c>
      <x:c r="F457" s="20" t="n">
        <x:f>'参数'!$I$29</x:f>
        <x:v>1.29</x:v>
      </x:c>
      <x:c r="G457" s="19" t="n">
        <x:f>ROUND(V457*X457/'参数'!$B$56,0)</x:f>
        <x:v>400862</x:v>
      </x:c>
      <x:c r="H457" s="19" t="n">
        <x:f>ROUND((AA457+SQRT(AA457^2+4*AA457*'参数'!$B$22*U457))/2,0)</x:f>
        <x:v>14412</x:v>
      </x:c>
      <x:c r="I457" s="19" t="n">
        <x:f>ROUND(Q457*'参数'!$B$23/'参数'!$B$22,0)</x:f>
        <x:v>2008</x:v>
      </x:c>
      <x:c r="J457" s="19" t="n">
        <x:f>ROUND(G457*'参数'!$B$50,0)</x:f>
        <x:v>1202586</x:v>
      </x:c>
      <x:c r="K457" s="19" t="n">
        <x:f>ROUND(W457*Y457,0)</x:f>
        <x:v>3946157</x:v>
      </x:c>
      <x:c r="L457" s="19" t="n">
        <x:f>ROUND((AB457+SQRT(AB457^2+4*AB457*'参数'!$B$22*U457))/2,0)</x:f>
        <x:v>24604</x:v>
      </x:c>
      <x:c r="M457" s="19" t="n">
        <x:f>ROUND(I457*'参数'!$B$24,0)</x:f>
        <x:v>2510</x:v>
      </x:c>
      <x:c r="N457" s="19" t="n">
        <x:f>'参数'!$B$9*'参数'!$B$10^(D457-1)</x:f>
        <x:v>11195.319600498813</x:v>
      </x:c>
      <x:c r="O457" s="19" t="n">
        <x:f>'参数'!$B$18*'参数'!$B$19^(MIN(E457,MAX(1,5*INT(D457/5)))-1)*F457*'参数'!$J$29*P457</x:f>
        <x:v>1897.6106812882254</x:v>
      </x:c>
      <x:c r="P457" s="22" t="n">
        <x:f>MIN(1,(D457-1)/19)</x:f>
        <x:v>1</x:v>
      </x:c>
      <x:c r="Q457" s="19" t="n">
        <x:f>INDEX('角色成长'!$F$6:$F$105,D457)+O457*'参数'!$K$21</x:f>
        <x:v>10042.190441671442</x:v>
      </x:c>
      <x:c r="R457" s="19" t="n">
        <x:f>INDEX('角色成长'!$I$6:$I$105,D457)+O457*'参数'!$K$21</x:f>
        <x:v>8744.190441671442</x:v>
      </x:c>
      <x:c r="S457" s="19" t="n">
        <x:f>INDEX('角色成长'!$L$6:$L$105,D457)+O457*'参数'!$K$21</x:f>
        <x:v>8003.190441671442</x:v>
      </x:c>
      <x:c r="T457" s="19" t="n">
        <x:f>(INDEX('角色成长'!$J$6:$J$105,D457)+O457*'参数'!$L$21)*(1+'参数'!$B$40*P457)</x:f>
        <x:v>113637.65283705847</x:v>
      </x:c>
      <x:c r="U457" s="19" t="n">
        <x:f>(INDEX('角色成长'!$K$6:$K$105,D457)+O457*'参数'!$M$21)*(1+'参数'!$B$41*P457)</x:f>
        <x:v>6302.800561479835</x:v>
      </x:c>
      <x:c r="V457" s="19" t="n">
        <x:f>(('参数'!$K$5*(((Q457*(1+'参数'!$B$39*P457))^2/((Q457*(1+'参数'!$B$39*P457))+'参数'!$B$22*(I457)))*(1+'参数'!$B$42*P457)/'参数'!$J$5+((Q457*'参数'!$B$43*(1+'参数'!$B$39*P457))^2/((Q457*'参数'!$B$43*(1+'参数'!$B$39*P457))+'参数'!$B$22*(I457)))/'参数'!$B$44))+(((R457*(1+'参数'!$B$39*P457))^2/((R457*(1+'参数'!$B$39*P457))+'参数'!$B$22*(I457)))*(1+'参数'!$B$42*P457)/'参数'!$J$6+((R457*'参数'!$B$45*(1+'参数'!$B$39*P457))^2/((R457*'参数'!$B$45*(1+'参数'!$B$39*P457))+'参数'!$B$22*(I457)))/'参数'!$B$46)+((S457*(1+'参数'!$B$39*P457))^2/((S457*(1+'参数'!$B$39*P457))+'参数'!$B$22*(I457)))*(1+'参数'!$B$42*P457)/'参数'!$J$7)*(1+'参数'!$B$37*('参数'!$B$38-1))*'参数'!$B$25</x:f>
        <x:v>68074.69622887956</x:v>
      </x:c>
      <x:c r="W457" s="19" t="n">
        <x:f>(('参数'!$K$5*(((Q457*(1+'参数'!$B$39*P457))^2/((Q457*(1+'参数'!$B$39*P457))+'参数'!$B$22*(M457)))*(1+'参数'!$B$42*P457)/'参数'!$J$5+((Q457*'参数'!$B$43*(1+'参数'!$B$39*P457))^2/((Q457*'参数'!$B$43*(1+'参数'!$B$39*P457))+'参数'!$B$22*(M457)))/'参数'!$B$44))+(((R457*(1+'参数'!$B$39*P457))^2/((R457*(1+'参数'!$B$39*P457))+'参数'!$B$22*(M457)))*(1+'参数'!$B$42*P457)/'参数'!$J$6+((R457*'参数'!$B$45*(1+'参数'!$B$39*P457))^2/((R457*'参数'!$B$45*(1+'参数'!$B$39*P457))+'参数'!$B$22*(M457)))/'参数'!$B$46)+((S457*(1+'参数'!$B$39*P457))^2/((S457*(1+'参数'!$B$39*P457))+'参数'!$B$22*(M457)))*(1+'参数'!$B$42*P457)/'参数'!$J$7)*(1+'参数'!$B$37*('参数'!$B$38-1))</x:f>
        <x:v>52445.746688054394</x:v>
      </x:c>
      <x:c r="X457" s="26" t="n">
        <x:f>('参数'!$B$26+'参数'!$B$27*(D457-1)/99)*'参数'!$K$29*AD457</x:f>
        <x:v>27.087352941176473</x:v>
      </x:c>
      <x:c r="Y457" s="26" t="n">
        <x:f>('参数'!$B$28+'参数'!$B$29*(D457-1)/99)*'参数'!$K$29*AD457*IF(AE457=1,'参数'!$B$51,1)</x:f>
        <x:v>75.24264705882354</x:v>
      </x:c>
      <x:c r="Z457" s="22" t="n">
        <x:f>MIN('参数'!$B$36,U457/(U457+'参数'!$B$35))</x:f>
        <x:v>0.6117560486461108</x:v>
      </x:c>
      <x:c r="AA457" s="19" t="n">
        <x:f>T457*'参数'!$B$30/('参数'!$B$32*'参数'!$B$33)/(1-Z457)*AC457</x:f>
        <x:v>9318.079749320443</x:v>
      </x:c>
      <x:c r="AB457" s="19" t="n">
        <x:f>T457*'参数'!$B$31/'参数'!$B$34/(1-Z457)*AC457</x:f>
        <x:v>18636.159498640885</x:v>
      </x:c>
      <x:c r="AC457" s="20" t="n">
        <x:f>'参数'!$L$29*(1+'参数'!$B$53*(B457-1)/119)</x:f>
        <x:v>1.2734117647058825</x:v>
      </x:c>
      <x:c r="AD457" s="20" t="n">
        <x:f>1+'参数'!$B$52*(B457-1)/119</x:f>
        <x:v>1.1147058823529412</x:v>
      </x:c>
      <x:c r="AE457" s="19" t="n">
        <x:f>IF(MOD(B457,12)=0,1,0)</x:f>
        <x:v>0</x:v>
      </x:c>
    </x:row>
    <x:row r="458" ht="22" customHeight="1">
      <x:c r="A458" s="18" t="str">
        <x:v>地狱</x:v>
      </x:c>
      <x:c r="B458" s="18" t="n">
        <x:v>93</x:v>
      </x:c>
      <x:c r="C458" s="18" t="n">
        <x:f>ROUNDUP(B458/12,0)</x:f>
        <x:v>8</x:v>
      </x:c>
      <x:c r="D458" s="18" t="n">
        <x:f>ROUND(MAX('参数'!$G$29,E458)+(IF(C458&lt;10,INDEX('参数'!$G$37:$P$37,1,MIN(10,C458+1)),'参数'!$H$29)-MAX('参数'!$G$29,E458))*MOD(B458-1,12)/11,0)</x:f>
        <x:v>100</x:v>
      </x:c>
      <x:c r="E458" s="18" t="n">
        <x:f>INDEX('参数'!$G$37:$P$37,1,C458)</x:f>
        <x:v>100</x:v>
      </x:c>
      <x:c r="F458" s="15" t="n">
        <x:f>'参数'!$I$29</x:f>
        <x:v>1.29</x:v>
      </x:c>
      <x:c r="G458" s="18" t="n">
        <x:f>ROUND(V458*X458/'参数'!$B$56,0)</x:f>
        <x:v>401315</x:v>
      </x:c>
      <x:c r="H458" s="18" t="n">
        <x:f>ROUND((AA458+SQRT(AA458^2+4*AA458*'参数'!$B$22*U458))/2,0)</x:f>
        <x:v>14419</x:v>
      </x:c>
      <x:c r="I458" s="18" t="n">
        <x:f>ROUND(Q458*'参数'!$B$23/'参数'!$B$22,0)</x:f>
        <x:v>2008</x:v>
      </x:c>
      <x:c r="J458" s="18" t="n">
        <x:f>ROUND(G458*'参数'!$B$50,0)</x:f>
        <x:v>1203945</x:v>
      </x:c>
      <x:c r="K458" s="18" t="n">
        <x:f>ROUND(W458*Y458,0)</x:f>
        <x:v>3950619</x:v>
      </x:c>
      <x:c r="L458" s="18" t="n">
        <x:f>ROUND((AB458+SQRT(AB458^2+4*AB458*'参数'!$B$22*U458))/2,0)</x:f>
        <x:v>24616</x:v>
      </x:c>
      <x:c r="M458" s="18" t="n">
        <x:f>ROUND(I458*'参数'!$B$24,0)</x:f>
        <x:v>2510</x:v>
      </x:c>
      <x:c r="N458" s="18" t="n">
        <x:f>'参数'!$B$9*'参数'!$B$10^(D458-1)</x:f>
        <x:v>11195.319600498813</x:v>
      </x:c>
      <x:c r="O458" s="18" t="n">
        <x:f>'参数'!$B$18*'参数'!$B$19^(MIN(E458,MAX(1,5*INT(D458/5)))-1)*F458*'参数'!$J$29*P458</x:f>
        <x:v>1897.6106812882254</x:v>
      </x:c>
      <x:c r="P458" s="21" t="n">
        <x:f>MIN(1,(D458-1)/19)</x:f>
        <x:v>1</x:v>
      </x:c>
      <x:c r="Q458" s="18" t="n">
        <x:f>INDEX('角色成长'!$F$6:$F$105,D458)+O458*'参数'!$K$21</x:f>
        <x:v>10042.190441671442</x:v>
      </x:c>
      <x:c r="R458" s="18" t="n">
        <x:f>INDEX('角色成长'!$I$6:$I$105,D458)+O458*'参数'!$K$21</x:f>
        <x:v>8744.190441671442</x:v>
      </x:c>
      <x:c r="S458" s="18" t="n">
        <x:f>INDEX('角色成长'!$L$6:$L$105,D458)+O458*'参数'!$K$21</x:f>
        <x:v>8003.190441671442</x:v>
      </x:c>
      <x:c r="T458" s="18" t="n">
        <x:f>(INDEX('角色成长'!$J$6:$J$105,D458)+O458*'参数'!$L$21)*(1+'参数'!$B$40*P458)</x:f>
        <x:v>113637.65283705847</x:v>
      </x:c>
      <x:c r="U458" s="18" t="n">
        <x:f>(INDEX('角色成长'!$K$6:$K$105,D458)+O458*'参数'!$M$21)*(1+'参数'!$B$41*P458)</x:f>
        <x:v>6302.800561479835</x:v>
      </x:c>
      <x:c r="V458" s="18" t="n">
        <x:f>(('参数'!$K$5*(((Q458*(1+'参数'!$B$39*P458))^2/((Q458*(1+'参数'!$B$39*P458))+'参数'!$B$22*(I458)))*(1+'参数'!$B$42*P458)/'参数'!$J$5+((Q458*'参数'!$B$43*(1+'参数'!$B$39*P458))^2/((Q458*'参数'!$B$43*(1+'参数'!$B$39*P458))+'参数'!$B$22*(I458)))/'参数'!$B$44))+(((R458*(1+'参数'!$B$39*P458))^2/((R458*(1+'参数'!$B$39*P458))+'参数'!$B$22*(I458)))*(1+'参数'!$B$42*P458)/'参数'!$J$6+((R458*'参数'!$B$45*(1+'参数'!$B$39*P458))^2/((R458*'参数'!$B$45*(1+'参数'!$B$39*P458))+'参数'!$B$22*(I458)))/'参数'!$B$46)+((S458*(1+'参数'!$B$39*P458))^2/((S458*(1+'参数'!$B$39*P458))+'参数'!$B$22*(I458)))*(1+'参数'!$B$42*P458)/'参数'!$J$7)*(1+'参数'!$B$37*('参数'!$B$38-1))*'参数'!$B$25</x:f>
        <x:v>68074.69622887956</x:v>
      </x:c>
      <x:c r="W458" s="18" t="n">
        <x:f>(('参数'!$K$5*(((Q458*(1+'参数'!$B$39*P458))^2/((Q458*(1+'参数'!$B$39*P458))+'参数'!$B$22*(M458)))*(1+'参数'!$B$42*P458)/'参数'!$J$5+((Q458*'参数'!$B$43*(1+'参数'!$B$39*P458))^2/((Q458*'参数'!$B$43*(1+'参数'!$B$39*P458))+'参数'!$B$22*(M458)))/'参数'!$B$44))+(((R458*(1+'参数'!$B$39*P458))^2/((R458*(1+'参数'!$B$39*P458))+'参数'!$B$22*(M458)))*(1+'参数'!$B$42*P458)/'参数'!$J$6+((R458*'参数'!$B$45*(1+'参数'!$B$39*P458))^2/((R458*'参数'!$B$45*(1+'参数'!$B$39*P458))+'参数'!$B$22*(M458)))/'参数'!$B$46)+((S458*(1+'参数'!$B$39*P458))^2/((S458*(1+'参数'!$B$39*P458))+'参数'!$B$22*(M458)))*(1+'参数'!$B$42*P458)/'参数'!$J$7)*(1+'参数'!$B$37*('参数'!$B$38-1))</x:f>
        <x:v>52445.746688054394</x:v>
      </x:c>
      <x:c r="X458" s="25" t="n">
        <x:f>('参数'!$B$26+'参数'!$B$27*(D458-1)/99)*'参数'!$K$29*AD458</x:f>
        <x:v>27.11798319327731</x:v>
      </x:c>
      <x:c r="Y458" s="25" t="n">
        <x:f>('参数'!$B$28+'参数'!$B$29*(D458-1)/99)*'参数'!$K$29*AD458*IF(AE458=1,'参数'!$B$51,1)</x:f>
        <x:v>75.32773109243698</x:v>
      </x:c>
      <x:c r="Z458" s="21" t="n">
        <x:f>MIN('参数'!$B$36,U458/(U458+'参数'!$B$35))</x:f>
        <x:v>0.6117560486461108</x:v>
      </x:c>
      <x:c r="AA458" s="18" t="n">
        <x:f>T458*'参数'!$B$30/('参数'!$B$32*'参数'!$B$33)/(1-Z458)*AC458</x:f>
        <x:v>9323.982872379878</x:v>
      </x:c>
      <x:c r="AB458" s="18" t="n">
        <x:f>T458*'参数'!$B$31/'参数'!$B$34/(1-Z458)*AC458</x:f>
        <x:v>18647.965744759756</x:v>
      </x:c>
      <x:c r="AC458" s="15" t="n">
        <x:f>'参数'!$L$29*(1+'参数'!$B$53*(B458-1)/119)</x:f>
        <x:v>1.2742184873949578</x:v>
      </x:c>
      <x:c r="AD458" s="15" t="n">
        <x:f>1+'参数'!$B$52*(B458-1)/119</x:f>
        <x:v>1.1159663865546219</x:v>
      </x:c>
      <x:c r="AE458" s="18" t="n">
        <x:f>IF(MOD(B458,12)=0,1,0)</x:f>
        <x:v>0</x:v>
      </x:c>
    </x:row>
    <x:row r="459" ht="22" customHeight="1">
      <x:c r="A459" s="19" t="str">
        <x:v>地狱</x:v>
      </x:c>
      <x:c r="B459" s="19" t="n">
        <x:v>94</x:v>
      </x:c>
      <x:c r="C459" s="19" t="n">
        <x:f>ROUNDUP(B459/12,0)</x:f>
        <x:v>8</x:v>
      </x:c>
      <x:c r="D459" s="19" t="n">
        <x:f>ROUND(MAX('参数'!$G$29,E459)+(IF(C459&lt;10,INDEX('参数'!$G$37:$P$37,1,MIN(10,C459+1)),'参数'!$H$29)-MAX('参数'!$G$29,E459))*MOD(B459-1,12)/11,0)</x:f>
        <x:v>100</x:v>
      </x:c>
      <x:c r="E459" s="19" t="n">
        <x:f>INDEX('参数'!$G$37:$P$37,1,C459)</x:f>
        <x:v>100</x:v>
      </x:c>
      <x:c r="F459" s="20" t="n">
        <x:f>'参数'!$I$29</x:f>
        <x:v>1.29</x:v>
      </x:c>
      <x:c r="G459" s="19" t="n">
        <x:f>ROUND(V459*X459/'参数'!$B$56,0)</x:f>
        <x:v>401768</x:v>
      </x:c>
      <x:c r="H459" s="19" t="n">
        <x:f>ROUND((AA459+SQRT(AA459^2+4*AA459*'参数'!$B$22*U459))/2,0)</x:f>
        <x:v>14425</x:v>
      </x:c>
      <x:c r="I459" s="19" t="n">
        <x:f>ROUND(Q459*'参数'!$B$23/'参数'!$B$22,0)</x:f>
        <x:v>2008</x:v>
      </x:c>
      <x:c r="J459" s="19" t="n">
        <x:f>ROUND(G459*'参数'!$B$50,0)</x:f>
        <x:v>1205304</x:v>
      </x:c>
      <x:c r="K459" s="19" t="n">
        <x:f>ROUND(W459*Y459,0)</x:f>
        <x:v>3955081</x:v>
      </x:c>
      <x:c r="L459" s="19" t="n">
        <x:f>ROUND((AB459+SQRT(AB459^2+4*AB459*'参数'!$B$22*U459))/2,0)</x:f>
        <x:v>24629</x:v>
      </x:c>
      <x:c r="M459" s="19" t="n">
        <x:f>ROUND(I459*'参数'!$B$24,0)</x:f>
        <x:v>2510</x:v>
      </x:c>
      <x:c r="N459" s="19" t="n">
        <x:f>'参数'!$B$9*'参数'!$B$10^(D459-1)</x:f>
        <x:v>11195.319600498813</x:v>
      </x:c>
      <x:c r="O459" s="19" t="n">
        <x:f>'参数'!$B$18*'参数'!$B$19^(MIN(E459,MAX(1,5*INT(D459/5)))-1)*F459*'参数'!$J$29*P459</x:f>
        <x:v>1897.6106812882254</x:v>
      </x:c>
      <x:c r="P459" s="22" t="n">
        <x:f>MIN(1,(D459-1)/19)</x:f>
        <x:v>1</x:v>
      </x:c>
      <x:c r="Q459" s="19" t="n">
        <x:f>INDEX('角色成长'!$F$6:$F$105,D459)+O459*'参数'!$K$21</x:f>
        <x:v>10042.190441671442</x:v>
      </x:c>
      <x:c r="R459" s="19" t="n">
        <x:f>INDEX('角色成长'!$I$6:$I$105,D459)+O459*'参数'!$K$21</x:f>
        <x:v>8744.190441671442</x:v>
      </x:c>
      <x:c r="S459" s="19" t="n">
        <x:f>INDEX('角色成长'!$L$6:$L$105,D459)+O459*'参数'!$K$21</x:f>
        <x:v>8003.190441671442</x:v>
      </x:c>
      <x:c r="T459" s="19" t="n">
        <x:f>(INDEX('角色成长'!$J$6:$J$105,D459)+O459*'参数'!$L$21)*(1+'参数'!$B$40*P459)</x:f>
        <x:v>113637.65283705847</x:v>
      </x:c>
      <x:c r="U459" s="19" t="n">
        <x:f>(INDEX('角色成长'!$K$6:$K$105,D459)+O459*'参数'!$M$21)*(1+'参数'!$B$41*P459)</x:f>
        <x:v>6302.800561479835</x:v>
      </x:c>
      <x:c r="V459" s="19" t="n">
        <x:f>(('参数'!$K$5*(((Q459*(1+'参数'!$B$39*P459))^2/((Q459*(1+'参数'!$B$39*P459))+'参数'!$B$22*(I459)))*(1+'参数'!$B$42*P459)/'参数'!$J$5+((Q459*'参数'!$B$43*(1+'参数'!$B$39*P459))^2/((Q459*'参数'!$B$43*(1+'参数'!$B$39*P459))+'参数'!$B$22*(I459)))/'参数'!$B$44))+(((R459*(1+'参数'!$B$39*P459))^2/((R459*(1+'参数'!$B$39*P459))+'参数'!$B$22*(I459)))*(1+'参数'!$B$42*P459)/'参数'!$J$6+((R459*'参数'!$B$45*(1+'参数'!$B$39*P459))^2/((R459*'参数'!$B$45*(1+'参数'!$B$39*P459))+'参数'!$B$22*(I459)))/'参数'!$B$46)+((S459*(1+'参数'!$B$39*P459))^2/((S459*(1+'参数'!$B$39*P459))+'参数'!$B$22*(I459)))*(1+'参数'!$B$42*P459)/'参数'!$J$7)*(1+'参数'!$B$37*('参数'!$B$38-1))*'参数'!$B$25</x:f>
        <x:v>68074.69622887956</x:v>
      </x:c>
      <x:c r="W459" s="19" t="n">
        <x:f>(('参数'!$K$5*(((Q459*(1+'参数'!$B$39*P459))^2/((Q459*(1+'参数'!$B$39*P459))+'参数'!$B$22*(M459)))*(1+'参数'!$B$42*P459)/'参数'!$J$5+((Q459*'参数'!$B$43*(1+'参数'!$B$39*P459))^2/((Q459*'参数'!$B$43*(1+'参数'!$B$39*P459))+'参数'!$B$22*(M459)))/'参数'!$B$44))+(((R459*(1+'参数'!$B$39*P459))^2/((R459*(1+'参数'!$B$39*P459))+'参数'!$B$22*(M459)))*(1+'参数'!$B$42*P459)/'参数'!$J$6+((R459*'参数'!$B$45*(1+'参数'!$B$39*P459))^2/((R459*'参数'!$B$45*(1+'参数'!$B$39*P459))+'参数'!$B$22*(M459)))/'参数'!$B$46)+((S459*(1+'参数'!$B$39*P459))^2/((S459*(1+'参数'!$B$39*P459))+'参数'!$B$22*(M459)))*(1+'参数'!$B$42*P459)/'参数'!$J$7)*(1+'参数'!$B$37*('参数'!$B$38-1))</x:f>
        <x:v>52445.746688054394</x:v>
      </x:c>
      <x:c r="X459" s="26" t="n">
        <x:f>('参数'!$B$26+'参数'!$B$27*(D459-1)/99)*'参数'!$K$29*AD459</x:f>
        <x:v>27.148613445378153</x:v>
      </x:c>
      <x:c r="Y459" s="26" t="n">
        <x:f>('参数'!$B$28+'参数'!$B$29*(D459-1)/99)*'参数'!$K$29*AD459*IF(AE459=1,'参数'!$B$51,1)</x:f>
        <x:v>75.41281512605042</x:v>
      </x:c>
      <x:c r="Z459" s="22" t="n">
        <x:f>MIN('参数'!$B$36,U459/(U459+'参数'!$B$35))</x:f>
        <x:v>0.6117560486461108</x:v>
      </x:c>
      <x:c r="AA459" s="19" t="n">
        <x:f>T459*'参数'!$B$30/('参数'!$B$32*'参数'!$B$33)/(1-Z459)*AC459</x:f>
        <x:v>9329.885995439316</x:v>
      </x:c>
      <x:c r="AB459" s="19" t="n">
        <x:f>T459*'参数'!$B$31/'参数'!$B$34/(1-Z459)*AC459</x:f>
        <x:v>18659.77199087863</x:v>
      </x:c>
      <x:c r="AC459" s="20" t="n">
        <x:f>'参数'!$L$29*(1+'参数'!$B$53*(B459-1)/119)</x:f>
        <x:v>1.2750252100840336</x:v>
      </x:c>
      <x:c r="AD459" s="20" t="n">
        <x:f>1+'参数'!$B$52*(B459-1)/119</x:f>
        <x:v>1.1172268907563025</x:v>
      </x:c>
      <x:c r="AE459" s="19" t="n">
        <x:f>IF(MOD(B459,12)=0,1,0)</x:f>
        <x:v>0</x:v>
      </x:c>
    </x:row>
    <x:row r="460" ht="22" customHeight="1">
      <x:c r="A460" s="18" t="str">
        <x:v>地狱</x:v>
      </x:c>
      <x:c r="B460" s="18" t="n">
        <x:v>95</x:v>
      </x:c>
      <x:c r="C460" s="18" t="n">
        <x:f>ROUNDUP(B460/12,0)</x:f>
        <x:v>8</x:v>
      </x:c>
      <x:c r="D460" s="18" t="n">
        <x:f>ROUND(MAX('参数'!$G$29,E460)+(IF(C460&lt;10,INDEX('参数'!$G$37:$P$37,1,MIN(10,C460+1)),'参数'!$H$29)-MAX('参数'!$G$29,E460))*MOD(B460-1,12)/11,0)</x:f>
        <x:v>100</x:v>
      </x:c>
      <x:c r="E460" s="18" t="n">
        <x:f>INDEX('参数'!$G$37:$P$37,1,C460)</x:f>
        <x:v>100</x:v>
      </x:c>
      <x:c r="F460" s="15" t="n">
        <x:f>'参数'!$I$29</x:f>
        <x:v>1.29</x:v>
      </x:c>
      <x:c r="G460" s="18" t="n">
        <x:f>ROUND(V460*X460/'参数'!$B$56,0)</x:f>
        <x:v>402221</x:v>
      </x:c>
      <x:c r="H460" s="18" t="n">
        <x:f>ROUND((AA460+SQRT(AA460^2+4*AA460*'参数'!$B$22*U460))/2,0)</x:f>
        <x:v>14432</x:v>
      </x:c>
      <x:c r="I460" s="18" t="n">
        <x:f>ROUND(Q460*'参数'!$B$23/'参数'!$B$22,0)</x:f>
        <x:v>2008</x:v>
      </x:c>
      <x:c r="J460" s="18" t="n">
        <x:f>ROUND(G460*'参数'!$B$50,0)</x:f>
        <x:v>1206663</x:v>
      </x:c>
      <x:c r="K460" s="18" t="n">
        <x:f>ROUND(W460*Y460,0)</x:f>
        <x:v>3959544</x:v>
      </x:c>
      <x:c r="L460" s="18" t="n">
        <x:f>ROUND((AB460+SQRT(AB460^2+4*AB460*'参数'!$B$22*U460))/2,0)</x:f>
        <x:v>24641</x:v>
      </x:c>
      <x:c r="M460" s="18" t="n">
        <x:f>ROUND(I460*'参数'!$B$24,0)</x:f>
        <x:v>2510</x:v>
      </x:c>
      <x:c r="N460" s="18" t="n">
        <x:f>'参数'!$B$9*'参数'!$B$10^(D460-1)</x:f>
        <x:v>11195.319600498813</x:v>
      </x:c>
      <x:c r="O460" s="18" t="n">
        <x:f>'参数'!$B$18*'参数'!$B$19^(MIN(E460,MAX(1,5*INT(D460/5)))-1)*F460*'参数'!$J$29*P460</x:f>
        <x:v>1897.6106812882254</x:v>
      </x:c>
      <x:c r="P460" s="21" t="n">
        <x:f>MIN(1,(D460-1)/19)</x:f>
        <x:v>1</x:v>
      </x:c>
      <x:c r="Q460" s="18" t="n">
        <x:f>INDEX('角色成长'!$F$6:$F$105,D460)+O460*'参数'!$K$21</x:f>
        <x:v>10042.190441671442</x:v>
      </x:c>
      <x:c r="R460" s="18" t="n">
        <x:f>INDEX('角色成长'!$I$6:$I$105,D460)+O460*'参数'!$K$21</x:f>
        <x:v>8744.190441671442</x:v>
      </x:c>
      <x:c r="S460" s="18" t="n">
        <x:f>INDEX('角色成长'!$L$6:$L$105,D460)+O460*'参数'!$K$21</x:f>
        <x:v>8003.190441671442</x:v>
      </x:c>
      <x:c r="T460" s="18" t="n">
        <x:f>(INDEX('角色成长'!$J$6:$J$105,D460)+O460*'参数'!$L$21)*(1+'参数'!$B$40*P460)</x:f>
        <x:v>113637.65283705847</x:v>
      </x:c>
      <x:c r="U460" s="18" t="n">
        <x:f>(INDEX('角色成长'!$K$6:$K$105,D460)+O460*'参数'!$M$21)*(1+'参数'!$B$41*P460)</x:f>
        <x:v>6302.800561479835</x:v>
      </x:c>
      <x:c r="V460" s="18" t="n">
        <x:f>(('参数'!$K$5*(((Q460*(1+'参数'!$B$39*P460))^2/((Q460*(1+'参数'!$B$39*P460))+'参数'!$B$22*(I460)))*(1+'参数'!$B$42*P460)/'参数'!$J$5+((Q460*'参数'!$B$43*(1+'参数'!$B$39*P460))^2/((Q460*'参数'!$B$43*(1+'参数'!$B$39*P460))+'参数'!$B$22*(I460)))/'参数'!$B$44))+(((R460*(1+'参数'!$B$39*P460))^2/((R460*(1+'参数'!$B$39*P460))+'参数'!$B$22*(I460)))*(1+'参数'!$B$42*P460)/'参数'!$J$6+((R460*'参数'!$B$45*(1+'参数'!$B$39*P460))^2/((R460*'参数'!$B$45*(1+'参数'!$B$39*P460))+'参数'!$B$22*(I460)))/'参数'!$B$46)+((S460*(1+'参数'!$B$39*P460))^2/((S460*(1+'参数'!$B$39*P460))+'参数'!$B$22*(I460)))*(1+'参数'!$B$42*P460)/'参数'!$J$7)*(1+'参数'!$B$37*('参数'!$B$38-1))*'参数'!$B$25</x:f>
        <x:v>68074.69622887956</x:v>
      </x:c>
      <x:c r="W460" s="18" t="n">
        <x:f>(('参数'!$K$5*(((Q460*(1+'参数'!$B$39*P460))^2/((Q460*(1+'参数'!$B$39*P460))+'参数'!$B$22*(M460)))*(1+'参数'!$B$42*P460)/'参数'!$J$5+((Q460*'参数'!$B$43*(1+'参数'!$B$39*P460))^2/((Q460*'参数'!$B$43*(1+'参数'!$B$39*P460))+'参数'!$B$22*(M460)))/'参数'!$B$44))+(((R460*(1+'参数'!$B$39*P460))^2/((R460*(1+'参数'!$B$39*P460))+'参数'!$B$22*(M460)))*(1+'参数'!$B$42*P460)/'参数'!$J$6+((R460*'参数'!$B$45*(1+'参数'!$B$39*P460))^2/((R460*'参数'!$B$45*(1+'参数'!$B$39*P460))+'参数'!$B$22*(M460)))/'参数'!$B$46)+((S460*(1+'参数'!$B$39*P460))^2/((S460*(1+'参数'!$B$39*P460))+'参数'!$B$22*(M460)))*(1+'参数'!$B$42*P460)/'参数'!$J$7)*(1+'参数'!$B$37*('参数'!$B$38-1))</x:f>
        <x:v>52445.746688054394</x:v>
      </x:c>
      <x:c r="X460" s="25" t="n">
        <x:f>('参数'!$B$26+'参数'!$B$27*(D460-1)/99)*'参数'!$K$29*AD460</x:f>
        <x:v>27.17924369747899</x:v>
      </x:c>
      <x:c r="Y460" s="25" t="n">
        <x:f>('参数'!$B$28+'参数'!$B$29*(D460-1)/99)*'参数'!$K$29*AD460*IF(AE460=1,'参数'!$B$51,1)</x:f>
        <x:v>75.49789915966387</x:v>
      </x:c>
      <x:c r="Z460" s="21" t="n">
        <x:f>MIN('参数'!$B$36,U460/(U460+'参数'!$B$35))</x:f>
        <x:v>0.6117560486461108</x:v>
      </x:c>
      <x:c r="AA460" s="18" t="n">
        <x:f>T460*'参数'!$B$30/('参数'!$B$32*'参数'!$B$33)/(1-Z460)*AC460</x:f>
        <x:v>9335.789118498751</x:v>
      </x:c>
      <x:c r="AB460" s="18" t="n">
        <x:f>T460*'参数'!$B$31/'参数'!$B$34/(1-Z460)*AC460</x:f>
        <x:v>18671.578236997502</x:v>
      </x:c>
      <x:c r="AC460" s="15" t="n">
        <x:f>'参数'!$L$29*(1+'参数'!$B$53*(B460-1)/119)</x:f>
        <x:v>1.2758319327731091</x:v>
      </x:c>
      <x:c r="AD460" s="15" t="n">
        <x:f>1+'参数'!$B$52*(B460-1)/119</x:f>
        <x:v>1.1184873949579832</x:v>
      </x:c>
      <x:c r="AE460" s="18" t="n">
        <x:f>IF(MOD(B460,12)=0,1,0)</x:f>
        <x:v>0</x:v>
      </x:c>
    </x:row>
    <x:row r="461" ht="22" customHeight="1">
      <x:c r="A461" s="19" t="str">
        <x:v>地狱</x:v>
      </x:c>
      <x:c r="B461" s="19" t="n">
        <x:v>96</x:v>
      </x:c>
      <x:c r="C461" s="19" t="n">
        <x:f>ROUNDUP(B461/12,0)</x:f>
        <x:v>8</x:v>
      </x:c>
      <x:c r="D461" s="19" t="n">
        <x:f>ROUND(MAX('参数'!$G$29,E461)+(IF(C461&lt;10,INDEX('参数'!$G$37:$P$37,1,MIN(10,C461+1)),'参数'!$H$29)-MAX('参数'!$G$29,E461))*MOD(B461-1,12)/11,0)</x:f>
        <x:v>100</x:v>
      </x:c>
      <x:c r="E461" s="19" t="n">
        <x:f>INDEX('参数'!$G$37:$P$37,1,C461)</x:f>
        <x:v>100</x:v>
      </x:c>
      <x:c r="F461" s="20" t="n">
        <x:f>'参数'!$I$29</x:f>
        <x:v>1.29</x:v>
      </x:c>
      <x:c r="G461" s="19" t="n">
        <x:f>ROUND(V461*X461/'参数'!$B$56,0)</x:f>
        <x:v>402675</x:v>
      </x:c>
      <x:c r="H461" s="19" t="n">
        <x:f>ROUND((AA461+SQRT(AA461^2+4*AA461*'参数'!$B$22*U461))/2,0)</x:f>
        <x:v>14439</x:v>
      </x:c>
      <x:c r="I461" s="19" t="n">
        <x:f>ROUND(Q461*'参数'!$B$23/'参数'!$B$22,0)</x:f>
        <x:v>2008</x:v>
      </x:c>
      <x:c r="J461" s="19" t="n">
        <x:f>ROUND(G461*'参数'!$B$50,0)</x:f>
        <x:v>1208025</x:v>
      </x:c>
      <x:c r="K461" s="19" t="n">
        <x:f>ROUND(W461*Y461,0)</x:f>
        <x:v>4558607</x:v>
      </x:c>
      <x:c r="L461" s="19" t="n">
        <x:f>ROUND((AB461+SQRT(AB461^2+4*AB461*'参数'!$B$22*U461))/2,0)</x:f>
        <x:v>24654</x:v>
      </x:c>
      <x:c r="M461" s="19" t="n">
        <x:f>ROUND(I461*'参数'!$B$24,0)</x:f>
        <x:v>2510</x:v>
      </x:c>
      <x:c r="N461" s="19" t="n">
        <x:f>'参数'!$B$9*'参数'!$B$10^(D461-1)</x:f>
        <x:v>11195.319600498813</x:v>
      </x:c>
      <x:c r="O461" s="19" t="n">
        <x:f>'参数'!$B$18*'参数'!$B$19^(MIN(E461,MAX(1,5*INT(D461/5)))-1)*F461*'参数'!$J$29*P461</x:f>
        <x:v>1897.6106812882254</x:v>
      </x:c>
      <x:c r="P461" s="22" t="n">
        <x:f>MIN(1,(D461-1)/19)</x:f>
        <x:v>1</x:v>
      </x:c>
      <x:c r="Q461" s="19" t="n">
        <x:f>INDEX('角色成长'!$F$6:$F$105,D461)+O461*'参数'!$K$21</x:f>
        <x:v>10042.190441671442</x:v>
      </x:c>
      <x:c r="R461" s="19" t="n">
        <x:f>INDEX('角色成长'!$I$6:$I$105,D461)+O461*'参数'!$K$21</x:f>
        <x:v>8744.190441671442</x:v>
      </x:c>
      <x:c r="S461" s="19" t="n">
        <x:f>INDEX('角色成长'!$L$6:$L$105,D461)+O461*'参数'!$K$21</x:f>
        <x:v>8003.190441671442</x:v>
      </x:c>
      <x:c r="T461" s="19" t="n">
        <x:f>(INDEX('角色成长'!$J$6:$J$105,D461)+O461*'参数'!$L$21)*(1+'参数'!$B$40*P461)</x:f>
        <x:v>113637.65283705847</x:v>
      </x:c>
      <x:c r="U461" s="19" t="n">
        <x:f>(INDEX('角色成长'!$K$6:$K$105,D461)+O461*'参数'!$M$21)*(1+'参数'!$B$41*P461)</x:f>
        <x:v>6302.800561479835</x:v>
      </x:c>
      <x:c r="V461" s="19" t="n">
        <x:f>(('参数'!$K$5*(((Q461*(1+'参数'!$B$39*P461))^2/((Q461*(1+'参数'!$B$39*P461))+'参数'!$B$22*(I461)))*(1+'参数'!$B$42*P461)/'参数'!$J$5+((Q461*'参数'!$B$43*(1+'参数'!$B$39*P461))^2/((Q461*'参数'!$B$43*(1+'参数'!$B$39*P461))+'参数'!$B$22*(I461)))/'参数'!$B$44))+(((R461*(1+'参数'!$B$39*P461))^2/((R461*(1+'参数'!$B$39*P461))+'参数'!$B$22*(I461)))*(1+'参数'!$B$42*P461)/'参数'!$J$6+((R461*'参数'!$B$45*(1+'参数'!$B$39*P461))^2/((R461*'参数'!$B$45*(1+'参数'!$B$39*P461))+'参数'!$B$22*(I461)))/'参数'!$B$46)+((S461*(1+'参数'!$B$39*P461))^2/((S461*(1+'参数'!$B$39*P461))+'参数'!$B$22*(I461)))*(1+'参数'!$B$42*P461)/'参数'!$J$7)*(1+'参数'!$B$37*('参数'!$B$38-1))*'参数'!$B$25</x:f>
        <x:v>68074.69622887956</x:v>
      </x:c>
      <x:c r="W461" s="19" t="n">
        <x:f>(('参数'!$K$5*(((Q461*(1+'参数'!$B$39*P461))^2/((Q461*(1+'参数'!$B$39*P461))+'参数'!$B$22*(M461)))*(1+'参数'!$B$42*P461)/'参数'!$J$5+((Q461*'参数'!$B$43*(1+'参数'!$B$39*P461))^2/((Q461*'参数'!$B$43*(1+'参数'!$B$39*P461))+'参数'!$B$22*(M461)))/'参数'!$B$44))+(((R461*(1+'参数'!$B$39*P461))^2/((R461*(1+'参数'!$B$39*P461))+'参数'!$B$22*(M461)))*(1+'参数'!$B$42*P461)/'参数'!$J$6+((R461*'参数'!$B$45*(1+'参数'!$B$39*P461))^2/((R461*'参数'!$B$45*(1+'参数'!$B$39*P461))+'参数'!$B$22*(M461)))/'参数'!$B$46)+((S461*(1+'参数'!$B$39*P461))^2/((S461*(1+'参数'!$B$39*P461))+'参数'!$B$22*(M461)))*(1+'参数'!$B$42*P461)/'参数'!$J$7)*(1+'参数'!$B$37*('参数'!$B$38-1))</x:f>
        <x:v>52445.746688054394</x:v>
      </x:c>
      <x:c r="X461" s="26" t="n">
        <x:f>('参数'!$B$26+'参数'!$B$27*(D461-1)/99)*'参数'!$K$29*AD461</x:f>
        <x:v>27.209873949579833</x:v>
      </x:c>
      <x:c r="Y461" s="26" t="n">
        <x:f>('参数'!$B$28+'参数'!$B$29*(D461-1)/99)*'参数'!$K$29*AD461*IF(AE461=1,'参数'!$B$51,1)</x:f>
        <x:v>86.9204306722689</x:v>
      </x:c>
      <x:c r="Z461" s="22" t="n">
        <x:f>MIN('参数'!$B$36,U461/(U461+'参数'!$B$35))</x:f>
        <x:v>0.6117560486461108</x:v>
      </x:c>
      <x:c r="AA461" s="19" t="n">
        <x:f>T461*'参数'!$B$30/('参数'!$B$32*'参数'!$B$33)/(1-Z461)*AC461</x:f>
        <x:v>9341.692241558188</x:v>
      </x:c>
      <x:c r="AB461" s="19" t="n">
        <x:f>T461*'参数'!$B$31/'参数'!$B$34/(1-Z461)*AC461</x:f>
        <x:v>18683.384483116377</x:v>
      </x:c>
      <x:c r="AC461" s="20" t="n">
        <x:f>'参数'!$L$29*(1+'参数'!$B$53*(B461-1)/119)</x:f>
        <x:v>1.276638655462185</x:v>
      </x:c>
      <x:c r="AD461" s="20" t="n">
        <x:f>1+'参数'!$B$52*(B461-1)/119</x:f>
        <x:v>1.1197478991596639</x:v>
      </x:c>
      <x:c r="AE461" s="19" t="n">
        <x:f>IF(MOD(B461,12)=0,1,0)</x:f>
        <x:v>1</x:v>
      </x:c>
    </x:row>
    <x:row r="462" ht="22" customHeight="1">
      <x:c r="A462" s="18" t="str">
        <x:v>地狱</x:v>
      </x:c>
      <x:c r="B462" s="18" t="n">
        <x:v>97</x:v>
      </x:c>
      <x:c r="C462" s="18" t="n">
        <x:f>ROUNDUP(B462/12,0)</x:f>
        <x:v>9</x:v>
      </x:c>
      <x:c r="D462" s="18" t="n">
        <x:f>ROUND(MAX('参数'!$G$29,E462)+(IF(C462&lt;10,INDEX('参数'!$G$37:$P$37,1,MIN(10,C462+1)),'参数'!$H$29)-MAX('参数'!$G$29,E462))*MOD(B462-1,12)/11,0)</x:f>
        <x:v>100</x:v>
      </x:c>
      <x:c r="E462" s="18" t="n">
        <x:f>INDEX('参数'!$G$37:$P$37,1,C462)</x:f>
        <x:v>100</x:v>
      </x:c>
      <x:c r="F462" s="15" t="n">
        <x:f>'参数'!$I$29</x:f>
        <x:v>1.29</x:v>
      </x:c>
      <x:c r="G462" s="18" t="n">
        <x:f>ROUND(V462*X462/'参数'!$B$56,0)</x:f>
        <x:v>403128</x:v>
      </x:c>
      <x:c r="H462" s="18" t="n">
        <x:f>ROUND((AA462+SQRT(AA462^2+4*AA462*'参数'!$B$22*U462))/2,0)</x:f>
        <x:v>14446</x:v>
      </x:c>
      <x:c r="I462" s="18" t="n">
        <x:f>ROUND(Q462*'参数'!$B$23/'参数'!$B$22,0)</x:f>
        <x:v>2008</x:v>
      </x:c>
      <x:c r="J462" s="18" t="n">
        <x:f>ROUND(G462*'参数'!$B$50,0)</x:f>
        <x:v>1209384</x:v>
      </x:c>
      <x:c r="K462" s="18" t="n">
        <x:f>ROUND(W462*Y462,0)</x:f>
        <x:v>3968468</x:v>
      </x:c>
      <x:c r="L462" s="18" t="n">
        <x:f>ROUND((AB462+SQRT(AB462^2+4*AB462*'参数'!$B$22*U462))/2,0)</x:f>
        <x:v>24666</x:v>
      </x:c>
      <x:c r="M462" s="18" t="n">
        <x:f>ROUND(I462*'参数'!$B$24,0)</x:f>
        <x:v>2510</x:v>
      </x:c>
      <x:c r="N462" s="18" t="n">
        <x:f>'参数'!$B$9*'参数'!$B$10^(D462-1)</x:f>
        <x:v>11195.319600498813</x:v>
      </x:c>
      <x:c r="O462" s="18" t="n">
        <x:f>'参数'!$B$18*'参数'!$B$19^(MIN(E462,MAX(1,5*INT(D462/5)))-1)*F462*'参数'!$J$29*P462</x:f>
        <x:v>1897.6106812882254</x:v>
      </x:c>
      <x:c r="P462" s="21" t="n">
        <x:f>MIN(1,(D462-1)/19)</x:f>
        <x:v>1</x:v>
      </x:c>
      <x:c r="Q462" s="18" t="n">
        <x:f>INDEX('角色成长'!$F$6:$F$105,D462)+O462*'参数'!$K$21</x:f>
        <x:v>10042.190441671442</x:v>
      </x:c>
      <x:c r="R462" s="18" t="n">
        <x:f>INDEX('角色成长'!$I$6:$I$105,D462)+O462*'参数'!$K$21</x:f>
        <x:v>8744.190441671442</x:v>
      </x:c>
      <x:c r="S462" s="18" t="n">
        <x:f>INDEX('角色成长'!$L$6:$L$105,D462)+O462*'参数'!$K$21</x:f>
        <x:v>8003.190441671442</x:v>
      </x:c>
      <x:c r="T462" s="18" t="n">
        <x:f>(INDEX('角色成长'!$J$6:$J$105,D462)+O462*'参数'!$L$21)*(1+'参数'!$B$40*P462)</x:f>
        <x:v>113637.65283705847</x:v>
      </x:c>
      <x:c r="U462" s="18" t="n">
        <x:f>(INDEX('角色成长'!$K$6:$K$105,D462)+O462*'参数'!$M$21)*(1+'参数'!$B$41*P462)</x:f>
        <x:v>6302.800561479835</x:v>
      </x:c>
      <x:c r="V462" s="18" t="n">
        <x:f>(('参数'!$K$5*(((Q462*(1+'参数'!$B$39*P462))^2/((Q462*(1+'参数'!$B$39*P462))+'参数'!$B$22*(I462)))*(1+'参数'!$B$42*P462)/'参数'!$J$5+((Q462*'参数'!$B$43*(1+'参数'!$B$39*P462))^2/((Q462*'参数'!$B$43*(1+'参数'!$B$39*P462))+'参数'!$B$22*(I462)))/'参数'!$B$44))+(((R462*(1+'参数'!$B$39*P462))^2/((R462*(1+'参数'!$B$39*P462))+'参数'!$B$22*(I462)))*(1+'参数'!$B$42*P462)/'参数'!$J$6+((R462*'参数'!$B$45*(1+'参数'!$B$39*P462))^2/((R462*'参数'!$B$45*(1+'参数'!$B$39*P462))+'参数'!$B$22*(I462)))/'参数'!$B$46)+((S462*(1+'参数'!$B$39*P462))^2/((S462*(1+'参数'!$B$39*P462))+'参数'!$B$22*(I462)))*(1+'参数'!$B$42*P462)/'参数'!$J$7)*(1+'参数'!$B$37*('参数'!$B$38-1))*'参数'!$B$25</x:f>
        <x:v>68074.69622887956</x:v>
      </x:c>
      <x:c r="W462" s="18" t="n">
        <x:f>(('参数'!$K$5*(((Q462*(1+'参数'!$B$39*P462))^2/((Q462*(1+'参数'!$B$39*P462))+'参数'!$B$22*(M462)))*(1+'参数'!$B$42*P462)/'参数'!$J$5+((Q462*'参数'!$B$43*(1+'参数'!$B$39*P462))^2/((Q462*'参数'!$B$43*(1+'参数'!$B$39*P462))+'参数'!$B$22*(M462)))/'参数'!$B$44))+(((R462*(1+'参数'!$B$39*P462))^2/((R462*(1+'参数'!$B$39*P462))+'参数'!$B$22*(M462)))*(1+'参数'!$B$42*P462)/'参数'!$J$6+((R462*'参数'!$B$45*(1+'参数'!$B$39*P462))^2/((R462*'参数'!$B$45*(1+'参数'!$B$39*P462))+'参数'!$B$22*(M462)))/'参数'!$B$46)+((S462*(1+'参数'!$B$39*P462))^2/((S462*(1+'参数'!$B$39*P462))+'参数'!$B$22*(M462)))*(1+'参数'!$B$42*P462)/'参数'!$J$7)*(1+'参数'!$B$37*('参数'!$B$38-1))</x:f>
        <x:v>52445.746688054394</x:v>
      </x:c>
      <x:c r="X462" s="25" t="n">
        <x:f>('参数'!$B$26+'参数'!$B$27*(D462-1)/99)*'参数'!$K$29*AD462</x:f>
        <x:v>27.24050420168067</x:v>
      </x:c>
      <x:c r="Y462" s="25" t="n">
        <x:f>('参数'!$B$28+'参数'!$B$29*(D462-1)/99)*'参数'!$K$29*AD462*IF(AE462=1,'参数'!$B$51,1)</x:f>
        <x:v>75.66806722689076</x:v>
      </x:c>
      <x:c r="Z462" s="21" t="n">
        <x:f>MIN('参数'!$B$36,U462/(U462+'参数'!$B$35))</x:f>
        <x:v>0.6117560486461108</x:v>
      </x:c>
      <x:c r="AA462" s="18" t="n">
        <x:f>T462*'参数'!$B$30/('参数'!$B$32*'参数'!$B$33)/(1-Z462)*AC462</x:f>
        <x:v>9347.595364617624</x:v>
      </x:c>
      <x:c r="AB462" s="18" t="n">
        <x:f>T462*'参数'!$B$31/'参数'!$B$34/(1-Z462)*AC462</x:f>
        <x:v>18695.190729235248</x:v>
      </x:c>
      <x:c r="AC462" s="15" t="n">
        <x:f>'参数'!$L$29*(1+'参数'!$B$53*(B462-1)/119)</x:f>
        <x:v>1.2774453781512605</x:v>
      </x:c>
      <x:c r="AD462" s="15" t="n">
        <x:f>1+'参数'!$B$52*(B462-1)/119</x:f>
        <x:v>1.1210084033613446</x:v>
      </x:c>
      <x:c r="AE462" s="18" t="n">
        <x:f>IF(MOD(B462,12)=0,1,0)</x:f>
        <x:v>0</x:v>
      </x:c>
    </x:row>
    <x:row r="463" ht="22" customHeight="1">
      <x:c r="A463" s="19" t="str">
        <x:v>地狱</x:v>
      </x:c>
      <x:c r="B463" s="19" t="n">
        <x:v>98</x:v>
      </x:c>
      <x:c r="C463" s="19" t="n">
        <x:f>ROUNDUP(B463/12,0)</x:f>
        <x:v>9</x:v>
      </x:c>
      <x:c r="D463" s="19" t="n">
        <x:f>ROUND(MAX('参数'!$G$29,E463)+(IF(C463&lt;10,INDEX('参数'!$G$37:$P$37,1,MIN(10,C463+1)),'参数'!$H$29)-MAX('参数'!$G$29,E463))*MOD(B463-1,12)/11,0)</x:f>
        <x:v>100</x:v>
      </x:c>
      <x:c r="E463" s="19" t="n">
        <x:f>INDEX('参数'!$G$37:$P$37,1,C463)</x:f>
        <x:v>100</x:v>
      </x:c>
      <x:c r="F463" s="20" t="n">
        <x:f>'参数'!$I$29</x:f>
        <x:v>1.29</x:v>
      </x:c>
      <x:c r="G463" s="19" t="n">
        <x:f>ROUND(V463*X463/'参数'!$B$56,0)</x:f>
        <x:v>403581</x:v>
      </x:c>
      <x:c r="H463" s="19" t="n">
        <x:f>ROUND((AA463+SQRT(AA463^2+4*AA463*'参数'!$B$22*U463))/2,0)</x:f>
        <x:v>14452</x:v>
      </x:c>
      <x:c r="I463" s="19" t="n">
        <x:f>ROUND(Q463*'参数'!$B$23/'参数'!$B$22,0)</x:f>
        <x:v>2008</x:v>
      </x:c>
      <x:c r="J463" s="19" t="n">
        <x:f>ROUND(G463*'参数'!$B$50,0)</x:f>
        <x:v>1210743</x:v>
      </x:c>
      <x:c r="K463" s="19" t="n">
        <x:f>ROUND(W463*Y463,0)</x:f>
        <x:v>3972931</x:v>
      </x:c>
      <x:c r="L463" s="19" t="n">
        <x:f>ROUND((AB463+SQRT(AB463^2+4*AB463*'参数'!$B$22*U463))/2,0)</x:f>
        <x:v>24679</x:v>
      </x:c>
      <x:c r="M463" s="19" t="n">
        <x:f>ROUND(I463*'参数'!$B$24,0)</x:f>
        <x:v>2510</x:v>
      </x:c>
      <x:c r="N463" s="19" t="n">
        <x:f>'参数'!$B$9*'参数'!$B$10^(D463-1)</x:f>
        <x:v>11195.319600498813</x:v>
      </x:c>
      <x:c r="O463" s="19" t="n">
        <x:f>'参数'!$B$18*'参数'!$B$19^(MIN(E463,MAX(1,5*INT(D463/5)))-1)*F463*'参数'!$J$29*P463</x:f>
        <x:v>1897.6106812882254</x:v>
      </x:c>
      <x:c r="P463" s="22" t="n">
        <x:f>MIN(1,(D463-1)/19)</x:f>
        <x:v>1</x:v>
      </x:c>
      <x:c r="Q463" s="19" t="n">
        <x:f>INDEX('角色成长'!$F$6:$F$105,D463)+O463*'参数'!$K$21</x:f>
        <x:v>10042.190441671442</x:v>
      </x:c>
      <x:c r="R463" s="19" t="n">
        <x:f>INDEX('角色成长'!$I$6:$I$105,D463)+O463*'参数'!$K$21</x:f>
        <x:v>8744.190441671442</x:v>
      </x:c>
      <x:c r="S463" s="19" t="n">
        <x:f>INDEX('角色成长'!$L$6:$L$105,D463)+O463*'参数'!$K$21</x:f>
        <x:v>8003.190441671442</x:v>
      </x:c>
      <x:c r="T463" s="19" t="n">
        <x:f>(INDEX('角色成长'!$J$6:$J$105,D463)+O463*'参数'!$L$21)*(1+'参数'!$B$40*P463)</x:f>
        <x:v>113637.65283705847</x:v>
      </x:c>
      <x:c r="U463" s="19" t="n">
        <x:f>(INDEX('角色成长'!$K$6:$K$105,D463)+O463*'参数'!$M$21)*(1+'参数'!$B$41*P463)</x:f>
        <x:v>6302.800561479835</x:v>
      </x:c>
      <x:c r="V463" s="19" t="n">
        <x:f>(('参数'!$K$5*(((Q463*(1+'参数'!$B$39*P463))^2/((Q463*(1+'参数'!$B$39*P463))+'参数'!$B$22*(I463)))*(1+'参数'!$B$42*P463)/'参数'!$J$5+((Q463*'参数'!$B$43*(1+'参数'!$B$39*P463))^2/((Q463*'参数'!$B$43*(1+'参数'!$B$39*P463))+'参数'!$B$22*(I463)))/'参数'!$B$44))+(((R463*(1+'参数'!$B$39*P463))^2/((R463*(1+'参数'!$B$39*P463))+'参数'!$B$22*(I463)))*(1+'参数'!$B$42*P463)/'参数'!$J$6+((R463*'参数'!$B$45*(1+'参数'!$B$39*P463))^2/((R463*'参数'!$B$45*(1+'参数'!$B$39*P463))+'参数'!$B$22*(I463)))/'参数'!$B$46)+((S463*(1+'参数'!$B$39*P463))^2/((S463*(1+'参数'!$B$39*P463))+'参数'!$B$22*(I463)))*(1+'参数'!$B$42*P463)/'参数'!$J$7)*(1+'参数'!$B$37*('参数'!$B$38-1))*'参数'!$B$25</x:f>
        <x:v>68074.69622887956</x:v>
      </x:c>
      <x:c r="W463" s="19" t="n">
        <x:f>(('参数'!$K$5*(((Q463*(1+'参数'!$B$39*P463))^2/((Q463*(1+'参数'!$B$39*P463))+'参数'!$B$22*(M463)))*(1+'参数'!$B$42*P463)/'参数'!$J$5+((Q463*'参数'!$B$43*(1+'参数'!$B$39*P463))^2/((Q463*'参数'!$B$43*(1+'参数'!$B$39*P463))+'参数'!$B$22*(M463)))/'参数'!$B$44))+(((R463*(1+'参数'!$B$39*P463))^2/((R463*(1+'参数'!$B$39*P463))+'参数'!$B$22*(M463)))*(1+'参数'!$B$42*P463)/'参数'!$J$6+((R463*'参数'!$B$45*(1+'参数'!$B$39*P463))^2/((R463*'参数'!$B$45*(1+'参数'!$B$39*P463))+'参数'!$B$22*(M463)))/'参数'!$B$46)+((S463*(1+'参数'!$B$39*P463))^2/((S463*(1+'参数'!$B$39*P463))+'参数'!$B$22*(M463)))*(1+'参数'!$B$42*P463)/'参数'!$J$7)*(1+'参数'!$B$37*('参数'!$B$38-1))</x:f>
        <x:v>52445.746688054394</x:v>
      </x:c>
      <x:c r="X463" s="26" t="n">
        <x:f>('参数'!$B$26+'参数'!$B$27*(D463-1)/99)*'参数'!$K$29*AD463</x:f>
        <x:v>27.271134453781514</x:v>
      </x:c>
      <x:c r="Y463" s="26" t="n">
        <x:f>('参数'!$B$28+'参数'!$B$29*(D463-1)/99)*'参数'!$K$29*AD463*IF(AE463=1,'参数'!$B$51,1)</x:f>
        <x:v>75.7531512605042</x:v>
      </x:c>
      <x:c r="Z463" s="22" t="n">
        <x:f>MIN('参数'!$B$36,U463/(U463+'参数'!$B$35))</x:f>
        <x:v>0.6117560486461108</x:v>
      </x:c>
      <x:c r="AA463" s="19" t="n">
        <x:f>T463*'参数'!$B$30/('参数'!$B$32*'参数'!$B$33)/(1-Z463)*AC463</x:f>
        <x:v>9353.49848767706</x:v>
      </x:c>
      <x:c r="AB463" s="19" t="n">
        <x:f>T463*'参数'!$B$31/'参数'!$B$34/(1-Z463)*AC463</x:f>
        <x:v>18706.99697535412</x:v>
      </x:c>
      <x:c r="AC463" s="20" t="n">
        <x:f>'参数'!$L$29*(1+'参数'!$B$53*(B463-1)/119)</x:f>
        <x:v>1.278252100840336</x:v>
      </x:c>
      <x:c r="AD463" s="20" t="n">
        <x:f>1+'参数'!$B$52*(B463-1)/119</x:f>
        <x:v>1.1222689075630252</x:v>
      </x:c>
      <x:c r="AE463" s="19" t="n">
        <x:f>IF(MOD(B463,12)=0,1,0)</x:f>
        <x:v>0</x:v>
      </x:c>
    </x:row>
    <x:row r="464" ht="22" customHeight="1">
      <x:c r="A464" s="18" t="str">
        <x:v>地狱</x:v>
      </x:c>
      <x:c r="B464" s="18" t="n">
        <x:v>99</x:v>
      </x:c>
      <x:c r="C464" s="18" t="n">
        <x:f>ROUNDUP(B464/12,0)</x:f>
        <x:v>9</x:v>
      </x:c>
      <x:c r="D464" s="18" t="n">
        <x:f>ROUND(MAX('参数'!$G$29,E464)+(IF(C464&lt;10,INDEX('参数'!$G$37:$P$37,1,MIN(10,C464+1)),'参数'!$H$29)-MAX('参数'!$G$29,E464))*MOD(B464-1,12)/11,0)</x:f>
        <x:v>100</x:v>
      </x:c>
      <x:c r="E464" s="18" t="n">
        <x:f>INDEX('参数'!$G$37:$P$37,1,C464)</x:f>
        <x:v>100</x:v>
      </x:c>
      <x:c r="F464" s="15" t="n">
        <x:f>'参数'!$I$29</x:f>
        <x:v>1.29</x:v>
      </x:c>
      <x:c r="G464" s="18" t="n">
        <x:f>ROUND(V464*X464/'参数'!$B$56,0)</x:f>
        <x:v>404035</x:v>
      </x:c>
      <x:c r="H464" s="18" t="n">
        <x:f>ROUND((AA464+SQRT(AA464^2+4*AA464*'参数'!$B$22*U464))/2,0)</x:f>
        <x:v>14459</x:v>
      </x:c>
      <x:c r="I464" s="18" t="n">
        <x:f>ROUND(Q464*'参数'!$B$23/'参数'!$B$22,0)</x:f>
        <x:v>2008</x:v>
      </x:c>
      <x:c r="J464" s="18" t="n">
        <x:f>ROUND(G464*'参数'!$B$50,0)</x:f>
        <x:v>1212105</x:v>
      </x:c>
      <x:c r="K464" s="18" t="n">
        <x:f>ROUND(W464*Y464,0)</x:f>
        <x:v>3977393</x:v>
      </x:c>
      <x:c r="L464" s="18" t="n">
        <x:f>ROUND((AB464+SQRT(AB464^2+4*AB464*'参数'!$B$22*U464))/2,0)</x:f>
        <x:v>24692</x:v>
      </x:c>
      <x:c r="M464" s="18" t="n">
        <x:f>ROUND(I464*'参数'!$B$24,0)</x:f>
        <x:v>2510</x:v>
      </x:c>
      <x:c r="N464" s="18" t="n">
        <x:f>'参数'!$B$9*'参数'!$B$10^(D464-1)</x:f>
        <x:v>11195.319600498813</x:v>
      </x:c>
      <x:c r="O464" s="18" t="n">
        <x:f>'参数'!$B$18*'参数'!$B$19^(MIN(E464,MAX(1,5*INT(D464/5)))-1)*F464*'参数'!$J$29*P464</x:f>
        <x:v>1897.6106812882254</x:v>
      </x:c>
      <x:c r="P464" s="21" t="n">
        <x:f>MIN(1,(D464-1)/19)</x:f>
        <x:v>1</x:v>
      </x:c>
      <x:c r="Q464" s="18" t="n">
        <x:f>INDEX('角色成长'!$F$6:$F$105,D464)+O464*'参数'!$K$21</x:f>
        <x:v>10042.190441671442</x:v>
      </x:c>
      <x:c r="R464" s="18" t="n">
        <x:f>INDEX('角色成长'!$I$6:$I$105,D464)+O464*'参数'!$K$21</x:f>
        <x:v>8744.190441671442</x:v>
      </x:c>
      <x:c r="S464" s="18" t="n">
        <x:f>INDEX('角色成长'!$L$6:$L$105,D464)+O464*'参数'!$K$21</x:f>
        <x:v>8003.190441671442</x:v>
      </x:c>
      <x:c r="T464" s="18" t="n">
        <x:f>(INDEX('角色成长'!$J$6:$J$105,D464)+O464*'参数'!$L$21)*(1+'参数'!$B$40*P464)</x:f>
        <x:v>113637.65283705847</x:v>
      </x:c>
      <x:c r="U464" s="18" t="n">
        <x:f>(INDEX('角色成长'!$K$6:$K$105,D464)+O464*'参数'!$M$21)*(1+'参数'!$B$41*P464)</x:f>
        <x:v>6302.800561479835</x:v>
      </x:c>
      <x:c r="V464" s="18" t="n">
        <x:f>(('参数'!$K$5*(((Q464*(1+'参数'!$B$39*P464))^2/((Q464*(1+'参数'!$B$39*P464))+'参数'!$B$22*(I464)))*(1+'参数'!$B$42*P464)/'参数'!$J$5+((Q464*'参数'!$B$43*(1+'参数'!$B$39*P464))^2/((Q464*'参数'!$B$43*(1+'参数'!$B$39*P464))+'参数'!$B$22*(I464)))/'参数'!$B$44))+(((R464*(1+'参数'!$B$39*P464))^2/((R464*(1+'参数'!$B$39*P464))+'参数'!$B$22*(I464)))*(1+'参数'!$B$42*P464)/'参数'!$J$6+((R464*'参数'!$B$45*(1+'参数'!$B$39*P464))^2/((R464*'参数'!$B$45*(1+'参数'!$B$39*P464))+'参数'!$B$22*(I464)))/'参数'!$B$46)+((S464*(1+'参数'!$B$39*P464))^2/((S464*(1+'参数'!$B$39*P464))+'参数'!$B$22*(I464)))*(1+'参数'!$B$42*P464)/'参数'!$J$7)*(1+'参数'!$B$37*('参数'!$B$38-1))*'参数'!$B$25</x:f>
        <x:v>68074.69622887956</x:v>
      </x:c>
      <x:c r="W464" s="18" t="n">
        <x:f>(('参数'!$K$5*(((Q464*(1+'参数'!$B$39*P464))^2/((Q464*(1+'参数'!$B$39*P464))+'参数'!$B$22*(M464)))*(1+'参数'!$B$42*P464)/'参数'!$J$5+((Q464*'参数'!$B$43*(1+'参数'!$B$39*P464))^2/((Q464*'参数'!$B$43*(1+'参数'!$B$39*P464))+'参数'!$B$22*(M464)))/'参数'!$B$44))+(((R464*(1+'参数'!$B$39*P464))^2/((R464*(1+'参数'!$B$39*P464))+'参数'!$B$22*(M464)))*(1+'参数'!$B$42*P464)/'参数'!$J$6+((R464*'参数'!$B$45*(1+'参数'!$B$39*P464))^2/((R464*'参数'!$B$45*(1+'参数'!$B$39*P464))+'参数'!$B$22*(M464)))/'参数'!$B$46)+((S464*(1+'参数'!$B$39*P464))^2/((S464*(1+'参数'!$B$39*P464))+'参数'!$B$22*(M464)))*(1+'参数'!$B$42*P464)/'参数'!$J$7)*(1+'参数'!$B$37*('参数'!$B$38-1))</x:f>
        <x:v>52445.746688054394</x:v>
      </x:c>
      <x:c r="X464" s="25" t="n">
        <x:f>('参数'!$B$26+'参数'!$B$27*(D464-1)/99)*'参数'!$K$29*AD464</x:f>
        <x:v>27.301764705882356</x:v>
      </x:c>
      <x:c r="Y464" s="25" t="n">
        <x:f>('参数'!$B$28+'参数'!$B$29*(D464-1)/99)*'参数'!$K$29*AD464*IF(AE464=1,'参数'!$B$51,1)</x:f>
        <x:v>75.83823529411765</x:v>
      </x:c>
      <x:c r="Z464" s="21" t="n">
        <x:f>MIN('参数'!$B$36,U464/(U464+'参数'!$B$35))</x:f>
        <x:v>0.6117560486461108</x:v>
      </x:c>
      <x:c r="AA464" s="18" t="n">
        <x:f>T464*'参数'!$B$30/('参数'!$B$32*'参数'!$B$33)/(1-Z464)*AC464</x:f>
        <x:v>9359.401610736499</x:v>
      </x:c>
      <x:c r="AB464" s="18" t="n">
        <x:f>T464*'参数'!$B$31/'参数'!$B$34/(1-Z464)*AC464</x:f>
        <x:v>18718.803221472997</x:v>
      </x:c>
      <x:c r="AC464" s="15" t="n">
        <x:f>'参数'!$L$29*(1+'参数'!$B$53*(B464-1)/119)</x:f>
        <x:v>1.2790588235294118</x:v>
      </x:c>
      <x:c r="AD464" s="15" t="n">
        <x:f>1+'参数'!$B$52*(B464-1)/119</x:f>
        <x:v>1.1235294117647059</x:v>
      </x:c>
      <x:c r="AE464" s="18" t="n">
        <x:f>IF(MOD(B464,12)=0,1,0)</x:f>
        <x:v>0</x:v>
      </x:c>
    </x:row>
    <x:row r="465" ht="22" customHeight="1">
      <x:c r="A465" s="19" t="str">
        <x:v>地狱</x:v>
      </x:c>
      <x:c r="B465" s="19" t="n">
        <x:v>100</x:v>
      </x:c>
      <x:c r="C465" s="19" t="n">
        <x:f>ROUNDUP(B465/12,0)</x:f>
        <x:v>9</x:v>
      </x:c>
      <x:c r="D465" s="19" t="n">
        <x:f>ROUND(MAX('参数'!$G$29,E465)+(IF(C465&lt;10,INDEX('参数'!$G$37:$P$37,1,MIN(10,C465+1)),'参数'!$H$29)-MAX('参数'!$G$29,E465))*MOD(B465-1,12)/11,0)</x:f>
        <x:v>100</x:v>
      </x:c>
      <x:c r="E465" s="19" t="n">
        <x:f>INDEX('参数'!$G$37:$P$37,1,C465)</x:f>
        <x:v>100</x:v>
      </x:c>
      <x:c r="F465" s="20" t="n">
        <x:f>'参数'!$I$29</x:f>
        <x:v>1.29</x:v>
      </x:c>
      <x:c r="G465" s="19" t="n">
        <x:f>ROUND(V465*X465/'参数'!$B$56,0)</x:f>
        <x:v>404488</x:v>
      </x:c>
      <x:c r="H465" s="19" t="n">
        <x:f>ROUND((AA465+SQRT(AA465^2+4*AA465*'参数'!$B$22*U465))/2,0)</x:f>
        <x:v>14466</x:v>
      </x:c>
      <x:c r="I465" s="19" t="n">
        <x:f>ROUND(Q465*'参数'!$B$23/'参数'!$B$22,0)</x:f>
        <x:v>2008</x:v>
      </x:c>
      <x:c r="J465" s="19" t="n">
        <x:f>ROUND(G465*'参数'!$B$50,0)</x:f>
        <x:v>1213464</x:v>
      </x:c>
      <x:c r="K465" s="19" t="n">
        <x:f>ROUND(W465*Y465,0)</x:f>
        <x:v>3981855</x:v>
      </x:c>
      <x:c r="L465" s="19" t="n">
        <x:f>ROUND((AB465+SQRT(AB465^2+4*AB465*'参数'!$B$22*U465))/2,0)</x:f>
        <x:v>24704</x:v>
      </x:c>
      <x:c r="M465" s="19" t="n">
        <x:f>ROUND(I465*'参数'!$B$24,0)</x:f>
        <x:v>2510</x:v>
      </x:c>
      <x:c r="N465" s="19" t="n">
        <x:f>'参数'!$B$9*'参数'!$B$10^(D465-1)</x:f>
        <x:v>11195.319600498813</x:v>
      </x:c>
      <x:c r="O465" s="19" t="n">
        <x:f>'参数'!$B$18*'参数'!$B$19^(MIN(E465,MAX(1,5*INT(D465/5)))-1)*F465*'参数'!$J$29*P465</x:f>
        <x:v>1897.6106812882254</x:v>
      </x:c>
      <x:c r="P465" s="22" t="n">
        <x:f>MIN(1,(D465-1)/19)</x:f>
        <x:v>1</x:v>
      </x:c>
      <x:c r="Q465" s="19" t="n">
        <x:f>INDEX('角色成长'!$F$6:$F$105,D465)+O465*'参数'!$K$21</x:f>
        <x:v>10042.190441671442</x:v>
      </x:c>
      <x:c r="R465" s="19" t="n">
        <x:f>INDEX('角色成长'!$I$6:$I$105,D465)+O465*'参数'!$K$21</x:f>
        <x:v>8744.190441671442</x:v>
      </x:c>
      <x:c r="S465" s="19" t="n">
        <x:f>INDEX('角色成长'!$L$6:$L$105,D465)+O465*'参数'!$K$21</x:f>
        <x:v>8003.190441671442</x:v>
      </x:c>
      <x:c r="T465" s="19" t="n">
        <x:f>(INDEX('角色成长'!$J$6:$J$105,D465)+O465*'参数'!$L$21)*(1+'参数'!$B$40*P465)</x:f>
        <x:v>113637.65283705847</x:v>
      </x:c>
      <x:c r="U465" s="19" t="n">
        <x:f>(INDEX('角色成长'!$K$6:$K$105,D465)+O465*'参数'!$M$21)*(1+'参数'!$B$41*P465)</x:f>
        <x:v>6302.800561479835</x:v>
      </x:c>
      <x:c r="V465" s="19" t="n">
        <x:f>(('参数'!$K$5*(((Q465*(1+'参数'!$B$39*P465))^2/((Q465*(1+'参数'!$B$39*P465))+'参数'!$B$22*(I465)))*(1+'参数'!$B$42*P465)/'参数'!$J$5+((Q465*'参数'!$B$43*(1+'参数'!$B$39*P465))^2/((Q465*'参数'!$B$43*(1+'参数'!$B$39*P465))+'参数'!$B$22*(I465)))/'参数'!$B$44))+(((R465*(1+'参数'!$B$39*P465))^2/((R465*(1+'参数'!$B$39*P465))+'参数'!$B$22*(I465)))*(1+'参数'!$B$42*P465)/'参数'!$J$6+((R465*'参数'!$B$45*(1+'参数'!$B$39*P465))^2/((R465*'参数'!$B$45*(1+'参数'!$B$39*P465))+'参数'!$B$22*(I465)))/'参数'!$B$46)+((S465*(1+'参数'!$B$39*P465))^2/((S465*(1+'参数'!$B$39*P465))+'参数'!$B$22*(I465)))*(1+'参数'!$B$42*P465)/'参数'!$J$7)*(1+'参数'!$B$37*('参数'!$B$38-1))*'参数'!$B$25</x:f>
        <x:v>68074.69622887956</x:v>
      </x:c>
      <x:c r="W465" s="19" t="n">
        <x:f>(('参数'!$K$5*(((Q465*(1+'参数'!$B$39*P465))^2/((Q465*(1+'参数'!$B$39*P465))+'参数'!$B$22*(M465)))*(1+'参数'!$B$42*P465)/'参数'!$J$5+((Q465*'参数'!$B$43*(1+'参数'!$B$39*P465))^2/((Q465*'参数'!$B$43*(1+'参数'!$B$39*P465))+'参数'!$B$22*(M465)))/'参数'!$B$44))+(((R465*(1+'参数'!$B$39*P465))^2/((R465*(1+'参数'!$B$39*P465))+'参数'!$B$22*(M465)))*(1+'参数'!$B$42*P465)/'参数'!$J$6+((R465*'参数'!$B$45*(1+'参数'!$B$39*P465))^2/((R465*'参数'!$B$45*(1+'参数'!$B$39*P465))+'参数'!$B$22*(M465)))/'参数'!$B$46)+((S465*(1+'参数'!$B$39*P465))^2/((S465*(1+'参数'!$B$39*P465))+'参数'!$B$22*(M465)))*(1+'参数'!$B$42*P465)/'参数'!$J$7)*(1+'参数'!$B$37*('参数'!$B$38-1))</x:f>
        <x:v>52445.746688054394</x:v>
      </x:c>
      <x:c r="X465" s="26" t="n">
        <x:f>('参数'!$B$26+'参数'!$B$27*(D465-1)/99)*'参数'!$K$29*AD465</x:f>
        <x:v>27.332394957983194</x:v>
      </x:c>
      <x:c r="Y465" s="26" t="n">
        <x:f>('参数'!$B$28+'参数'!$B$29*(D465-1)/99)*'参数'!$K$29*AD465*IF(AE465=1,'参数'!$B$51,1)</x:f>
        <x:v>75.9233193277311</x:v>
      </x:c>
      <x:c r="Z465" s="22" t="n">
        <x:f>MIN('参数'!$B$36,U465/(U465+'参数'!$B$35))</x:f>
        <x:v>0.6117560486461108</x:v>
      </x:c>
      <x:c r="AA465" s="19" t="n">
        <x:f>T465*'参数'!$B$30/('参数'!$B$32*'参数'!$B$33)/(1-Z465)*AC465</x:f>
        <x:v>9365.304733795932</x:v>
      </x:c>
      <x:c r="AB465" s="19" t="n">
        <x:f>T465*'参数'!$B$31/'参数'!$B$34/(1-Z465)*AC465</x:f>
        <x:v>18730.609467591865</x:v>
      </x:c>
      <x:c r="AC465" s="20" t="n">
        <x:f>'参数'!$L$29*(1+'参数'!$B$53*(B465-1)/119)</x:f>
        <x:v>1.2798655462184871</x:v>
      </x:c>
      <x:c r="AD465" s="20" t="n">
        <x:f>1+'参数'!$B$52*(B465-1)/119</x:f>
        <x:v>1.1247899159663866</x:v>
      </x:c>
      <x:c r="AE465" s="19" t="n">
        <x:f>IF(MOD(B465,12)=0,1,0)</x:f>
        <x:v>0</x:v>
      </x:c>
    </x:row>
    <x:row r="466" ht="22" customHeight="1">
      <x:c r="A466" s="18" t="str">
        <x:v>地狱</x:v>
      </x:c>
      <x:c r="B466" s="18" t="n">
        <x:v>101</x:v>
      </x:c>
      <x:c r="C466" s="18" t="n">
        <x:f>ROUNDUP(B466/12,0)</x:f>
        <x:v>9</x:v>
      </x:c>
      <x:c r="D466" s="18" t="n">
        <x:f>ROUND(MAX('参数'!$G$29,E466)+(IF(C466&lt;10,INDEX('参数'!$G$37:$P$37,1,MIN(10,C466+1)),'参数'!$H$29)-MAX('参数'!$G$29,E466))*MOD(B466-1,12)/11,0)</x:f>
        <x:v>100</x:v>
      </x:c>
      <x:c r="E466" s="18" t="n">
        <x:f>INDEX('参数'!$G$37:$P$37,1,C466)</x:f>
        <x:v>100</x:v>
      </x:c>
      <x:c r="F466" s="15" t="n">
        <x:f>'参数'!$I$29</x:f>
        <x:v>1.29</x:v>
      </x:c>
      <x:c r="G466" s="18" t="n">
        <x:f>ROUND(V466*X466/'参数'!$B$56,0)</x:f>
        <x:v>404941</x:v>
      </x:c>
      <x:c r="H466" s="18" t="n">
        <x:f>ROUND((AA466+SQRT(AA466^2+4*AA466*'参数'!$B$22*U466))/2,0)</x:f>
        <x:v>14473</x:v>
      </x:c>
      <x:c r="I466" s="18" t="n">
        <x:f>ROUND(Q466*'参数'!$B$23/'参数'!$B$22,0)</x:f>
        <x:v>2008</x:v>
      </x:c>
      <x:c r="J466" s="18" t="n">
        <x:f>ROUND(G466*'参数'!$B$50,0)</x:f>
        <x:v>1214823</x:v>
      </x:c>
      <x:c r="K466" s="18" t="n">
        <x:f>ROUND(W466*Y466,0)</x:f>
        <x:v>3986317</x:v>
      </x:c>
      <x:c r="L466" s="18" t="n">
        <x:f>ROUND((AB466+SQRT(AB466^2+4*AB466*'参数'!$B$22*U466))/2,0)</x:f>
        <x:v>24717</x:v>
      </x:c>
      <x:c r="M466" s="18" t="n">
        <x:f>ROUND(I466*'参数'!$B$24,0)</x:f>
        <x:v>2510</x:v>
      </x:c>
      <x:c r="N466" s="18" t="n">
        <x:f>'参数'!$B$9*'参数'!$B$10^(D466-1)</x:f>
        <x:v>11195.319600498813</x:v>
      </x:c>
      <x:c r="O466" s="18" t="n">
        <x:f>'参数'!$B$18*'参数'!$B$19^(MIN(E466,MAX(1,5*INT(D466/5)))-1)*F466*'参数'!$J$29*P466</x:f>
        <x:v>1897.6106812882254</x:v>
      </x:c>
      <x:c r="P466" s="21" t="n">
        <x:f>MIN(1,(D466-1)/19)</x:f>
        <x:v>1</x:v>
      </x:c>
      <x:c r="Q466" s="18" t="n">
        <x:f>INDEX('角色成长'!$F$6:$F$105,D466)+O466*'参数'!$K$21</x:f>
        <x:v>10042.190441671442</x:v>
      </x:c>
      <x:c r="R466" s="18" t="n">
        <x:f>INDEX('角色成长'!$I$6:$I$105,D466)+O466*'参数'!$K$21</x:f>
        <x:v>8744.190441671442</x:v>
      </x:c>
      <x:c r="S466" s="18" t="n">
        <x:f>INDEX('角色成长'!$L$6:$L$105,D466)+O466*'参数'!$K$21</x:f>
        <x:v>8003.190441671442</x:v>
      </x:c>
      <x:c r="T466" s="18" t="n">
        <x:f>(INDEX('角色成长'!$J$6:$J$105,D466)+O466*'参数'!$L$21)*(1+'参数'!$B$40*P466)</x:f>
        <x:v>113637.65283705847</x:v>
      </x:c>
      <x:c r="U466" s="18" t="n">
        <x:f>(INDEX('角色成长'!$K$6:$K$105,D466)+O466*'参数'!$M$21)*(1+'参数'!$B$41*P466)</x:f>
        <x:v>6302.800561479835</x:v>
      </x:c>
      <x:c r="V466" s="18" t="n">
        <x:f>(('参数'!$K$5*(((Q466*(1+'参数'!$B$39*P466))^2/((Q466*(1+'参数'!$B$39*P466))+'参数'!$B$22*(I466)))*(1+'参数'!$B$42*P466)/'参数'!$J$5+((Q466*'参数'!$B$43*(1+'参数'!$B$39*P466))^2/((Q466*'参数'!$B$43*(1+'参数'!$B$39*P466))+'参数'!$B$22*(I466)))/'参数'!$B$44))+(((R466*(1+'参数'!$B$39*P466))^2/((R466*(1+'参数'!$B$39*P466))+'参数'!$B$22*(I466)))*(1+'参数'!$B$42*P466)/'参数'!$J$6+((R466*'参数'!$B$45*(1+'参数'!$B$39*P466))^2/((R466*'参数'!$B$45*(1+'参数'!$B$39*P466))+'参数'!$B$22*(I466)))/'参数'!$B$46)+((S466*(1+'参数'!$B$39*P466))^2/((S466*(1+'参数'!$B$39*P466))+'参数'!$B$22*(I466)))*(1+'参数'!$B$42*P466)/'参数'!$J$7)*(1+'参数'!$B$37*('参数'!$B$38-1))*'参数'!$B$25</x:f>
        <x:v>68074.69622887956</x:v>
      </x:c>
      <x:c r="W466" s="18" t="n">
        <x:f>(('参数'!$K$5*(((Q466*(1+'参数'!$B$39*P466))^2/((Q466*(1+'参数'!$B$39*P466))+'参数'!$B$22*(M466)))*(1+'参数'!$B$42*P466)/'参数'!$J$5+((Q466*'参数'!$B$43*(1+'参数'!$B$39*P466))^2/((Q466*'参数'!$B$43*(1+'参数'!$B$39*P466))+'参数'!$B$22*(M466)))/'参数'!$B$44))+(((R466*(1+'参数'!$B$39*P466))^2/((R466*(1+'参数'!$B$39*P466))+'参数'!$B$22*(M466)))*(1+'参数'!$B$42*P466)/'参数'!$J$6+((R466*'参数'!$B$45*(1+'参数'!$B$39*P466))^2/((R466*'参数'!$B$45*(1+'参数'!$B$39*P466))+'参数'!$B$22*(M466)))/'参数'!$B$46)+((S466*(1+'参数'!$B$39*P466))^2/((S466*(1+'参数'!$B$39*P466))+'参数'!$B$22*(M466)))*(1+'参数'!$B$42*P466)/'参数'!$J$7)*(1+'参数'!$B$37*('参数'!$B$38-1))</x:f>
        <x:v>52445.746688054394</x:v>
      </x:c>
      <x:c r="X466" s="25" t="n">
        <x:f>('参数'!$B$26+'参数'!$B$27*(D466-1)/99)*'参数'!$K$29*AD466</x:f>
        <x:v>27.363025210084036</x:v>
      </x:c>
      <x:c r="Y466" s="25" t="n">
        <x:f>('参数'!$B$28+'参数'!$B$29*(D466-1)/99)*'参数'!$K$29*AD466*IF(AE466=1,'参数'!$B$51,1)</x:f>
        <x:v>76.00840336134453</x:v>
      </x:c>
      <x:c r="Z466" s="21" t="n">
        <x:f>MIN('参数'!$B$36,U466/(U466+'参数'!$B$35))</x:f>
        <x:v>0.6117560486461108</x:v>
      </x:c>
      <x:c r="AA466" s="18" t="n">
        <x:f>T466*'参数'!$B$30/('参数'!$B$32*'参数'!$B$33)/(1-Z466)*AC466</x:f>
        <x:v>9371.20785685537</x:v>
      </x:c>
      <x:c r="AB466" s="18" t="n">
        <x:f>T466*'参数'!$B$31/'参数'!$B$34/(1-Z466)*AC466</x:f>
        <x:v>18742.41571371074</x:v>
      </x:c>
      <x:c r="AC466" s="15" t="n">
        <x:f>'参数'!$L$29*(1+'参数'!$B$53*(B466-1)/119)</x:f>
        <x:v>1.280672268907563</x:v>
      </x:c>
      <x:c r="AD466" s="15" t="n">
        <x:f>1+'参数'!$B$52*(B466-1)/119</x:f>
        <x:v>1.1260504201680672</x:v>
      </x:c>
      <x:c r="AE466" s="18" t="n">
        <x:f>IF(MOD(B466,12)=0,1,0)</x:f>
        <x:v>0</x:v>
      </x:c>
    </x:row>
    <x:row r="467" ht="22" customHeight="1">
      <x:c r="A467" s="19" t="str">
        <x:v>地狱</x:v>
      </x:c>
      <x:c r="B467" s="19" t="n">
        <x:v>102</x:v>
      </x:c>
      <x:c r="C467" s="19" t="n">
        <x:f>ROUNDUP(B467/12,0)</x:f>
        <x:v>9</x:v>
      </x:c>
      <x:c r="D467" s="19" t="n">
        <x:f>ROUND(MAX('参数'!$G$29,E467)+(IF(C467&lt;10,INDEX('参数'!$G$37:$P$37,1,MIN(10,C467+1)),'参数'!$H$29)-MAX('参数'!$G$29,E467))*MOD(B467-1,12)/11,0)</x:f>
        <x:v>100</x:v>
      </x:c>
      <x:c r="E467" s="19" t="n">
        <x:f>INDEX('参数'!$G$37:$P$37,1,C467)</x:f>
        <x:v>100</x:v>
      </x:c>
      <x:c r="F467" s="20" t="n">
        <x:f>'参数'!$I$29</x:f>
        <x:v>1.29</x:v>
      </x:c>
      <x:c r="G467" s="19" t="n">
        <x:f>ROUND(V467*X467/'参数'!$B$56,0)</x:f>
        <x:v>405395</x:v>
      </x:c>
      <x:c r="H467" s="19" t="n">
        <x:f>ROUND((AA467+SQRT(AA467^2+4*AA467*'参数'!$B$22*U467))/2,0)</x:f>
        <x:v>14479</x:v>
      </x:c>
      <x:c r="I467" s="19" t="n">
        <x:f>ROUND(Q467*'参数'!$B$23/'参数'!$B$22,0)</x:f>
        <x:v>2008</x:v>
      </x:c>
      <x:c r="J467" s="19" t="n">
        <x:f>ROUND(G467*'参数'!$B$50,0)</x:f>
        <x:v>1216185</x:v>
      </x:c>
      <x:c r="K467" s="19" t="n">
        <x:f>ROUND(W467*Y467,0)</x:f>
        <x:v>3990780</x:v>
      </x:c>
      <x:c r="L467" s="19" t="n">
        <x:f>ROUND((AB467+SQRT(AB467^2+4*AB467*'参数'!$B$22*U467))/2,0)</x:f>
        <x:v>24729</x:v>
      </x:c>
      <x:c r="M467" s="19" t="n">
        <x:f>ROUND(I467*'参数'!$B$24,0)</x:f>
        <x:v>2510</x:v>
      </x:c>
      <x:c r="N467" s="19" t="n">
        <x:f>'参数'!$B$9*'参数'!$B$10^(D467-1)</x:f>
        <x:v>11195.319600498813</x:v>
      </x:c>
      <x:c r="O467" s="19" t="n">
        <x:f>'参数'!$B$18*'参数'!$B$19^(MIN(E467,MAX(1,5*INT(D467/5)))-1)*F467*'参数'!$J$29*P467</x:f>
        <x:v>1897.6106812882254</x:v>
      </x:c>
      <x:c r="P467" s="22" t="n">
        <x:f>MIN(1,(D467-1)/19)</x:f>
        <x:v>1</x:v>
      </x:c>
      <x:c r="Q467" s="19" t="n">
        <x:f>INDEX('角色成长'!$F$6:$F$105,D467)+O467*'参数'!$K$21</x:f>
        <x:v>10042.190441671442</x:v>
      </x:c>
      <x:c r="R467" s="19" t="n">
        <x:f>INDEX('角色成长'!$I$6:$I$105,D467)+O467*'参数'!$K$21</x:f>
        <x:v>8744.190441671442</x:v>
      </x:c>
      <x:c r="S467" s="19" t="n">
        <x:f>INDEX('角色成长'!$L$6:$L$105,D467)+O467*'参数'!$K$21</x:f>
        <x:v>8003.190441671442</x:v>
      </x:c>
      <x:c r="T467" s="19" t="n">
        <x:f>(INDEX('角色成长'!$J$6:$J$105,D467)+O467*'参数'!$L$21)*(1+'参数'!$B$40*P467)</x:f>
        <x:v>113637.65283705847</x:v>
      </x:c>
      <x:c r="U467" s="19" t="n">
        <x:f>(INDEX('角色成长'!$K$6:$K$105,D467)+O467*'参数'!$M$21)*(1+'参数'!$B$41*P467)</x:f>
        <x:v>6302.800561479835</x:v>
      </x:c>
      <x:c r="V467" s="19" t="n">
        <x:f>(('参数'!$K$5*(((Q467*(1+'参数'!$B$39*P467))^2/((Q467*(1+'参数'!$B$39*P467))+'参数'!$B$22*(I467)))*(1+'参数'!$B$42*P467)/'参数'!$J$5+((Q467*'参数'!$B$43*(1+'参数'!$B$39*P467))^2/((Q467*'参数'!$B$43*(1+'参数'!$B$39*P467))+'参数'!$B$22*(I467)))/'参数'!$B$44))+(((R467*(1+'参数'!$B$39*P467))^2/((R467*(1+'参数'!$B$39*P467))+'参数'!$B$22*(I467)))*(1+'参数'!$B$42*P467)/'参数'!$J$6+((R467*'参数'!$B$45*(1+'参数'!$B$39*P467))^2/((R467*'参数'!$B$45*(1+'参数'!$B$39*P467))+'参数'!$B$22*(I467)))/'参数'!$B$46)+((S467*(1+'参数'!$B$39*P467))^2/((S467*(1+'参数'!$B$39*P467))+'参数'!$B$22*(I467)))*(1+'参数'!$B$42*P467)/'参数'!$J$7)*(1+'参数'!$B$37*('参数'!$B$38-1))*'参数'!$B$25</x:f>
        <x:v>68074.69622887956</x:v>
      </x:c>
      <x:c r="W467" s="19" t="n">
        <x:f>(('参数'!$K$5*(((Q467*(1+'参数'!$B$39*P467))^2/((Q467*(1+'参数'!$B$39*P467))+'参数'!$B$22*(M467)))*(1+'参数'!$B$42*P467)/'参数'!$J$5+((Q467*'参数'!$B$43*(1+'参数'!$B$39*P467))^2/((Q467*'参数'!$B$43*(1+'参数'!$B$39*P467))+'参数'!$B$22*(M467)))/'参数'!$B$44))+(((R467*(1+'参数'!$B$39*P467))^2/((R467*(1+'参数'!$B$39*P467))+'参数'!$B$22*(M467)))*(1+'参数'!$B$42*P467)/'参数'!$J$6+((R467*'参数'!$B$45*(1+'参数'!$B$39*P467))^2/((R467*'参数'!$B$45*(1+'参数'!$B$39*P467))+'参数'!$B$22*(M467)))/'参数'!$B$46)+((S467*(1+'参数'!$B$39*P467))^2/((S467*(1+'参数'!$B$39*P467))+'参数'!$B$22*(M467)))*(1+'参数'!$B$42*P467)/'参数'!$J$7)*(1+'参数'!$B$37*('参数'!$B$38-1))</x:f>
        <x:v>52445.746688054394</x:v>
      </x:c>
      <x:c r="X467" s="26" t="n">
        <x:f>('参数'!$B$26+'参数'!$B$27*(D467-1)/99)*'参数'!$K$29*AD467</x:f>
        <x:v>27.393655462184874</x:v>
      </x:c>
      <x:c r="Y467" s="26" t="n">
        <x:f>('参数'!$B$28+'参数'!$B$29*(D467-1)/99)*'参数'!$K$29*AD467*IF(AE467=1,'参数'!$B$51,1)</x:f>
        <x:v>76.09348739495799</x:v>
      </x:c>
      <x:c r="Z467" s="22" t="n">
        <x:f>MIN('参数'!$B$36,U467/(U467+'参数'!$B$35))</x:f>
        <x:v>0.6117560486461108</x:v>
      </x:c>
      <x:c r="AA467" s="19" t="n">
        <x:f>T467*'参数'!$B$30/('参数'!$B$32*'参数'!$B$33)/(1-Z467)*AC467</x:f>
        <x:v>9377.110979914807</x:v>
      </x:c>
      <x:c r="AB467" s="19" t="n">
        <x:f>T467*'参数'!$B$31/'参数'!$B$34/(1-Z467)*AC467</x:f>
        <x:v>18754.221959829614</x:v>
      </x:c>
      <x:c r="AC467" s="20" t="n">
        <x:f>'参数'!$L$29*(1+'参数'!$B$53*(B467-1)/119)</x:f>
        <x:v>1.2814789915966387</x:v>
      </x:c>
      <x:c r="AD467" s="20" t="n">
        <x:f>1+'参数'!$B$52*(B467-1)/119</x:f>
        <x:v>1.127310924369748</x:v>
      </x:c>
      <x:c r="AE467" s="19" t="n">
        <x:f>IF(MOD(B467,12)=0,1,0)</x:f>
        <x:v>0</x:v>
      </x:c>
    </x:row>
    <x:row r="468" ht="22" customHeight="1">
      <x:c r="A468" s="18" t="str">
        <x:v>地狱</x:v>
      </x:c>
      <x:c r="B468" s="18" t="n">
        <x:v>103</x:v>
      </x:c>
      <x:c r="C468" s="18" t="n">
        <x:f>ROUNDUP(B468/12,0)</x:f>
        <x:v>9</x:v>
      </x:c>
      <x:c r="D468" s="18" t="n">
        <x:f>ROUND(MAX('参数'!$G$29,E468)+(IF(C468&lt;10,INDEX('参数'!$G$37:$P$37,1,MIN(10,C468+1)),'参数'!$H$29)-MAX('参数'!$G$29,E468))*MOD(B468-1,12)/11,0)</x:f>
        <x:v>100</x:v>
      </x:c>
      <x:c r="E468" s="18" t="n">
        <x:f>INDEX('参数'!$G$37:$P$37,1,C468)</x:f>
        <x:v>100</x:v>
      </x:c>
      <x:c r="F468" s="15" t="n">
        <x:f>'参数'!$I$29</x:f>
        <x:v>1.29</x:v>
      </x:c>
      <x:c r="G468" s="18" t="n">
        <x:f>ROUND(V468*X468/'参数'!$B$56,0)</x:f>
        <x:v>405848</x:v>
      </x:c>
      <x:c r="H468" s="18" t="n">
        <x:f>ROUND((AA468+SQRT(AA468^2+4*AA468*'参数'!$B$22*U468))/2,0)</x:f>
        <x:v>14486</x:v>
      </x:c>
      <x:c r="I468" s="18" t="n">
        <x:f>ROUND(Q468*'参数'!$B$23/'参数'!$B$22,0)</x:f>
        <x:v>2008</x:v>
      </x:c>
      <x:c r="J468" s="18" t="n">
        <x:f>ROUND(G468*'参数'!$B$50,0)</x:f>
        <x:v>1217544</x:v>
      </x:c>
      <x:c r="K468" s="18" t="n">
        <x:f>ROUND(W468*Y468,0)</x:f>
        <x:v>3995242</x:v>
      </x:c>
      <x:c r="L468" s="18" t="n">
        <x:f>ROUND((AB468+SQRT(AB468^2+4*AB468*'参数'!$B$22*U468))/2,0)</x:f>
        <x:v>24742</x:v>
      </x:c>
      <x:c r="M468" s="18" t="n">
        <x:f>ROUND(I468*'参数'!$B$24,0)</x:f>
        <x:v>2510</x:v>
      </x:c>
      <x:c r="N468" s="18" t="n">
        <x:f>'参数'!$B$9*'参数'!$B$10^(D468-1)</x:f>
        <x:v>11195.319600498813</x:v>
      </x:c>
      <x:c r="O468" s="18" t="n">
        <x:f>'参数'!$B$18*'参数'!$B$19^(MIN(E468,MAX(1,5*INT(D468/5)))-1)*F468*'参数'!$J$29*P468</x:f>
        <x:v>1897.6106812882254</x:v>
      </x:c>
      <x:c r="P468" s="21" t="n">
        <x:f>MIN(1,(D468-1)/19)</x:f>
        <x:v>1</x:v>
      </x:c>
      <x:c r="Q468" s="18" t="n">
        <x:f>INDEX('角色成长'!$F$6:$F$105,D468)+O468*'参数'!$K$21</x:f>
        <x:v>10042.190441671442</x:v>
      </x:c>
      <x:c r="R468" s="18" t="n">
        <x:f>INDEX('角色成长'!$I$6:$I$105,D468)+O468*'参数'!$K$21</x:f>
        <x:v>8744.190441671442</x:v>
      </x:c>
      <x:c r="S468" s="18" t="n">
        <x:f>INDEX('角色成长'!$L$6:$L$105,D468)+O468*'参数'!$K$21</x:f>
        <x:v>8003.190441671442</x:v>
      </x:c>
      <x:c r="T468" s="18" t="n">
        <x:f>(INDEX('角色成长'!$J$6:$J$105,D468)+O468*'参数'!$L$21)*(1+'参数'!$B$40*P468)</x:f>
        <x:v>113637.65283705847</x:v>
      </x:c>
      <x:c r="U468" s="18" t="n">
        <x:f>(INDEX('角色成长'!$K$6:$K$105,D468)+O468*'参数'!$M$21)*(1+'参数'!$B$41*P468)</x:f>
        <x:v>6302.800561479835</x:v>
      </x:c>
      <x:c r="V468" s="18" t="n">
        <x:f>(('参数'!$K$5*(((Q468*(1+'参数'!$B$39*P468))^2/((Q468*(1+'参数'!$B$39*P468))+'参数'!$B$22*(I468)))*(1+'参数'!$B$42*P468)/'参数'!$J$5+((Q468*'参数'!$B$43*(1+'参数'!$B$39*P468))^2/((Q468*'参数'!$B$43*(1+'参数'!$B$39*P468))+'参数'!$B$22*(I468)))/'参数'!$B$44))+(((R468*(1+'参数'!$B$39*P468))^2/((R468*(1+'参数'!$B$39*P468))+'参数'!$B$22*(I468)))*(1+'参数'!$B$42*P468)/'参数'!$J$6+((R468*'参数'!$B$45*(1+'参数'!$B$39*P468))^2/((R468*'参数'!$B$45*(1+'参数'!$B$39*P468))+'参数'!$B$22*(I468)))/'参数'!$B$46)+((S468*(1+'参数'!$B$39*P468))^2/((S468*(1+'参数'!$B$39*P468))+'参数'!$B$22*(I468)))*(1+'参数'!$B$42*P468)/'参数'!$J$7)*(1+'参数'!$B$37*('参数'!$B$38-1))*'参数'!$B$25</x:f>
        <x:v>68074.69622887956</x:v>
      </x:c>
      <x:c r="W468" s="18" t="n">
        <x:f>(('参数'!$K$5*(((Q468*(1+'参数'!$B$39*P468))^2/((Q468*(1+'参数'!$B$39*P468))+'参数'!$B$22*(M468)))*(1+'参数'!$B$42*P468)/'参数'!$J$5+((Q468*'参数'!$B$43*(1+'参数'!$B$39*P468))^2/((Q468*'参数'!$B$43*(1+'参数'!$B$39*P468))+'参数'!$B$22*(M468)))/'参数'!$B$44))+(((R468*(1+'参数'!$B$39*P468))^2/((R468*(1+'参数'!$B$39*P468))+'参数'!$B$22*(M468)))*(1+'参数'!$B$42*P468)/'参数'!$J$6+((R468*'参数'!$B$45*(1+'参数'!$B$39*P468))^2/((R468*'参数'!$B$45*(1+'参数'!$B$39*P468))+'参数'!$B$22*(M468)))/'参数'!$B$46)+((S468*(1+'参数'!$B$39*P468))^2/((S468*(1+'参数'!$B$39*P468))+'参数'!$B$22*(M468)))*(1+'参数'!$B$42*P468)/'参数'!$J$7)*(1+'参数'!$B$37*('参数'!$B$38-1))</x:f>
        <x:v>52445.746688054394</x:v>
      </x:c>
      <x:c r="X468" s="25" t="n">
        <x:f>('参数'!$B$26+'参数'!$B$27*(D468-1)/99)*'参数'!$K$29*AD468</x:f>
        <x:v>27.424285714285716</x:v>
      </x:c>
      <x:c r="Y468" s="25" t="n">
        <x:f>('参数'!$B$28+'参数'!$B$29*(D468-1)/99)*'参数'!$K$29*AD468*IF(AE468=1,'参数'!$B$51,1)</x:f>
        <x:v>76.17857142857143</x:v>
      </x:c>
      <x:c r="Z468" s="21" t="n">
        <x:f>MIN('参数'!$B$36,U468/(U468+'参数'!$B$35))</x:f>
        <x:v>0.6117560486461108</x:v>
      </x:c>
      <x:c r="AA468" s="18" t="n">
        <x:f>T468*'参数'!$B$30/('参数'!$B$32*'参数'!$B$33)/(1-Z468)*AC468</x:f>
        <x:v>9383.014102974243</x:v>
      </x:c>
      <x:c r="AB468" s="18" t="n">
        <x:f>T468*'参数'!$B$31/'参数'!$B$34/(1-Z468)*AC468</x:f>
        <x:v>18766.028205948485</x:v>
      </x:c>
      <x:c r="AC468" s="15" t="n">
        <x:f>'参数'!$L$29*(1+'参数'!$B$53*(B468-1)/119)</x:f>
        <x:v>1.2822857142857143</x:v>
      </x:c>
      <x:c r="AD468" s="15" t="n">
        <x:f>1+'参数'!$B$52*(B468-1)/119</x:f>
        <x:v>1.1285714285714286</x:v>
      </x:c>
      <x:c r="AE468" s="18" t="n">
        <x:f>IF(MOD(B468,12)=0,1,0)</x:f>
        <x:v>0</x:v>
      </x:c>
    </x:row>
    <x:row r="469" ht="22" customHeight="1">
      <x:c r="A469" s="19" t="str">
        <x:v>地狱</x:v>
      </x:c>
      <x:c r="B469" s="19" t="n">
        <x:v>104</x:v>
      </x:c>
      <x:c r="C469" s="19" t="n">
        <x:f>ROUNDUP(B469/12,0)</x:f>
        <x:v>9</x:v>
      </x:c>
      <x:c r="D469" s="19" t="n">
        <x:f>ROUND(MAX('参数'!$G$29,E469)+(IF(C469&lt;10,INDEX('参数'!$G$37:$P$37,1,MIN(10,C469+1)),'参数'!$H$29)-MAX('参数'!$G$29,E469))*MOD(B469-1,12)/11,0)</x:f>
        <x:v>100</x:v>
      </x:c>
      <x:c r="E469" s="19" t="n">
        <x:f>INDEX('参数'!$G$37:$P$37,1,C469)</x:f>
        <x:v>100</x:v>
      </x:c>
      <x:c r="F469" s="20" t="n">
        <x:f>'参数'!$I$29</x:f>
        <x:v>1.29</x:v>
      </x:c>
      <x:c r="G469" s="19" t="n">
        <x:f>ROUND(V469*X469/'参数'!$B$56,0)</x:f>
        <x:v>406301</x:v>
      </x:c>
      <x:c r="H469" s="19" t="n">
        <x:f>ROUND((AA469+SQRT(AA469^2+4*AA469*'参数'!$B$22*U469))/2,0)</x:f>
        <x:v>14493</x:v>
      </x:c>
      <x:c r="I469" s="19" t="n">
        <x:f>ROUND(Q469*'参数'!$B$23/'参数'!$B$22,0)</x:f>
        <x:v>2008</x:v>
      </x:c>
      <x:c r="J469" s="19" t="n">
        <x:f>ROUND(G469*'参数'!$B$50,0)</x:f>
        <x:v>1218903</x:v>
      </x:c>
      <x:c r="K469" s="19" t="n">
        <x:f>ROUND(W469*Y469,0)</x:f>
        <x:v>3999704</x:v>
      </x:c>
      <x:c r="L469" s="19" t="n">
        <x:f>ROUND((AB469+SQRT(AB469^2+4*AB469*'参数'!$B$22*U469))/2,0)</x:f>
        <x:v>24754</x:v>
      </x:c>
      <x:c r="M469" s="19" t="n">
        <x:f>ROUND(I469*'参数'!$B$24,0)</x:f>
        <x:v>2510</x:v>
      </x:c>
      <x:c r="N469" s="19" t="n">
        <x:f>'参数'!$B$9*'参数'!$B$10^(D469-1)</x:f>
        <x:v>11195.319600498813</x:v>
      </x:c>
      <x:c r="O469" s="19" t="n">
        <x:f>'参数'!$B$18*'参数'!$B$19^(MIN(E469,MAX(1,5*INT(D469/5)))-1)*F469*'参数'!$J$29*P469</x:f>
        <x:v>1897.6106812882254</x:v>
      </x:c>
      <x:c r="P469" s="22" t="n">
        <x:f>MIN(1,(D469-1)/19)</x:f>
        <x:v>1</x:v>
      </x:c>
      <x:c r="Q469" s="19" t="n">
        <x:f>INDEX('角色成长'!$F$6:$F$105,D469)+O469*'参数'!$K$21</x:f>
        <x:v>10042.190441671442</x:v>
      </x:c>
      <x:c r="R469" s="19" t="n">
        <x:f>INDEX('角色成长'!$I$6:$I$105,D469)+O469*'参数'!$K$21</x:f>
        <x:v>8744.190441671442</x:v>
      </x:c>
      <x:c r="S469" s="19" t="n">
        <x:f>INDEX('角色成长'!$L$6:$L$105,D469)+O469*'参数'!$K$21</x:f>
        <x:v>8003.190441671442</x:v>
      </x:c>
      <x:c r="T469" s="19" t="n">
        <x:f>(INDEX('角色成长'!$J$6:$J$105,D469)+O469*'参数'!$L$21)*(1+'参数'!$B$40*P469)</x:f>
        <x:v>113637.65283705847</x:v>
      </x:c>
      <x:c r="U469" s="19" t="n">
        <x:f>(INDEX('角色成长'!$K$6:$K$105,D469)+O469*'参数'!$M$21)*(1+'参数'!$B$41*P469)</x:f>
        <x:v>6302.800561479835</x:v>
      </x:c>
      <x:c r="V469" s="19" t="n">
        <x:f>(('参数'!$K$5*(((Q469*(1+'参数'!$B$39*P469))^2/((Q469*(1+'参数'!$B$39*P469))+'参数'!$B$22*(I469)))*(1+'参数'!$B$42*P469)/'参数'!$J$5+((Q469*'参数'!$B$43*(1+'参数'!$B$39*P469))^2/((Q469*'参数'!$B$43*(1+'参数'!$B$39*P469))+'参数'!$B$22*(I469)))/'参数'!$B$44))+(((R469*(1+'参数'!$B$39*P469))^2/((R469*(1+'参数'!$B$39*P469))+'参数'!$B$22*(I469)))*(1+'参数'!$B$42*P469)/'参数'!$J$6+((R469*'参数'!$B$45*(1+'参数'!$B$39*P469))^2/((R469*'参数'!$B$45*(1+'参数'!$B$39*P469))+'参数'!$B$22*(I469)))/'参数'!$B$46)+((S469*(1+'参数'!$B$39*P469))^2/((S469*(1+'参数'!$B$39*P469))+'参数'!$B$22*(I469)))*(1+'参数'!$B$42*P469)/'参数'!$J$7)*(1+'参数'!$B$37*('参数'!$B$38-1))*'参数'!$B$25</x:f>
        <x:v>68074.69622887956</x:v>
      </x:c>
      <x:c r="W469" s="19" t="n">
        <x:f>(('参数'!$K$5*(((Q469*(1+'参数'!$B$39*P469))^2/((Q469*(1+'参数'!$B$39*P469))+'参数'!$B$22*(M469)))*(1+'参数'!$B$42*P469)/'参数'!$J$5+((Q469*'参数'!$B$43*(1+'参数'!$B$39*P469))^2/((Q469*'参数'!$B$43*(1+'参数'!$B$39*P469))+'参数'!$B$22*(M469)))/'参数'!$B$44))+(((R469*(1+'参数'!$B$39*P469))^2/((R469*(1+'参数'!$B$39*P469))+'参数'!$B$22*(M469)))*(1+'参数'!$B$42*P469)/'参数'!$J$6+((R469*'参数'!$B$45*(1+'参数'!$B$39*P469))^2/((R469*'参数'!$B$45*(1+'参数'!$B$39*P469))+'参数'!$B$22*(M469)))/'参数'!$B$46)+((S469*(1+'参数'!$B$39*P469))^2/((S469*(1+'参数'!$B$39*P469))+'参数'!$B$22*(M469)))*(1+'参数'!$B$42*P469)/'参数'!$J$7)*(1+'参数'!$B$37*('参数'!$B$38-1))</x:f>
        <x:v>52445.746688054394</x:v>
      </x:c>
      <x:c r="X469" s="26" t="n">
        <x:f>('参数'!$B$26+'参数'!$B$27*(D469-1)/99)*'参数'!$K$29*AD469</x:f>
        <x:v>27.454915966386555</x:v>
      </x:c>
      <x:c r="Y469" s="26" t="n">
        <x:f>('参数'!$B$28+'参数'!$B$29*(D469-1)/99)*'参数'!$K$29*AD469*IF(AE469=1,'参数'!$B$51,1)</x:f>
        <x:v>76.26365546218487</x:v>
      </x:c>
      <x:c r="Z469" s="22" t="n">
        <x:f>MIN('参数'!$B$36,U469/(U469+'参数'!$B$35))</x:f>
        <x:v>0.6117560486461108</x:v>
      </x:c>
      <x:c r="AA469" s="19" t="n">
        <x:f>T469*'参数'!$B$30/('参数'!$B$32*'参数'!$B$33)/(1-Z469)*AC469</x:f>
        <x:v>9388.91722603368</x:v>
      </x:c>
      <x:c r="AB469" s="19" t="n">
        <x:f>T469*'参数'!$B$31/'参数'!$B$34/(1-Z469)*AC469</x:f>
        <x:v>18777.83445206736</x:v>
      </x:c>
      <x:c r="AC469" s="20" t="n">
        <x:f>'参数'!$L$29*(1+'参数'!$B$53*(B469-1)/119)</x:f>
        <x:v>1.2830924369747898</x:v>
      </x:c>
      <x:c r="AD469" s="20" t="n">
        <x:f>1+'参数'!$B$52*(B469-1)/119</x:f>
        <x:v>1.1298319327731092</x:v>
      </x:c>
      <x:c r="AE469" s="19" t="n">
        <x:f>IF(MOD(B469,12)=0,1,0)</x:f>
        <x:v>0</x:v>
      </x:c>
    </x:row>
    <x:row r="470" ht="22" customHeight="1">
      <x:c r="A470" s="18" t="str">
        <x:v>地狱</x:v>
      </x:c>
      <x:c r="B470" s="18" t="n">
        <x:v>105</x:v>
      </x:c>
      <x:c r="C470" s="18" t="n">
        <x:f>ROUNDUP(B470/12,0)</x:f>
        <x:v>9</x:v>
      </x:c>
      <x:c r="D470" s="18" t="n">
        <x:f>ROUND(MAX('参数'!$G$29,E470)+(IF(C470&lt;10,INDEX('参数'!$G$37:$P$37,1,MIN(10,C470+1)),'参数'!$H$29)-MAX('参数'!$G$29,E470))*MOD(B470-1,12)/11,0)</x:f>
        <x:v>100</x:v>
      </x:c>
      <x:c r="E470" s="18" t="n">
        <x:f>INDEX('参数'!$G$37:$P$37,1,C470)</x:f>
        <x:v>100</x:v>
      </x:c>
      <x:c r="F470" s="15" t="n">
        <x:f>'参数'!$I$29</x:f>
        <x:v>1.29</x:v>
      </x:c>
      <x:c r="G470" s="18" t="n">
        <x:f>ROUND(V470*X470/'参数'!$B$56,0)</x:f>
        <x:v>406754</x:v>
      </x:c>
      <x:c r="H470" s="18" t="n">
        <x:f>ROUND((AA470+SQRT(AA470^2+4*AA470*'参数'!$B$22*U470))/2,0)</x:f>
        <x:v>14500</x:v>
      </x:c>
      <x:c r="I470" s="18" t="n">
        <x:f>ROUND(Q470*'参数'!$B$23/'参数'!$B$22,0)</x:f>
        <x:v>2008</x:v>
      </x:c>
      <x:c r="J470" s="18" t="n">
        <x:f>ROUND(G470*'参数'!$B$50,0)</x:f>
        <x:v>1220262</x:v>
      </x:c>
      <x:c r="K470" s="18" t="n">
        <x:f>ROUND(W470*Y470,0)</x:f>
        <x:v>4004167</x:v>
      </x:c>
      <x:c r="L470" s="18" t="n">
        <x:f>ROUND((AB470+SQRT(AB470^2+4*AB470*'参数'!$B$22*U470))/2,0)</x:f>
        <x:v>24767</x:v>
      </x:c>
      <x:c r="M470" s="18" t="n">
        <x:f>ROUND(I470*'参数'!$B$24,0)</x:f>
        <x:v>2510</x:v>
      </x:c>
      <x:c r="N470" s="18" t="n">
        <x:f>'参数'!$B$9*'参数'!$B$10^(D470-1)</x:f>
        <x:v>11195.319600498813</x:v>
      </x:c>
      <x:c r="O470" s="18" t="n">
        <x:f>'参数'!$B$18*'参数'!$B$19^(MIN(E470,MAX(1,5*INT(D470/5)))-1)*F470*'参数'!$J$29*P470</x:f>
        <x:v>1897.6106812882254</x:v>
      </x:c>
      <x:c r="P470" s="21" t="n">
        <x:f>MIN(1,(D470-1)/19)</x:f>
        <x:v>1</x:v>
      </x:c>
      <x:c r="Q470" s="18" t="n">
        <x:f>INDEX('角色成长'!$F$6:$F$105,D470)+O470*'参数'!$K$21</x:f>
        <x:v>10042.190441671442</x:v>
      </x:c>
      <x:c r="R470" s="18" t="n">
        <x:f>INDEX('角色成长'!$I$6:$I$105,D470)+O470*'参数'!$K$21</x:f>
        <x:v>8744.190441671442</x:v>
      </x:c>
      <x:c r="S470" s="18" t="n">
        <x:f>INDEX('角色成长'!$L$6:$L$105,D470)+O470*'参数'!$K$21</x:f>
        <x:v>8003.190441671442</x:v>
      </x:c>
      <x:c r="T470" s="18" t="n">
        <x:f>(INDEX('角色成长'!$J$6:$J$105,D470)+O470*'参数'!$L$21)*(1+'参数'!$B$40*P470)</x:f>
        <x:v>113637.65283705847</x:v>
      </x:c>
      <x:c r="U470" s="18" t="n">
        <x:f>(INDEX('角色成长'!$K$6:$K$105,D470)+O470*'参数'!$M$21)*(1+'参数'!$B$41*P470)</x:f>
        <x:v>6302.800561479835</x:v>
      </x:c>
      <x:c r="V470" s="18" t="n">
        <x:f>(('参数'!$K$5*(((Q470*(1+'参数'!$B$39*P470))^2/((Q470*(1+'参数'!$B$39*P470))+'参数'!$B$22*(I470)))*(1+'参数'!$B$42*P470)/'参数'!$J$5+((Q470*'参数'!$B$43*(1+'参数'!$B$39*P470))^2/((Q470*'参数'!$B$43*(1+'参数'!$B$39*P470))+'参数'!$B$22*(I470)))/'参数'!$B$44))+(((R470*(1+'参数'!$B$39*P470))^2/((R470*(1+'参数'!$B$39*P470))+'参数'!$B$22*(I470)))*(1+'参数'!$B$42*P470)/'参数'!$J$6+((R470*'参数'!$B$45*(1+'参数'!$B$39*P470))^2/((R470*'参数'!$B$45*(1+'参数'!$B$39*P470))+'参数'!$B$22*(I470)))/'参数'!$B$46)+((S470*(1+'参数'!$B$39*P470))^2/((S470*(1+'参数'!$B$39*P470))+'参数'!$B$22*(I470)))*(1+'参数'!$B$42*P470)/'参数'!$J$7)*(1+'参数'!$B$37*('参数'!$B$38-1))*'参数'!$B$25</x:f>
        <x:v>68074.69622887956</x:v>
      </x:c>
      <x:c r="W470" s="18" t="n">
        <x:f>(('参数'!$K$5*(((Q470*(1+'参数'!$B$39*P470))^2/((Q470*(1+'参数'!$B$39*P470))+'参数'!$B$22*(M470)))*(1+'参数'!$B$42*P470)/'参数'!$J$5+((Q470*'参数'!$B$43*(1+'参数'!$B$39*P470))^2/((Q470*'参数'!$B$43*(1+'参数'!$B$39*P470))+'参数'!$B$22*(M470)))/'参数'!$B$44))+(((R470*(1+'参数'!$B$39*P470))^2/((R470*(1+'参数'!$B$39*P470))+'参数'!$B$22*(M470)))*(1+'参数'!$B$42*P470)/'参数'!$J$6+((R470*'参数'!$B$45*(1+'参数'!$B$39*P470))^2/((R470*'参数'!$B$45*(1+'参数'!$B$39*P470))+'参数'!$B$22*(M470)))/'参数'!$B$46)+((S470*(1+'参数'!$B$39*P470))^2/((S470*(1+'参数'!$B$39*P470))+'参数'!$B$22*(M470)))*(1+'参数'!$B$42*P470)/'参数'!$J$7)*(1+'参数'!$B$37*('参数'!$B$38-1))</x:f>
        <x:v>52445.746688054394</x:v>
      </x:c>
      <x:c r="X470" s="25" t="n">
        <x:f>('参数'!$B$26+'参数'!$B$27*(D470-1)/99)*'参数'!$K$29*AD470</x:f>
        <x:v>27.485546218487396</x:v>
      </x:c>
      <x:c r="Y470" s="25" t="n">
        <x:f>('参数'!$B$28+'参数'!$B$29*(D470-1)/99)*'参数'!$K$29*AD470*IF(AE470=1,'参数'!$B$51,1)</x:f>
        <x:v>76.34873949579831</x:v>
      </x:c>
      <x:c r="Z470" s="21" t="n">
        <x:f>MIN('参数'!$B$36,U470/(U470+'参数'!$B$35))</x:f>
        <x:v>0.6117560486461108</x:v>
      </x:c>
      <x:c r="AA470" s="18" t="n">
        <x:f>T470*'参数'!$B$30/('参数'!$B$32*'参数'!$B$33)/(1-Z470)*AC470</x:f>
        <x:v>9394.820349093117</x:v>
      </x:c>
      <x:c r="AB470" s="18" t="n">
        <x:f>T470*'参数'!$B$31/'参数'!$B$34/(1-Z470)*AC470</x:f>
        <x:v>18789.640698186235</x:v>
      </x:c>
      <x:c r="AC470" s="15" t="n">
        <x:f>'参数'!$L$29*(1+'参数'!$B$53*(B470-1)/119)</x:f>
        <x:v>1.2838991596638656</x:v>
      </x:c>
      <x:c r="AD470" s="15" t="n">
        <x:f>1+'参数'!$B$52*(B470-1)/119</x:f>
        <x:v>1.13109243697479</x:v>
      </x:c>
      <x:c r="AE470" s="18" t="n">
        <x:f>IF(MOD(B470,12)=0,1,0)</x:f>
        <x:v>0</x:v>
      </x:c>
    </x:row>
    <x:row r="471" ht="22" customHeight="1">
      <x:c r="A471" s="19" t="str">
        <x:v>地狱</x:v>
      </x:c>
      <x:c r="B471" s="19" t="n">
        <x:v>106</x:v>
      </x:c>
      <x:c r="C471" s="19" t="n">
        <x:f>ROUNDUP(B471/12,0)</x:f>
        <x:v>9</x:v>
      </x:c>
      <x:c r="D471" s="19" t="n">
        <x:f>ROUND(MAX('参数'!$G$29,E471)+(IF(C471&lt;10,INDEX('参数'!$G$37:$P$37,1,MIN(10,C471+1)),'参数'!$H$29)-MAX('参数'!$G$29,E471))*MOD(B471-1,12)/11,0)</x:f>
        <x:v>100</x:v>
      </x:c>
      <x:c r="E471" s="19" t="n">
        <x:f>INDEX('参数'!$G$37:$P$37,1,C471)</x:f>
        <x:v>100</x:v>
      </x:c>
      <x:c r="F471" s="20" t="n">
        <x:f>'参数'!$I$29</x:f>
        <x:v>1.29</x:v>
      </x:c>
      <x:c r="G471" s="19" t="n">
        <x:f>ROUND(V471*X471/'参数'!$B$56,0)</x:f>
        <x:v>407208</x:v>
      </x:c>
      <x:c r="H471" s="19" t="n">
        <x:f>ROUND((AA471+SQRT(AA471^2+4*AA471*'参数'!$B$22*U471))/2,0)</x:f>
        <x:v>14506</x:v>
      </x:c>
      <x:c r="I471" s="19" t="n">
        <x:f>ROUND(Q471*'参数'!$B$23/'参数'!$B$22,0)</x:f>
        <x:v>2008</x:v>
      </x:c>
      <x:c r="J471" s="19" t="n">
        <x:f>ROUND(G471*'参数'!$B$50,0)</x:f>
        <x:v>1221624</x:v>
      </x:c>
      <x:c r="K471" s="19" t="n">
        <x:f>ROUND(W471*Y471,0)</x:f>
        <x:v>4008629</x:v>
      </x:c>
      <x:c r="L471" s="19" t="n">
        <x:f>ROUND((AB471+SQRT(AB471^2+4*AB471*'参数'!$B$22*U471))/2,0)</x:f>
        <x:v>24779</x:v>
      </x:c>
      <x:c r="M471" s="19" t="n">
        <x:f>ROUND(I471*'参数'!$B$24,0)</x:f>
        <x:v>2510</x:v>
      </x:c>
      <x:c r="N471" s="19" t="n">
        <x:f>'参数'!$B$9*'参数'!$B$10^(D471-1)</x:f>
        <x:v>11195.319600498813</x:v>
      </x:c>
      <x:c r="O471" s="19" t="n">
        <x:f>'参数'!$B$18*'参数'!$B$19^(MIN(E471,MAX(1,5*INT(D471/5)))-1)*F471*'参数'!$J$29*P471</x:f>
        <x:v>1897.6106812882254</x:v>
      </x:c>
      <x:c r="P471" s="22" t="n">
        <x:f>MIN(1,(D471-1)/19)</x:f>
        <x:v>1</x:v>
      </x:c>
      <x:c r="Q471" s="19" t="n">
        <x:f>INDEX('角色成长'!$F$6:$F$105,D471)+O471*'参数'!$K$21</x:f>
        <x:v>10042.190441671442</x:v>
      </x:c>
      <x:c r="R471" s="19" t="n">
        <x:f>INDEX('角色成长'!$I$6:$I$105,D471)+O471*'参数'!$K$21</x:f>
        <x:v>8744.190441671442</x:v>
      </x:c>
      <x:c r="S471" s="19" t="n">
        <x:f>INDEX('角色成长'!$L$6:$L$105,D471)+O471*'参数'!$K$21</x:f>
        <x:v>8003.190441671442</x:v>
      </x:c>
      <x:c r="T471" s="19" t="n">
        <x:f>(INDEX('角色成长'!$J$6:$J$105,D471)+O471*'参数'!$L$21)*(1+'参数'!$B$40*P471)</x:f>
        <x:v>113637.65283705847</x:v>
      </x:c>
      <x:c r="U471" s="19" t="n">
        <x:f>(INDEX('角色成长'!$K$6:$K$105,D471)+O471*'参数'!$M$21)*(1+'参数'!$B$41*P471)</x:f>
        <x:v>6302.800561479835</x:v>
      </x:c>
      <x:c r="V471" s="19" t="n">
        <x:f>(('参数'!$K$5*(((Q471*(1+'参数'!$B$39*P471))^2/((Q471*(1+'参数'!$B$39*P471))+'参数'!$B$22*(I471)))*(1+'参数'!$B$42*P471)/'参数'!$J$5+((Q471*'参数'!$B$43*(1+'参数'!$B$39*P471))^2/((Q471*'参数'!$B$43*(1+'参数'!$B$39*P471))+'参数'!$B$22*(I471)))/'参数'!$B$44))+(((R471*(1+'参数'!$B$39*P471))^2/((R471*(1+'参数'!$B$39*P471))+'参数'!$B$22*(I471)))*(1+'参数'!$B$42*P471)/'参数'!$J$6+((R471*'参数'!$B$45*(1+'参数'!$B$39*P471))^2/((R471*'参数'!$B$45*(1+'参数'!$B$39*P471))+'参数'!$B$22*(I471)))/'参数'!$B$46)+((S471*(1+'参数'!$B$39*P471))^2/((S471*(1+'参数'!$B$39*P471))+'参数'!$B$22*(I471)))*(1+'参数'!$B$42*P471)/'参数'!$J$7)*(1+'参数'!$B$37*('参数'!$B$38-1))*'参数'!$B$25</x:f>
        <x:v>68074.69622887956</x:v>
      </x:c>
      <x:c r="W471" s="19" t="n">
        <x:f>(('参数'!$K$5*(((Q471*(1+'参数'!$B$39*P471))^2/((Q471*(1+'参数'!$B$39*P471))+'参数'!$B$22*(M471)))*(1+'参数'!$B$42*P471)/'参数'!$J$5+((Q471*'参数'!$B$43*(1+'参数'!$B$39*P471))^2/((Q471*'参数'!$B$43*(1+'参数'!$B$39*P471))+'参数'!$B$22*(M471)))/'参数'!$B$44))+(((R471*(1+'参数'!$B$39*P471))^2/((R471*(1+'参数'!$B$39*P471))+'参数'!$B$22*(M471)))*(1+'参数'!$B$42*P471)/'参数'!$J$6+((R471*'参数'!$B$45*(1+'参数'!$B$39*P471))^2/((R471*'参数'!$B$45*(1+'参数'!$B$39*P471))+'参数'!$B$22*(M471)))/'参数'!$B$46)+((S471*(1+'参数'!$B$39*P471))^2/((S471*(1+'参数'!$B$39*P471))+'参数'!$B$22*(M471)))*(1+'参数'!$B$42*P471)/'参数'!$J$7)*(1+'参数'!$B$37*('参数'!$B$38-1))</x:f>
        <x:v>52445.746688054394</x:v>
      </x:c>
      <x:c r="X471" s="26" t="n">
        <x:f>('参数'!$B$26+'参数'!$B$27*(D471-1)/99)*'参数'!$K$29*AD471</x:f>
        <x:v>27.516176470588235</x:v>
      </x:c>
      <x:c r="Y471" s="26" t="n">
        <x:f>('参数'!$B$28+'参数'!$B$29*(D471-1)/99)*'参数'!$K$29*AD471*IF(AE471=1,'参数'!$B$51,1)</x:f>
        <x:v>76.43382352941177</x:v>
      </x:c>
      <x:c r="Z471" s="22" t="n">
        <x:f>MIN('参数'!$B$36,U471/(U471+'参数'!$B$35))</x:f>
        <x:v>0.6117560486461108</x:v>
      </x:c>
      <x:c r="AA471" s="19" t="n">
        <x:f>T471*'参数'!$B$30/('参数'!$B$32*'参数'!$B$33)/(1-Z471)*AC471</x:f>
        <x:v>9400.723472152553</x:v>
      </x:c>
      <x:c r="AB471" s="19" t="n">
        <x:f>T471*'参数'!$B$31/'参数'!$B$34/(1-Z471)*AC471</x:f>
        <x:v>18801.446944305106</x:v>
      </x:c>
      <x:c r="AC471" s="20" t="n">
        <x:f>'参数'!$L$29*(1+'参数'!$B$53*(B471-1)/119)</x:f>
        <x:v>1.2847058823529411</x:v>
      </x:c>
      <x:c r="AD471" s="20" t="n">
        <x:f>1+'参数'!$B$52*(B471-1)/119</x:f>
        <x:v>1.1323529411764706</x:v>
      </x:c>
      <x:c r="AE471" s="19" t="n">
        <x:f>IF(MOD(B471,12)=0,1,0)</x:f>
        <x:v>0</x:v>
      </x:c>
    </x:row>
    <x:row r="472" ht="22" customHeight="1">
      <x:c r="A472" s="18" t="str">
        <x:v>地狱</x:v>
      </x:c>
      <x:c r="B472" s="18" t="n">
        <x:v>107</x:v>
      </x:c>
      <x:c r="C472" s="18" t="n">
        <x:f>ROUNDUP(B472/12,0)</x:f>
        <x:v>9</x:v>
      </x:c>
      <x:c r="D472" s="18" t="n">
        <x:f>ROUND(MAX('参数'!$G$29,E472)+(IF(C472&lt;10,INDEX('参数'!$G$37:$P$37,1,MIN(10,C472+1)),'参数'!$H$29)-MAX('参数'!$G$29,E472))*MOD(B472-1,12)/11,0)</x:f>
        <x:v>100</x:v>
      </x:c>
      <x:c r="E472" s="18" t="n">
        <x:f>INDEX('参数'!$G$37:$P$37,1,C472)</x:f>
        <x:v>100</x:v>
      </x:c>
      <x:c r="F472" s="15" t="n">
        <x:f>'参数'!$I$29</x:f>
        <x:v>1.29</x:v>
      </x:c>
      <x:c r="G472" s="18" t="n">
        <x:f>ROUND(V472*X472/'参数'!$B$56,0)</x:f>
        <x:v>407661</x:v>
      </x:c>
      <x:c r="H472" s="18" t="n">
        <x:f>ROUND((AA472+SQRT(AA472^2+4*AA472*'参数'!$B$22*U472))/2,0)</x:f>
        <x:v>14513</x:v>
      </x:c>
      <x:c r="I472" s="18" t="n">
        <x:f>ROUND(Q472*'参数'!$B$23/'参数'!$B$22,0)</x:f>
        <x:v>2008</x:v>
      </x:c>
      <x:c r="J472" s="18" t="n">
        <x:f>ROUND(G472*'参数'!$B$50,0)</x:f>
        <x:v>1222983</x:v>
      </x:c>
      <x:c r="K472" s="18" t="n">
        <x:f>ROUND(W472*Y472,0)</x:f>
        <x:v>4013091</x:v>
      </x:c>
      <x:c r="L472" s="18" t="n">
        <x:f>ROUND((AB472+SQRT(AB472^2+4*AB472*'参数'!$B$22*U472))/2,0)</x:f>
        <x:v>24792</x:v>
      </x:c>
      <x:c r="M472" s="18" t="n">
        <x:f>ROUND(I472*'参数'!$B$24,0)</x:f>
        <x:v>2510</x:v>
      </x:c>
      <x:c r="N472" s="18" t="n">
        <x:f>'参数'!$B$9*'参数'!$B$10^(D472-1)</x:f>
        <x:v>11195.319600498813</x:v>
      </x:c>
      <x:c r="O472" s="18" t="n">
        <x:f>'参数'!$B$18*'参数'!$B$19^(MIN(E472,MAX(1,5*INT(D472/5)))-1)*F472*'参数'!$J$29*P472</x:f>
        <x:v>1897.6106812882254</x:v>
      </x:c>
      <x:c r="P472" s="21" t="n">
        <x:f>MIN(1,(D472-1)/19)</x:f>
        <x:v>1</x:v>
      </x:c>
      <x:c r="Q472" s="18" t="n">
        <x:f>INDEX('角色成长'!$F$6:$F$105,D472)+O472*'参数'!$K$21</x:f>
        <x:v>10042.190441671442</x:v>
      </x:c>
      <x:c r="R472" s="18" t="n">
        <x:f>INDEX('角色成长'!$I$6:$I$105,D472)+O472*'参数'!$K$21</x:f>
        <x:v>8744.190441671442</x:v>
      </x:c>
      <x:c r="S472" s="18" t="n">
        <x:f>INDEX('角色成长'!$L$6:$L$105,D472)+O472*'参数'!$K$21</x:f>
        <x:v>8003.190441671442</x:v>
      </x:c>
      <x:c r="T472" s="18" t="n">
        <x:f>(INDEX('角色成长'!$J$6:$J$105,D472)+O472*'参数'!$L$21)*(1+'参数'!$B$40*P472)</x:f>
        <x:v>113637.65283705847</x:v>
      </x:c>
      <x:c r="U472" s="18" t="n">
        <x:f>(INDEX('角色成长'!$K$6:$K$105,D472)+O472*'参数'!$M$21)*(1+'参数'!$B$41*P472)</x:f>
        <x:v>6302.800561479835</x:v>
      </x:c>
      <x:c r="V472" s="18" t="n">
        <x:f>(('参数'!$K$5*(((Q472*(1+'参数'!$B$39*P472))^2/((Q472*(1+'参数'!$B$39*P472))+'参数'!$B$22*(I472)))*(1+'参数'!$B$42*P472)/'参数'!$J$5+((Q472*'参数'!$B$43*(1+'参数'!$B$39*P472))^2/((Q472*'参数'!$B$43*(1+'参数'!$B$39*P472))+'参数'!$B$22*(I472)))/'参数'!$B$44))+(((R472*(1+'参数'!$B$39*P472))^2/((R472*(1+'参数'!$B$39*P472))+'参数'!$B$22*(I472)))*(1+'参数'!$B$42*P472)/'参数'!$J$6+((R472*'参数'!$B$45*(1+'参数'!$B$39*P472))^2/((R472*'参数'!$B$45*(1+'参数'!$B$39*P472))+'参数'!$B$22*(I472)))/'参数'!$B$46)+((S472*(1+'参数'!$B$39*P472))^2/((S472*(1+'参数'!$B$39*P472))+'参数'!$B$22*(I472)))*(1+'参数'!$B$42*P472)/'参数'!$J$7)*(1+'参数'!$B$37*('参数'!$B$38-1))*'参数'!$B$25</x:f>
        <x:v>68074.69622887956</x:v>
      </x:c>
      <x:c r="W472" s="18" t="n">
        <x:f>(('参数'!$K$5*(((Q472*(1+'参数'!$B$39*P472))^2/((Q472*(1+'参数'!$B$39*P472))+'参数'!$B$22*(M472)))*(1+'参数'!$B$42*P472)/'参数'!$J$5+((Q472*'参数'!$B$43*(1+'参数'!$B$39*P472))^2/((Q472*'参数'!$B$43*(1+'参数'!$B$39*P472))+'参数'!$B$22*(M472)))/'参数'!$B$44))+(((R472*(1+'参数'!$B$39*P472))^2/((R472*(1+'参数'!$B$39*P472))+'参数'!$B$22*(M472)))*(1+'参数'!$B$42*P472)/'参数'!$J$6+((R472*'参数'!$B$45*(1+'参数'!$B$39*P472))^2/((R472*'参数'!$B$45*(1+'参数'!$B$39*P472))+'参数'!$B$22*(M472)))/'参数'!$B$46)+((S472*(1+'参数'!$B$39*P472))^2/((S472*(1+'参数'!$B$39*P472))+'参数'!$B$22*(M472)))*(1+'参数'!$B$42*P472)/'参数'!$J$7)*(1+'参数'!$B$37*('参数'!$B$38-1))</x:f>
        <x:v>52445.746688054394</x:v>
      </x:c>
      <x:c r="X472" s="25" t="n">
        <x:f>('参数'!$B$26+'参数'!$B$27*(D472-1)/99)*'参数'!$K$29*AD472</x:f>
        <x:v>27.546806722689077</x:v>
      </x:c>
      <x:c r="Y472" s="25" t="n">
        <x:f>('参数'!$B$28+'参数'!$B$29*(D472-1)/99)*'参数'!$K$29*AD472*IF(AE472=1,'参数'!$B$51,1)</x:f>
        <x:v>76.51890756302521</x:v>
      </x:c>
      <x:c r="Z472" s="21" t="n">
        <x:f>MIN('参数'!$B$36,U472/(U472+'参数'!$B$35))</x:f>
        <x:v>0.6117560486461108</x:v>
      </x:c>
      <x:c r="AA472" s="18" t="n">
        <x:f>T472*'参数'!$B$30/('参数'!$B$32*'参数'!$B$33)/(1-Z472)*AC472</x:f>
        <x:v>9406.62659521199</x:v>
      </x:c>
      <x:c r="AB472" s="18" t="n">
        <x:f>T472*'参数'!$B$31/'参数'!$B$34/(1-Z472)*AC472</x:f>
        <x:v>18813.25319042398</x:v>
      </x:c>
      <x:c r="AC472" s="15" t="n">
        <x:f>'参数'!$L$29*(1+'参数'!$B$53*(B472-1)/119)</x:f>
        <x:v>1.285512605042017</x:v>
      </x:c>
      <x:c r="AD472" s="15" t="n">
        <x:f>1+'参数'!$B$52*(B472-1)/119</x:f>
        <x:v>1.1336134453781512</x:v>
      </x:c>
      <x:c r="AE472" s="18" t="n">
        <x:f>IF(MOD(B472,12)=0,1,0)</x:f>
        <x:v>0</x:v>
      </x:c>
    </x:row>
    <x:row r="473" ht="22" customHeight="1">
      <x:c r="A473" s="19" t="str">
        <x:v>地狱</x:v>
      </x:c>
      <x:c r="B473" s="19" t="n">
        <x:v>108</x:v>
      </x:c>
      <x:c r="C473" s="19" t="n">
        <x:f>ROUNDUP(B473/12,0)</x:f>
        <x:v>9</x:v>
      </x:c>
      <x:c r="D473" s="19" t="n">
        <x:f>ROUND(MAX('参数'!$G$29,E473)+(IF(C473&lt;10,INDEX('参数'!$G$37:$P$37,1,MIN(10,C473+1)),'参数'!$H$29)-MAX('参数'!$G$29,E473))*MOD(B473-1,12)/11,0)</x:f>
        <x:v>100</x:v>
      </x:c>
      <x:c r="E473" s="19" t="n">
        <x:f>INDEX('参数'!$G$37:$P$37,1,C473)</x:f>
        <x:v>100</x:v>
      </x:c>
      <x:c r="F473" s="20" t="n">
        <x:f>'参数'!$I$29</x:f>
        <x:v>1.29</x:v>
      </x:c>
      <x:c r="G473" s="19" t="n">
        <x:f>ROUND(V473*X473/'参数'!$B$56,0)</x:f>
        <x:v>408114</x:v>
      </x:c>
      <x:c r="H473" s="19" t="n">
        <x:f>ROUND((AA473+SQRT(AA473^2+4*AA473*'参数'!$B$22*U473))/2,0)</x:f>
        <x:v>14520</x:v>
      </x:c>
      <x:c r="I473" s="19" t="n">
        <x:f>ROUND(Q473*'参数'!$B$23/'参数'!$B$22,0)</x:f>
        <x:v>2008</x:v>
      </x:c>
      <x:c r="J473" s="19" t="n">
        <x:f>ROUND(G473*'参数'!$B$50,0)</x:f>
        <x:v>1224342</x:v>
      </x:c>
      <x:c r="K473" s="19" t="n">
        <x:f>ROUND(W473*Y473,0)</x:f>
        <x:v>4620187</x:v>
      </x:c>
      <x:c r="L473" s="19" t="n">
        <x:f>ROUND((AB473+SQRT(AB473^2+4*AB473*'参数'!$B$22*U473))/2,0)</x:f>
        <x:v>24804</x:v>
      </x:c>
      <x:c r="M473" s="19" t="n">
        <x:f>ROUND(I473*'参数'!$B$24,0)</x:f>
        <x:v>2510</x:v>
      </x:c>
      <x:c r="N473" s="19" t="n">
        <x:f>'参数'!$B$9*'参数'!$B$10^(D473-1)</x:f>
        <x:v>11195.319600498813</x:v>
      </x:c>
      <x:c r="O473" s="19" t="n">
        <x:f>'参数'!$B$18*'参数'!$B$19^(MIN(E473,MAX(1,5*INT(D473/5)))-1)*F473*'参数'!$J$29*P473</x:f>
        <x:v>1897.6106812882254</x:v>
      </x:c>
      <x:c r="P473" s="22" t="n">
        <x:f>MIN(1,(D473-1)/19)</x:f>
        <x:v>1</x:v>
      </x:c>
      <x:c r="Q473" s="19" t="n">
        <x:f>INDEX('角色成长'!$F$6:$F$105,D473)+O473*'参数'!$K$21</x:f>
        <x:v>10042.190441671442</x:v>
      </x:c>
      <x:c r="R473" s="19" t="n">
        <x:f>INDEX('角色成长'!$I$6:$I$105,D473)+O473*'参数'!$K$21</x:f>
        <x:v>8744.190441671442</x:v>
      </x:c>
      <x:c r="S473" s="19" t="n">
        <x:f>INDEX('角色成长'!$L$6:$L$105,D473)+O473*'参数'!$K$21</x:f>
        <x:v>8003.190441671442</x:v>
      </x:c>
      <x:c r="T473" s="19" t="n">
        <x:f>(INDEX('角色成长'!$J$6:$J$105,D473)+O473*'参数'!$L$21)*(1+'参数'!$B$40*P473)</x:f>
        <x:v>113637.65283705847</x:v>
      </x:c>
      <x:c r="U473" s="19" t="n">
        <x:f>(INDEX('角色成长'!$K$6:$K$105,D473)+O473*'参数'!$M$21)*(1+'参数'!$B$41*P473)</x:f>
        <x:v>6302.800561479835</x:v>
      </x:c>
      <x:c r="V473" s="19" t="n">
        <x:f>(('参数'!$K$5*(((Q473*(1+'参数'!$B$39*P473))^2/((Q473*(1+'参数'!$B$39*P473))+'参数'!$B$22*(I473)))*(1+'参数'!$B$42*P473)/'参数'!$J$5+((Q473*'参数'!$B$43*(1+'参数'!$B$39*P473))^2/((Q473*'参数'!$B$43*(1+'参数'!$B$39*P473))+'参数'!$B$22*(I473)))/'参数'!$B$44))+(((R473*(1+'参数'!$B$39*P473))^2/((R473*(1+'参数'!$B$39*P473))+'参数'!$B$22*(I473)))*(1+'参数'!$B$42*P473)/'参数'!$J$6+((R473*'参数'!$B$45*(1+'参数'!$B$39*P473))^2/((R473*'参数'!$B$45*(1+'参数'!$B$39*P473))+'参数'!$B$22*(I473)))/'参数'!$B$46)+((S473*(1+'参数'!$B$39*P473))^2/((S473*(1+'参数'!$B$39*P473))+'参数'!$B$22*(I473)))*(1+'参数'!$B$42*P473)/'参数'!$J$7)*(1+'参数'!$B$37*('参数'!$B$38-1))*'参数'!$B$25</x:f>
        <x:v>68074.69622887956</x:v>
      </x:c>
      <x:c r="W473" s="19" t="n">
        <x:f>(('参数'!$K$5*(((Q473*(1+'参数'!$B$39*P473))^2/((Q473*(1+'参数'!$B$39*P473))+'参数'!$B$22*(M473)))*(1+'参数'!$B$42*P473)/'参数'!$J$5+((Q473*'参数'!$B$43*(1+'参数'!$B$39*P473))^2/((Q473*'参数'!$B$43*(1+'参数'!$B$39*P473))+'参数'!$B$22*(M473)))/'参数'!$B$44))+(((R473*(1+'参数'!$B$39*P473))^2/((R473*(1+'参数'!$B$39*P473))+'参数'!$B$22*(M473)))*(1+'参数'!$B$42*P473)/'参数'!$J$6+((R473*'参数'!$B$45*(1+'参数'!$B$39*P473))^2/((R473*'参数'!$B$45*(1+'参数'!$B$39*P473))+'参数'!$B$22*(M473)))/'参数'!$B$46)+((S473*(1+'参数'!$B$39*P473))^2/((S473*(1+'参数'!$B$39*P473))+'参数'!$B$22*(M473)))*(1+'参数'!$B$42*P473)/'参数'!$J$7)*(1+'参数'!$B$37*('参数'!$B$38-1))</x:f>
        <x:v>52445.746688054394</x:v>
      </x:c>
      <x:c r="X473" s="26" t="n">
        <x:f>('参数'!$B$26+'参数'!$B$27*(D473-1)/99)*'参数'!$K$29*AD473</x:f>
        <x:v>27.577436974789915</x:v>
      </x:c>
      <x:c r="Y473" s="26" t="n">
        <x:f>('参数'!$B$28+'参数'!$B$29*(D473-1)/99)*'参数'!$K$29*AD473*IF(AE473=1,'参数'!$B$51,1)</x:f>
        <x:v>88.09459033613444</x:v>
      </x:c>
      <x:c r="Z473" s="22" t="n">
        <x:f>MIN('参数'!$B$36,U473/(U473+'参数'!$B$35))</x:f>
        <x:v>0.6117560486461108</x:v>
      </x:c>
      <x:c r="AA473" s="19" t="n">
        <x:f>T473*'参数'!$B$30/('参数'!$B$32*'参数'!$B$33)/(1-Z473)*AC473</x:f>
        <x:v>9412.529718271424</x:v>
      </x:c>
      <x:c r="AB473" s="19" t="n">
        <x:f>T473*'参数'!$B$31/'参数'!$B$34/(1-Z473)*AC473</x:f>
        <x:v>18825.059436542848</x:v>
      </x:c>
      <x:c r="AC473" s="20" t="n">
        <x:f>'参数'!$L$29*(1+'参数'!$B$53*(B473-1)/119)</x:f>
        <x:v>1.2863193277310923</x:v>
      </x:c>
      <x:c r="AD473" s="20" t="n">
        <x:f>1+'参数'!$B$52*(B473-1)/119</x:f>
        <x:v>1.134873949579832</x:v>
      </x:c>
      <x:c r="AE473" s="19" t="n">
        <x:f>IF(MOD(B473,12)=0,1,0)</x:f>
        <x:v>1</x:v>
      </x:c>
    </x:row>
    <x:row r="474" ht="22" customHeight="1">
      <x:c r="A474" s="18" t="str">
        <x:v>地狱</x:v>
      </x:c>
      <x:c r="B474" s="18" t="n">
        <x:v>109</x:v>
      </x:c>
      <x:c r="C474" s="18" t="n">
        <x:f>ROUNDUP(B474/12,0)</x:f>
        <x:v>10</x:v>
      </x:c>
      <x:c r="D474" s="18" t="n">
        <x:f>ROUND(MAX('参数'!$G$29,E474)+(IF(C474&lt;10,INDEX('参数'!$G$37:$P$37,1,MIN(10,C474+1)),'参数'!$H$29)-MAX('参数'!$G$29,E474))*MOD(B474-1,12)/11,0)</x:f>
        <x:v>100</x:v>
      </x:c>
      <x:c r="E474" s="18" t="n">
        <x:f>INDEX('参数'!$G$37:$P$37,1,C474)</x:f>
        <x:v>100</x:v>
      </x:c>
      <x:c r="F474" s="15" t="n">
        <x:f>'参数'!$I$29</x:f>
        <x:v>1.29</x:v>
      </x:c>
      <x:c r="G474" s="18" t="n">
        <x:f>ROUND(V474*X474/'参数'!$B$56,0)</x:f>
        <x:v>408568</x:v>
      </x:c>
      <x:c r="H474" s="18" t="n">
        <x:f>ROUND((AA474+SQRT(AA474^2+4*AA474*'参数'!$B$22*U474))/2,0)</x:f>
        <x:v>14527</x:v>
      </x:c>
      <x:c r="I474" s="18" t="n">
        <x:f>ROUND(Q474*'参数'!$B$23/'参数'!$B$22,0)</x:f>
        <x:v>2008</x:v>
      </x:c>
      <x:c r="J474" s="18" t="n">
        <x:f>ROUND(G474*'参数'!$B$50,0)</x:f>
        <x:v>1225704</x:v>
      </x:c>
      <x:c r="K474" s="18" t="n">
        <x:f>ROUND(W474*Y474,0)</x:f>
        <x:v>4022016</x:v>
      </x:c>
      <x:c r="L474" s="18" t="n">
        <x:f>ROUND((AB474+SQRT(AB474^2+4*AB474*'参数'!$B$22*U474))/2,0)</x:f>
        <x:v>24817</x:v>
      </x:c>
      <x:c r="M474" s="18" t="n">
        <x:f>ROUND(I474*'参数'!$B$24,0)</x:f>
        <x:v>2510</x:v>
      </x:c>
      <x:c r="N474" s="18" t="n">
        <x:f>'参数'!$B$9*'参数'!$B$10^(D474-1)</x:f>
        <x:v>11195.319600498813</x:v>
      </x:c>
      <x:c r="O474" s="18" t="n">
        <x:f>'参数'!$B$18*'参数'!$B$19^(MIN(E474,MAX(1,5*INT(D474/5)))-1)*F474*'参数'!$J$29*P474</x:f>
        <x:v>1897.6106812882254</x:v>
      </x:c>
      <x:c r="P474" s="21" t="n">
        <x:f>MIN(1,(D474-1)/19)</x:f>
        <x:v>1</x:v>
      </x:c>
      <x:c r="Q474" s="18" t="n">
        <x:f>INDEX('角色成长'!$F$6:$F$105,D474)+O474*'参数'!$K$21</x:f>
        <x:v>10042.190441671442</x:v>
      </x:c>
      <x:c r="R474" s="18" t="n">
        <x:f>INDEX('角色成长'!$I$6:$I$105,D474)+O474*'参数'!$K$21</x:f>
        <x:v>8744.190441671442</x:v>
      </x:c>
      <x:c r="S474" s="18" t="n">
        <x:f>INDEX('角色成长'!$L$6:$L$105,D474)+O474*'参数'!$K$21</x:f>
        <x:v>8003.190441671442</x:v>
      </x:c>
      <x:c r="T474" s="18" t="n">
        <x:f>(INDEX('角色成长'!$J$6:$J$105,D474)+O474*'参数'!$L$21)*(1+'参数'!$B$40*P474)</x:f>
        <x:v>113637.65283705847</x:v>
      </x:c>
      <x:c r="U474" s="18" t="n">
        <x:f>(INDEX('角色成长'!$K$6:$K$105,D474)+O474*'参数'!$M$21)*(1+'参数'!$B$41*P474)</x:f>
        <x:v>6302.800561479835</x:v>
      </x:c>
      <x:c r="V474" s="18" t="n">
        <x:f>(('参数'!$K$5*(((Q474*(1+'参数'!$B$39*P474))^2/((Q474*(1+'参数'!$B$39*P474))+'参数'!$B$22*(I474)))*(1+'参数'!$B$42*P474)/'参数'!$J$5+((Q474*'参数'!$B$43*(1+'参数'!$B$39*P474))^2/((Q474*'参数'!$B$43*(1+'参数'!$B$39*P474))+'参数'!$B$22*(I474)))/'参数'!$B$44))+(((R474*(1+'参数'!$B$39*P474))^2/((R474*(1+'参数'!$B$39*P474))+'参数'!$B$22*(I474)))*(1+'参数'!$B$42*P474)/'参数'!$J$6+((R474*'参数'!$B$45*(1+'参数'!$B$39*P474))^2/((R474*'参数'!$B$45*(1+'参数'!$B$39*P474))+'参数'!$B$22*(I474)))/'参数'!$B$46)+((S474*(1+'参数'!$B$39*P474))^2/((S474*(1+'参数'!$B$39*P474))+'参数'!$B$22*(I474)))*(1+'参数'!$B$42*P474)/'参数'!$J$7)*(1+'参数'!$B$37*('参数'!$B$38-1))*'参数'!$B$25</x:f>
        <x:v>68074.69622887956</x:v>
      </x:c>
      <x:c r="W474" s="18" t="n">
        <x:f>(('参数'!$K$5*(((Q474*(1+'参数'!$B$39*P474))^2/((Q474*(1+'参数'!$B$39*P474))+'参数'!$B$22*(M474)))*(1+'参数'!$B$42*P474)/'参数'!$J$5+((Q474*'参数'!$B$43*(1+'参数'!$B$39*P474))^2/((Q474*'参数'!$B$43*(1+'参数'!$B$39*P474))+'参数'!$B$22*(M474)))/'参数'!$B$44))+(((R474*(1+'参数'!$B$39*P474))^2/((R474*(1+'参数'!$B$39*P474))+'参数'!$B$22*(M474)))*(1+'参数'!$B$42*P474)/'参数'!$J$6+((R474*'参数'!$B$45*(1+'参数'!$B$39*P474))^2/((R474*'参数'!$B$45*(1+'参数'!$B$39*P474))+'参数'!$B$22*(M474)))/'参数'!$B$46)+((S474*(1+'参数'!$B$39*P474))^2/((S474*(1+'参数'!$B$39*P474))+'参数'!$B$22*(M474)))*(1+'参数'!$B$42*P474)/'参数'!$J$7)*(1+'参数'!$B$37*('参数'!$B$38-1))</x:f>
        <x:v>52445.746688054394</x:v>
      </x:c>
      <x:c r="X474" s="25" t="n">
        <x:f>('参数'!$B$26+'参数'!$B$27*(D474-1)/99)*'参数'!$K$29*AD474</x:f>
        <x:v>27.608067226890757</x:v>
      </x:c>
      <x:c r="Y474" s="25" t="n">
        <x:f>('参数'!$B$28+'参数'!$B$29*(D474-1)/99)*'参数'!$K$29*AD474*IF(AE474=1,'参数'!$B$51,1)</x:f>
        <x:v>76.68907563025209</x:v>
      </x:c>
      <x:c r="Z474" s="21" t="n">
        <x:f>MIN('参数'!$B$36,U474/(U474+'参数'!$B$35))</x:f>
        <x:v>0.6117560486461108</x:v>
      </x:c>
      <x:c r="AA474" s="18" t="n">
        <x:f>T474*'参数'!$B$30/('参数'!$B$32*'参数'!$B$33)/(1-Z474)*AC474</x:f>
        <x:v>9418.432841330861</x:v>
      </x:c>
      <x:c r="AB474" s="18" t="n">
        <x:f>T474*'参数'!$B$31/'参数'!$B$34/(1-Z474)*AC474</x:f>
        <x:v>18836.865682661723</x:v>
      </x:c>
      <x:c r="AC474" s="15" t="n">
        <x:f>'参数'!$L$29*(1+'参数'!$B$53*(B474-1)/119)</x:f>
        <x:v>1.287126050420168</x:v>
      </x:c>
      <x:c r="AD474" s="15" t="n">
        <x:f>1+'参数'!$B$52*(B474-1)/119</x:f>
        <x:v>1.1361344537815126</x:v>
      </x:c>
      <x:c r="AE474" s="18" t="n">
        <x:f>IF(MOD(B474,12)=0,1,0)</x:f>
        <x:v>0</x:v>
      </x:c>
    </x:row>
    <x:row r="475" ht="22" customHeight="1">
      <x:c r="A475" s="19" t="str">
        <x:v>地狱</x:v>
      </x:c>
      <x:c r="B475" s="19" t="n">
        <x:v>110</x:v>
      </x:c>
      <x:c r="C475" s="19" t="n">
        <x:f>ROUNDUP(B475/12,0)</x:f>
        <x:v>10</x:v>
      </x:c>
      <x:c r="D475" s="19" t="n">
        <x:f>ROUND(MAX('参数'!$G$29,E475)+(IF(C475&lt;10,INDEX('参数'!$G$37:$P$37,1,MIN(10,C475+1)),'参数'!$H$29)-MAX('参数'!$G$29,E475))*MOD(B475-1,12)/11,0)</x:f>
        <x:v>100</x:v>
      </x:c>
      <x:c r="E475" s="19" t="n">
        <x:f>INDEX('参数'!$G$37:$P$37,1,C475)</x:f>
        <x:v>100</x:v>
      </x:c>
      <x:c r="F475" s="20" t="n">
        <x:f>'参数'!$I$29</x:f>
        <x:v>1.29</x:v>
      </x:c>
      <x:c r="G475" s="19" t="n">
        <x:f>ROUND(V475*X475/'参数'!$B$56,0)</x:f>
        <x:v>409021</x:v>
      </x:c>
      <x:c r="H475" s="19" t="n">
        <x:f>ROUND((AA475+SQRT(AA475^2+4*AA475*'参数'!$B$22*U475))/2,0)</x:f>
        <x:v>14533</x:v>
      </x:c>
      <x:c r="I475" s="19" t="n">
        <x:f>ROUND(Q475*'参数'!$B$23/'参数'!$B$22,0)</x:f>
        <x:v>2008</x:v>
      </x:c>
      <x:c r="J475" s="19" t="n">
        <x:f>ROUND(G475*'参数'!$B$50,0)</x:f>
        <x:v>1227063</x:v>
      </x:c>
      <x:c r="K475" s="19" t="n">
        <x:f>ROUND(W475*Y475,0)</x:f>
        <x:v>4026478</x:v>
      </x:c>
      <x:c r="L475" s="19" t="n">
        <x:f>ROUND((AB475+SQRT(AB475^2+4*AB475*'参数'!$B$22*U475))/2,0)</x:f>
        <x:v>24829</x:v>
      </x:c>
      <x:c r="M475" s="19" t="n">
        <x:f>ROUND(I475*'参数'!$B$24,0)</x:f>
        <x:v>2510</x:v>
      </x:c>
      <x:c r="N475" s="19" t="n">
        <x:f>'参数'!$B$9*'参数'!$B$10^(D475-1)</x:f>
        <x:v>11195.319600498813</x:v>
      </x:c>
      <x:c r="O475" s="19" t="n">
        <x:f>'参数'!$B$18*'参数'!$B$19^(MIN(E475,MAX(1,5*INT(D475/5)))-1)*F475*'参数'!$J$29*P475</x:f>
        <x:v>1897.6106812882254</x:v>
      </x:c>
      <x:c r="P475" s="22" t="n">
        <x:f>MIN(1,(D475-1)/19)</x:f>
        <x:v>1</x:v>
      </x:c>
      <x:c r="Q475" s="19" t="n">
        <x:f>INDEX('角色成长'!$F$6:$F$105,D475)+O475*'参数'!$K$21</x:f>
        <x:v>10042.190441671442</x:v>
      </x:c>
      <x:c r="R475" s="19" t="n">
        <x:f>INDEX('角色成长'!$I$6:$I$105,D475)+O475*'参数'!$K$21</x:f>
        <x:v>8744.190441671442</x:v>
      </x:c>
      <x:c r="S475" s="19" t="n">
        <x:f>INDEX('角色成长'!$L$6:$L$105,D475)+O475*'参数'!$K$21</x:f>
        <x:v>8003.190441671442</x:v>
      </x:c>
      <x:c r="T475" s="19" t="n">
        <x:f>(INDEX('角色成长'!$J$6:$J$105,D475)+O475*'参数'!$L$21)*(1+'参数'!$B$40*P475)</x:f>
        <x:v>113637.65283705847</x:v>
      </x:c>
      <x:c r="U475" s="19" t="n">
        <x:f>(INDEX('角色成长'!$K$6:$K$105,D475)+O475*'参数'!$M$21)*(1+'参数'!$B$41*P475)</x:f>
        <x:v>6302.800561479835</x:v>
      </x:c>
      <x:c r="V475" s="19" t="n">
        <x:f>(('参数'!$K$5*(((Q475*(1+'参数'!$B$39*P475))^2/((Q475*(1+'参数'!$B$39*P475))+'参数'!$B$22*(I475)))*(1+'参数'!$B$42*P475)/'参数'!$J$5+((Q475*'参数'!$B$43*(1+'参数'!$B$39*P475))^2/((Q475*'参数'!$B$43*(1+'参数'!$B$39*P475))+'参数'!$B$22*(I475)))/'参数'!$B$44))+(((R475*(1+'参数'!$B$39*P475))^2/((R475*(1+'参数'!$B$39*P475))+'参数'!$B$22*(I475)))*(1+'参数'!$B$42*P475)/'参数'!$J$6+((R475*'参数'!$B$45*(1+'参数'!$B$39*P475))^2/((R475*'参数'!$B$45*(1+'参数'!$B$39*P475))+'参数'!$B$22*(I475)))/'参数'!$B$46)+((S475*(1+'参数'!$B$39*P475))^2/((S475*(1+'参数'!$B$39*P475))+'参数'!$B$22*(I475)))*(1+'参数'!$B$42*P475)/'参数'!$J$7)*(1+'参数'!$B$37*('参数'!$B$38-1))*'参数'!$B$25</x:f>
        <x:v>68074.69622887956</x:v>
      </x:c>
      <x:c r="W475" s="19" t="n">
        <x:f>(('参数'!$K$5*(((Q475*(1+'参数'!$B$39*P475))^2/((Q475*(1+'参数'!$B$39*P475))+'参数'!$B$22*(M475)))*(1+'参数'!$B$42*P475)/'参数'!$J$5+((Q475*'参数'!$B$43*(1+'参数'!$B$39*P475))^2/((Q475*'参数'!$B$43*(1+'参数'!$B$39*P475))+'参数'!$B$22*(M475)))/'参数'!$B$44))+(((R475*(1+'参数'!$B$39*P475))^2/((R475*(1+'参数'!$B$39*P475))+'参数'!$B$22*(M475)))*(1+'参数'!$B$42*P475)/'参数'!$J$6+((R475*'参数'!$B$45*(1+'参数'!$B$39*P475))^2/((R475*'参数'!$B$45*(1+'参数'!$B$39*P475))+'参数'!$B$22*(M475)))/'参数'!$B$46)+((S475*(1+'参数'!$B$39*P475))^2/((S475*(1+'参数'!$B$39*P475))+'参数'!$B$22*(M475)))*(1+'参数'!$B$42*P475)/'参数'!$J$7)*(1+'参数'!$B$37*('参数'!$B$38-1))</x:f>
        <x:v>52445.746688054394</x:v>
      </x:c>
      <x:c r="X475" s="26" t="n">
        <x:f>('参数'!$B$26+'参数'!$B$27*(D475-1)/99)*'参数'!$K$29*AD475</x:f>
        <x:v>27.638697478991595</x:v>
      </x:c>
      <x:c r="Y475" s="26" t="n">
        <x:f>('参数'!$B$28+'参数'!$B$29*(D475-1)/99)*'参数'!$K$29*AD475*IF(AE475=1,'参数'!$B$51,1)</x:f>
        <x:v>76.77415966386555</x:v>
      </x:c>
      <x:c r="Z475" s="22" t="n">
        <x:f>MIN('参数'!$B$36,U475/(U475+'参数'!$B$35))</x:f>
        <x:v>0.6117560486461108</x:v>
      </x:c>
      <x:c r="AA475" s="19" t="n">
        <x:f>T475*'参数'!$B$30/('参数'!$B$32*'参数'!$B$33)/(1-Z475)*AC475</x:f>
        <x:v>9424.335964390299</x:v>
      </x:c>
      <x:c r="AB475" s="19" t="n">
        <x:f>T475*'参数'!$B$31/'参数'!$B$34/(1-Z475)*AC475</x:f>
        <x:v>18848.671928780597</x:v>
      </x:c>
      <x:c r="AC475" s="20" t="n">
        <x:f>'参数'!$L$29*(1+'参数'!$B$53*(B475-1)/119)</x:f>
        <x:v>1.2879327731092438</x:v>
      </x:c>
      <x:c r="AD475" s="20" t="n">
        <x:f>1+'参数'!$B$52*(B475-1)/119</x:f>
        <x:v>1.1373949579831932</x:v>
      </x:c>
      <x:c r="AE475" s="19" t="n">
        <x:f>IF(MOD(B475,12)=0,1,0)</x:f>
        <x:v>0</x:v>
      </x:c>
    </x:row>
    <x:row r="476" ht="22" customHeight="1">
      <x:c r="A476" s="18" t="str">
        <x:v>地狱</x:v>
      </x:c>
      <x:c r="B476" s="18" t="n">
        <x:v>111</x:v>
      </x:c>
      <x:c r="C476" s="18" t="n">
        <x:f>ROUNDUP(B476/12,0)</x:f>
        <x:v>10</x:v>
      </x:c>
      <x:c r="D476" s="18" t="n">
        <x:f>ROUND(MAX('参数'!$G$29,E476)+(IF(C476&lt;10,INDEX('参数'!$G$37:$P$37,1,MIN(10,C476+1)),'参数'!$H$29)-MAX('参数'!$G$29,E476))*MOD(B476-1,12)/11,0)</x:f>
        <x:v>100</x:v>
      </x:c>
      <x:c r="E476" s="18" t="n">
        <x:f>INDEX('参数'!$G$37:$P$37,1,C476)</x:f>
        <x:v>100</x:v>
      </x:c>
      <x:c r="F476" s="15" t="n">
        <x:f>'参数'!$I$29</x:f>
        <x:v>1.29</x:v>
      </x:c>
      <x:c r="G476" s="18" t="n">
        <x:f>ROUND(V476*X476/'参数'!$B$56,0)</x:f>
        <x:v>409474</x:v>
      </x:c>
      <x:c r="H476" s="18" t="n">
        <x:f>ROUND((AA476+SQRT(AA476^2+4*AA476*'参数'!$B$22*U476))/2,0)</x:f>
        <x:v>14540</x:v>
      </x:c>
      <x:c r="I476" s="18" t="n">
        <x:f>ROUND(Q476*'参数'!$B$23/'参数'!$B$22,0)</x:f>
        <x:v>2008</x:v>
      </x:c>
      <x:c r="J476" s="18" t="n">
        <x:f>ROUND(G476*'参数'!$B$50,0)</x:f>
        <x:v>1228422</x:v>
      </x:c>
      <x:c r="K476" s="18" t="n">
        <x:f>ROUND(W476*Y476,0)</x:f>
        <x:v>4030940</x:v>
      </x:c>
      <x:c r="L476" s="18" t="n">
        <x:f>ROUND((AB476+SQRT(AB476^2+4*AB476*'参数'!$B$22*U476))/2,0)</x:f>
        <x:v>24842</x:v>
      </x:c>
      <x:c r="M476" s="18" t="n">
        <x:f>ROUND(I476*'参数'!$B$24,0)</x:f>
        <x:v>2510</x:v>
      </x:c>
      <x:c r="N476" s="18" t="n">
        <x:f>'参数'!$B$9*'参数'!$B$10^(D476-1)</x:f>
        <x:v>11195.319600498813</x:v>
      </x:c>
      <x:c r="O476" s="18" t="n">
        <x:f>'参数'!$B$18*'参数'!$B$19^(MIN(E476,MAX(1,5*INT(D476/5)))-1)*F476*'参数'!$J$29*P476</x:f>
        <x:v>1897.6106812882254</x:v>
      </x:c>
      <x:c r="P476" s="21" t="n">
        <x:f>MIN(1,(D476-1)/19)</x:f>
        <x:v>1</x:v>
      </x:c>
      <x:c r="Q476" s="18" t="n">
        <x:f>INDEX('角色成长'!$F$6:$F$105,D476)+O476*'参数'!$K$21</x:f>
        <x:v>10042.190441671442</x:v>
      </x:c>
      <x:c r="R476" s="18" t="n">
        <x:f>INDEX('角色成长'!$I$6:$I$105,D476)+O476*'参数'!$K$21</x:f>
        <x:v>8744.190441671442</x:v>
      </x:c>
      <x:c r="S476" s="18" t="n">
        <x:f>INDEX('角色成长'!$L$6:$L$105,D476)+O476*'参数'!$K$21</x:f>
        <x:v>8003.190441671442</x:v>
      </x:c>
      <x:c r="T476" s="18" t="n">
        <x:f>(INDEX('角色成长'!$J$6:$J$105,D476)+O476*'参数'!$L$21)*(1+'参数'!$B$40*P476)</x:f>
        <x:v>113637.65283705847</x:v>
      </x:c>
      <x:c r="U476" s="18" t="n">
        <x:f>(INDEX('角色成长'!$K$6:$K$105,D476)+O476*'参数'!$M$21)*(1+'参数'!$B$41*P476)</x:f>
        <x:v>6302.800561479835</x:v>
      </x:c>
      <x:c r="V476" s="18" t="n">
        <x:f>(('参数'!$K$5*(((Q476*(1+'参数'!$B$39*P476))^2/((Q476*(1+'参数'!$B$39*P476))+'参数'!$B$22*(I476)))*(1+'参数'!$B$42*P476)/'参数'!$J$5+((Q476*'参数'!$B$43*(1+'参数'!$B$39*P476))^2/((Q476*'参数'!$B$43*(1+'参数'!$B$39*P476))+'参数'!$B$22*(I476)))/'参数'!$B$44))+(((R476*(1+'参数'!$B$39*P476))^2/((R476*(1+'参数'!$B$39*P476))+'参数'!$B$22*(I476)))*(1+'参数'!$B$42*P476)/'参数'!$J$6+((R476*'参数'!$B$45*(1+'参数'!$B$39*P476))^2/((R476*'参数'!$B$45*(1+'参数'!$B$39*P476))+'参数'!$B$22*(I476)))/'参数'!$B$46)+((S476*(1+'参数'!$B$39*P476))^2/((S476*(1+'参数'!$B$39*P476))+'参数'!$B$22*(I476)))*(1+'参数'!$B$42*P476)/'参数'!$J$7)*(1+'参数'!$B$37*('参数'!$B$38-1))*'参数'!$B$25</x:f>
        <x:v>68074.69622887956</x:v>
      </x:c>
      <x:c r="W476" s="18" t="n">
        <x:f>(('参数'!$K$5*(((Q476*(1+'参数'!$B$39*P476))^2/((Q476*(1+'参数'!$B$39*P476))+'参数'!$B$22*(M476)))*(1+'参数'!$B$42*P476)/'参数'!$J$5+((Q476*'参数'!$B$43*(1+'参数'!$B$39*P476))^2/((Q476*'参数'!$B$43*(1+'参数'!$B$39*P476))+'参数'!$B$22*(M476)))/'参数'!$B$44))+(((R476*(1+'参数'!$B$39*P476))^2/((R476*(1+'参数'!$B$39*P476))+'参数'!$B$22*(M476)))*(1+'参数'!$B$42*P476)/'参数'!$J$6+((R476*'参数'!$B$45*(1+'参数'!$B$39*P476))^2/((R476*'参数'!$B$45*(1+'参数'!$B$39*P476))+'参数'!$B$22*(M476)))/'参数'!$B$46)+((S476*(1+'参数'!$B$39*P476))^2/((S476*(1+'参数'!$B$39*P476))+'参数'!$B$22*(M476)))*(1+'参数'!$B$42*P476)/'参数'!$J$7)*(1+'参数'!$B$37*('参数'!$B$38-1))</x:f>
        <x:v>52445.746688054394</x:v>
      </x:c>
      <x:c r="X476" s="25" t="n">
        <x:f>('参数'!$B$26+'参数'!$B$27*(D476-1)/99)*'参数'!$K$29*AD476</x:f>
        <x:v>27.669327731092437</x:v>
      </x:c>
      <x:c r="Y476" s="25" t="n">
        <x:f>('参数'!$B$28+'参数'!$B$29*(D476-1)/99)*'参数'!$K$29*AD476*IF(AE476=1,'参数'!$B$51,1)</x:f>
        <x:v>76.85924369747899</x:v>
      </x:c>
      <x:c r="Z476" s="21" t="n">
        <x:f>MIN('参数'!$B$36,U476/(U476+'参数'!$B$35))</x:f>
        <x:v>0.6117560486461108</x:v>
      </x:c>
      <x:c r="AA476" s="18" t="n">
        <x:f>T476*'参数'!$B$30/('参数'!$B$32*'参数'!$B$33)/(1-Z476)*AC476</x:f>
        <x:v>9430.239087449734</x:v>
      </x:c>
      <x:c r="AB476" s="18" t="n">
        <x:f>T476*'参数'!$B$31/'参数'!$B$34/(1-Z476)*AC476</x:f>
        <x:v>18860.47817489947</x:v>
      </x:c>
      <x:c r="AC476" s="15" t="n">
        <x:f>'参数'!$L$29*(1+'参数'!$B$53*(B476-1)/119)</x:f>
        <x:v>1.2887394957983191</x:v>
      </x:c>
      <x:c r="AD476" s="15" t="n">
        <x:f>1+'参数'!$B$52*(B476-1)/119</x:f>
        <x:v>1.138655462184874</x:v>
      </x:c>
      <x:c r="AE476" s="18" t="n">
        <x:f>IF(MOD(B476,12)=0,1,0)</x:f>
        <x:v>0</x:v>
      </x:c>
    </x:row>
    <x:row r="477" ht="22" customHeight="1">
      <x:c r="A477" s="19" t="str">
        <x:v>地狱</x:v>
      </x:c>
      <x:c r="B477" s="19" t="n">
        <x:v>112</x:v>
      </x:c>
      <x:c r="C477" s="19" t="n">
        <x:f>ROUNDUP(B477/12,0)</x:f>
        <x:v>10</x:v>
      </x:c>
      <x:c r="D477" s="19" t="n">
        <x:f>ROUND(MAX('参数'!$G$29,E477)+(IF(C477&lt;10,INDEX('参数'!$G$37:$P$37,1,MIN(10,C477+1)),'参数'!$H$29)-MAX('参数'!$G$29,E477))*MOD(B477-1,12)/11,0)</x:f>
        <x:v>100</x:v>
      </x:c>
      <x:c r="E477" s="19" t="n">
        <x:f>INDEX('参数'!$G$37:$P$37,1,C477)</x:f>
        <x:v>100</x:v>
      </x:c>
      <x:c r="F477" s="20" t="n">
        <x:f>'参数'!$I$29</x:f>
        <x:v>1.29</x:v>
      </x:c>
      <x:c r="G477" s="19" t="n">
        <x:f>ROUND(V477*X477/'参数'!$B$56,0)</x:f>
        <x:v>409927</x:v>
      </x:c>
      <x:c r="H477" s="19" t="n">
        <x:f>ROUND((AA477+SQRT(AA477^2+4*AA477*'参数'!$B$22*U477))/2,0)</x:f>
        <x:v>14547</x:v>
      </x:c>
      <x:c r="I477" s="19" t="n">
        <x:f>ROUND(Q477*'参数'!$B$23/'参数'!$B$22,0)</x:f>
        <x:v>2008</x:v>
      </x:c>
      <x:c r="J477" s="19" t="n">
        <x:f>ROUND(G477*'参数'!$B$50,0)</x:f>
        <x:v>1229781</x:v>
      </x:c>
      <x:c r="K477" s="19" t="n">
        <x:f>ROUND(W477*Y477,0)</x:f>
        <x:v>4035403</x:v>
      </x:c>
      <x:c r="L477" s="19" t="n">
        <x:f>ROUND((AB477+SQRT(AB477^2+4*AB477*'参数'!$B$22*U477))/2,0)</x:f>
        <x:v>24855</x:v>
      </x:c>
      <x:c r="M477" s="19" t="n">
        <x:f>ROUND(I477*'参数'!$B$24,0)</x:f>
        <x:v>2510</x:v>
      </x:c>
      <x:c r="N477" s="19" t="n">
        <x:f>'参数'!$B$9*'参数'!$B$10^(D477-1)</x:f>
        <x:v>11195.319600498813</x:v>
      </x:c>
      <x:c r="O477" s="19" t="n">
        <x:f>'参数'!$B$18*'参数'!$B$19^(MIN(E477,MAX(1,5*INT(D477/5)))-1)*F477*'参数'!$J$29*P477</x:f>
        <x:v>1897.6106812882254</x:v>
      </x:c>
      <x:c r="P477" s="22" t="n">
        <x:f>MIN(1,(D477-1)/19)</x:f>
        <x:v>1</x:v>
      </x:c>
      <x:c r="Q477" s="19" t="n">
        <x:f>INDEX('角色成长'!$F$6:$F$105,D477)+O477*'参数'!$K$21</x:f>
        <x:v>10042.190441671442</x:v>
      </x:c>
      <x:c r="R477" s="19" t="n">
        <x:f>INDEX('角色成长'!$I$6:$I$105,D477)+O477*'参数'!$K$21</x:f>
        <x:v>8744.190441671442</x:v>
      </x:c>
      <x:c r="S477" s="19" t="n">
        <x:f>INDEX('角色成长'!$L$6:$L$105,D477)+O477*'参数'!$K$21</x:f>
        <x:v>8003.190441671442</x:v>
      </x:c>
      <x:c r="T477" s="19" t="n">
        <x:f>(INDEX('角色成长'!$J$6:$J$105,D477)+O477*'参数'!$L$21)*(1+'参数'!$B$40*P477)</x:f>
        <x:v>113637.65283705847</x:v>
      </x:c>
      <x:c r="U477" s="19" t="n">
        <x:f>(INDEX('角色成长'!$K$6:$K$105,D477)+O477*'参数'!$M$21)*(1+'参数'!$B$41*P477)</x:f>
        <x:v>6302.800561479835</x:v>
      </x:c>
      <x:c r="V477" s="19" t="n">
        <x:f>(('参数'!$K$5*(((Q477*(1+'参数'!$B$39*P477))^2/((Q477*(1+'参数'!$B$39*P477))+'参数'!$B$22*(I477)))*(1+'参数'!$B$42*P477)/'参数'!$J$5+((Q477*'参数'!$B$43*(1+'参数'!$B$39*P477))^2/((Q477*'参数'!$B$43*(1+'参数'!$B$39*P477))+'参数'!$B$22*(I477)))/'参数'!$B$44))+(((R477*(1+'参数'!$B$39*P477))^2/((R477*(1+'参数'!$B$39*P477))+'参数'!$B$22*(I477)))*(1+'参数'!$B$42*P477)/'参数'!$J$6+((R477*'参数'!$B$45*(1+'参数'!$B$39*P477))^2/((R477*'参数'!$B$45*(1+'参数'!$B$39*P477))+'参数'!$B$22*(I477)))/'参数'!$B$46)+((S477*(1+'参数'!$B$39*P477))^2/((S477*(1+'参数'!$B$39*P477))+'参数'!$B$22*(I477)))*(1+'参数'!$B$42*P477)/'参数'!$J$7)*(1+'参数'!$B$37*('参数'!$B$38-1))*'参数'!$B$25</x:f>
        <x:v>68074.69622887956</x:v>
      </x:c>
      <x:c r="W477" s="19" t="n">
        <x:f>(('参数'!$K$5*(((Q477*(1+'参数'!$B$39*P477))^2/((Q477*(1+'参数'!$B$39*P477))+'参数'!$B$22*(M477)))*(1+'参数'!$B$42*P477)/'参数'!$J$5+((Q477*'参数'!$B$43*(1+'参数'!$B$39*P477))^2/((Q477*'参数'!$B$43*(1+'参数'!$B$39*P477))+'参数'!$B$22*(M477)))/'参数'!$B$44))+(((R477*(1+'参数'!$B$39*P477))^2/((R477*(1+'参数'!$B$39*P477))+'参数'!$B$22*(M477)))*(1+'参数'!$B$42*P477)/'参数'!$J$6+((R477*'参数'!$B$45*(1+'参数'!$B$39*P477))^2/((R477*'参数'!$B$45*(1+'参数'!$B$39*P477))+'参数'!$B$22*(M477)))/'参数'!$B$46)+((S477*(1+'参数'!$B$39*P477))^2/((S477*(1+'参数'!$B$39*P477))+'参数'!$B$22*(M477)))*(1+'参数'!$B$42*P477)/'参数'!$J$7)*(1+'参数'!$B$37*('参数'!$B$38-1))</x:f>
        <x:v>52445.746688054394</x:v>
      </x:c>
      <x:c r="X477" s="26" t="n">
        <x:f>('参数'!$B$26+'参数'!$B$27*(D477-1)/99)*'参数'!$K$29*AD477</x:f>
        <x:v>27.699957983193276</x:v>
      </x:c>
      <x:c r="Y477" s="26" t="n">
        <x:f>('参数'!$B$28+'参数'!$B$29*(D477-1)/99)*'参数'!$K$29*AD477*IF(AE477=1,'参数'!$B$51,1)</x:f>
        <x:v>76.94432773109243</x:v>
      </x:c>
      <x:c r="Z477" s="22" t="n">
        <x:f>MIN('参数'!$B$36,U477/(U477+'参数'!$B$35))</x:f>
        <x:v>0.6117560486461108</x:v>
      </x:c>
      <x:c r="AA477" s="19" t="n">
        <x:f>T477*'参数'!$B$30/('参数'!$B$32*'参数'!$B$33)/(1-Z477)*AC477</x:f>
        <x:v>9436.142210509171</x:v>
      </x:c>
      <x:c r="AB477" s="19" t="n">
        <x:f>T477*'参数'!$B$31/'参数'!$B$34/(1-Z477)*AC477</x:f>
        <x:v>18872.284421018343</x:v>
      </x:c>
      <x:c r="AC477" s="20" t="n">
        <x:f>'参数'!$L$29*(1+'参数'!$B$53*(B477-1)/119)</x:f>
        <x:v>1.289546218487395</x:v>
      </x:c>
      <x:c r="AD477" s="20" t="n">
        <x:f>1+'参数'!$B$52*(B477-1)/119</x:f>
        <x:v>1.1399159663865546</x:v>
      </x:c>
      <x:c r="AE477" s="19" t="n">
        <x:f>IF(MOD(B477,12)=0,1,0)</x:f>
        <x:v>0</x:v>
      </x:c>
    </x:row>
    <x:row r="478" ht="22" customHeight="1">
      <x:c r="A478" s="18" t="str">
        <x:v>地狱</x:v>
      </x:c>
      <x:c r="B478" s="18" t="n">
        <x:v>113</x:v>
      </x:c>
      <x:c r="C478" s="18" t="n">
        <x:f>ROUNDUP(B478/12,0)</x:f>
        <x:v>10</x:v>
      </x:c>
      <x:c r="D478" s="18" t="n">
        <x:f>ROUND(MAX('参数'!$G$29,E478)+(IF(C478&lt;10,INDEX('参数'!$G$37:$P$37,1,MIN(10,C478+1)),'参数'!$H$29)-MAX('参数'!$G$29,E478))*MOD(B478-1,12)/11,0)</x:f>
        <x:v>100</x:v>
      </x:c>
      <x:c r="E478" s="18" t="n">
        <x:f>INDEX('参数'!$G$37:$P$37,1,C478)</x:f>
        <x:v>100</x:v>
      </x:c>
      <x:c r="F478" s="15" t="n">
        <x:f>'参数'!$I$29</x:f>
        <x:v>1.29</x:v>
      </x:c>
      <x:c r="G478" s="18" t="n">
        <x:f>ROUND(V478*X478/'参数'!$B$56,0)</x:f>
        <x:v>410381</x:v>
      </x:c>
      <x:c r="H478" s="18" t="n">
        <x:f>ROUND((AA478+SQRT(AA478^2+4*AA478*'参数'!$B$22*U478))/2,0)</x:f>
        <x:v>14553</x:v>
      </x:c>
      <x:c r="I478" s="18" t="n">
        <x:f>ROUND(Q478*'参数'!$B$23/'参数'!$B$22,0)</x:f>
        <x:v>2008</x:v>
      </x:c>
      <x:c r="J478" s="18" t="n">
        <x:f>ROUND(G478*'参数'!$B$50,0)</x:f>
        <x:v>1231143</x:v>
      </x:c>
      <x:c r="K478" s="18" t="n">
        <x:f>ROUND(W478*Y478,0)</x:f>
        <x:v>4039865</x:v>
      </x:c>
      <x:c r="L478" s="18" t="n">
        <x:f>ROUND((AB478+SQRT(AB478^2+4*AB478*'参数'!$B$22*U478))/2,0)</x:f>
        <x:v>24867</x:v>
      </x:c>
      <x:c r="M478" s="18" t="n">
        <x:f>ROUND(I478*'参数'!$B$24,0)</x:f>
        <x:v>2510</x:v>
      </x:c>
      <x:c r="N478" s="18" t="n">
        <x:f>'参数'!$B$9*'参数'!$B$10^(D478-1)</x:f>
        <x:v>11195.319600498813</x:v>
      </x:c>
      <x:c r="O478" s="18" t="n">
        <x:f>'参数'!$B$18*'参数'!$B$19^(MIN(E478,MAX(1,5*INT(D478/5)))-1)*F478*'参数'!$J$29*P478</x:f>
        <x:v>1897.6106812882254</x:v>
      </x:c>
      <x:c r="P478" s="21" t="n">
        <x:f>MIN(1,(D478-1)/19)</x:f>
        <x:v>1</x:v>
      </x:c>
      <x:c r="Q478" s="18" t="n">
        <x:f>INDEX('角色成长'!$F$6:$F$105,D478)+O478*'参数'!$K$21</x:f>
        <x:v>10042.190441671442</x:v>
      </x:c>
      <x:c r="R478" s="18" t="n">
        <x:f>INDEX('角色成长'!$I$6:$I$105,D478)+O478*'参数'!$K$21</x:f>
        <x:v>8744.190441671442</x:v>
      </x:c>
      <x:c r="S478" s="18" t="n">
        <x:f>INDEX('角色成长'!$L$6:$L$105,D478)+O478*'参数'!$K$21</x:f>
        <x:v>8003.190441671442</x:v>
      </x:c>
      <x:c r="T478" s="18" t="n">
        <x:f>(INDEX('角色成长'!$J$6:$J$105,D478)+O478*'参数'!$L$21)*(1+'参数'!$B$40*P478)</x:f>
        <x:v>113637.65283705847</x:v>
      </x:c>
      <x:c r="U478" s="18" t="n">
        <x:f>(INDEX('角色成长'!$K$6:$K$105,D478)+O478*'参数'!$M$21)*(1+'参数'!$B$41*P478)</x:f>
        <x:v>6302.800561479835</x:v>
      </x:c>
      <x:c r="V478" s="18" t="n">
        <x:f>(('参数'!$K$5*(((Q478*(1+'参数'!$B$39*P478))^2/((Q478*(1+'参数'!$B$39*P478))+'参数'!$B$22*(I478)))*(1+'参数'!$B$42*P478)/'参数'!$J$5+((Q478*'参数'!$B$43*(1+'参数'!$B$39*P478))^2/((Q478*'参数'!$B$43*(1+'参数'!$B$39*P478))+'参数'!$B$22*(I478)))/'参数'!$B$44))+(((R478*(1+'参数'!$B$39*P478))^2/((R478*(1+'参数'!$B$39*P478))+'参数'!$B$22*(I478)))*(1+'参数'!$B$42*P478)/'参数'!$J$6+((R478*'参数'!$B$45*(1+'参数'!$B$39*P478))^2/((R478*'参数'!$B$45*(1+'参数'!$B$39*P478))+'参数'!$B$22*(I478)))/'参数'!$B$46)+((S478*(1+'参数'!$B$39*P478))^2/((S478*(1+'参数'!$B$39*P478))+'参数'!$B$22*(I478)))*(1+'参数'!$B$42*P478)/'参数'!$J$7)*(1+'参数'!$B$37*('参数'!$B$38-1))*'参数'!$B$25</x:f>
        <x:v>68074.69622887956</x:v>
      </x:c>
      <x:c r="W478" s="18" t="n">
        <x:f>(('参数'!$K$5*(((Q478*(1+'参数'!$B$39*P478))^2/((Q478*(1+'参数'!$B$39*P478))+'参数'!$B$22*(M478)))*(1+'参数'!$B$42*P478)/'参数'!$J$5+((Q478*'参数'!$B$43*(1+'参数'!$B$39*P478))^2/((Q478*'参数'!$B$43*(1+'参数'!$B$39*P478))+'参数'!$B$22*(M478)))/'参数'!$B$44))+(((R478*(1+'参数'!$B$39*P478))^2/((R478*(1+'参数'!$B$39*P478))+'参数'!$B$22*(M478)))*(1+'参数'!$B$42*P478)/'参数'!$J$6+((R478*'参数'!$B$45*(1+'参数'!$B$39*P478))^2/((R478*'参数'!$B$45*(1+'参数'!$B$39*P478))+'参数'!$B$22*(M478)))/'参数'!$B$46)+((S478*(1+'参数'!$B$39*P478))^2/((S478*(1+'参数'!$B$39*P478))+'参数'!$B$22*(M478)))*(1+'参数'!$B$42*P478)/'参数'!$J$7)*(1+'参数'!$B$37*('参数'!$B$38-1))</x:f>
        <x:v>52445.746688054394</x:v>
      </x:c>
      <x:c r="X478" s="25" t="n">
        <x:f>('参数'!$B$26+'参数'!$B$27*(D478-1)/99)*'参数'!$K$29*AD478</x:f>
        <x:v>27.730588235294118</x:v>
      </x:c>
      <x:c r="Y478" s="25" t="n">
        <x:f>('参数'!$B$28+'参数'!$B$29*(D478-1)/99)*'参数'!$K$29*AD478*IF(AE478=1,'参数'!$B$51,1)</x:f>
        <x:v>77.02941176470588</x:v>
      </x:c>
      <x:c r="Z478" s="21" t="n">
        <x:f>MIN('参数'!$B$36,U478/(U478+'参数'!$B$35))</x:f>
        <x:v>0.6117560486461108</x:v>
      </x:c>
      <x:c r="AA478" s="18" t="n">
        <x:f>T478*'参数'!$B$30/('参数'!$B$32*'参数'!$B$33)/(1-Z478)*AC478</x:f>
        <x:v>9442.045333568607</x:v>
      </x:c>
      <x:c r="AB478" s="18" t="n">
        <x:f>T478*'参数'!$B$31/'参数'!$B$34/(1-Z478)*AC478</x:f>
        <x:v>18884.090667137214</x:v>
      </x:c>
      <x:c r="AC478" s="15" t="n">
        <x:f>'参数'!$L$29*(1+'参数'!$B$53*(B478-1)/119)</x:f>
        <x:v>1.2903529411764705</x:v>
      </x:c>
      <x:c r="AD478" s="15" t="n">
        <x:f>1+'参数'!$B$52*(B478-1)/119</x:f>
        <x:v>1.1411764705882352</x:v>
      </x:c>
      <x:c r="AE478" s="18" t="n">
        <x:f>IF(MOD(B478,12)=0,1,0)</x:f>
        <x:v>0</x:v>
      </x:c>
    </x:row>
    <x:row r="479" ht="22" customHeight="1">
      <x:c r="A479" s="19" t="str">
        <x:v>地狱</x:v>
      </x:c>
      <x:c r="B479" s="19" t="n">
        <x:v>114</x:v>
      </x:c>
      <x:c r="C479" s="19" t="n">
        <x:f>ROUNDUP(B479/12,0)</x:f>
        <x:v>10</x:v>
      </x:c>
      <x:c r="D479" s="19" t="n">
        <x:f>ROUND(MAX('参数'!$G$29,E479)+(IF(C479&lt;10,INDEX('参数'!$G$37:$P$37,1,MIN(10,C479+1)),'参数'!$H$29)-MAX('参数'!$G$29,E479))*MOD(B479-1,12)/11,0)</x:f>
        <x:v>100</x:v>
      </x:c>
      <x:c r="E479" s="19" t="n">
        <x:f>INDEX('参数'!$G$37:$P$37,1,C479)</x:f>
        <x:v>100</x:v>
      </x:c>
      <x:c r="F479" s="20" t="n">
        <x:f>'参数'!$I$29</x:f>
        <x:v>1.29</x:v>
      </x:c>
      <x:c r="G479" s="19" t="n">
        <x:f>ROUND(V479*X479/'参数'!$B$56,0)</x:f>
        <x:v>410834</x:v>
      </x:c>
      <x:c r="H479" s="19" t="n">
        <x:f>ROUND((AA479+SQRT(AA479^2+4*AA479*'参数'!$B$22*U479))/2,0)</x:f>
        <x:v>14560</x:v>
      </x:c>
      <x:c r="I479" s="19" t="n">
        <x:f>ROUND(Q479*'参数'!$B$23/'参数'!$B$22,0)</x:f>
        <x:v>2008</x:v>
      </x:c>
      <x:c r="J479" s="19" t="n">
        <x:f>ROUND(G479*'参数'!$B$50,0)</x:f>
        <x:v>1232502</x:v>
      </x:c>
      <x:c r="K479" s="19" t="n">
        <x:f>ROUND(W479*Y479,0)</x:f>
        <x:v>4044327</x:v>
      </x:c>
      <x:c r="L479" s="19" t="n">
        <x:f>ROUND((AB479+SQRT(AB479^2+4*AB479*'参数'!$B$22*U479))/2,0)</x:f>
        <x:v>24880</x:v>
      </x:c>
      <x:c r="M479" s="19" t="n">
        <x:f>ROUND(I479*'参数'!$B$24,0)</x:f>
        <x:v>2510</x:v>
      </x:c>
      <x:c r="N479" s="19" t="n">
        <x:f>'参数'!$B$9*'参数'!$B$10^(D479-1)</x:f>
        <x:v>11195.319600498813</x:v>
      </x:c>
      <x:c r="O479" s="19" t="n">
        <x:f>'参数'!$B$18*'参数'!$B$19^(MIN(E479,MAX(1,5*INT(D479/5)))-1)*F479*'参数'!$J$29*P479</x:f>
        <x:v>1897.6106812882254</x:v>
      </x:c>
      <x:c r="P479" s="22" t="n">
        <x:f>MIN(1,(D479-1)/19)</x:f>
        <x:v>1</x:v>
      </x:c>
      <x:c r="Q479" s="19" t="n">
        <x:f>INDEX('角色成长'!$F$6:$F$105,D479)+O479*'参数'!$K$21</x:f>
        <x:v>10042.190441671442</x:v>
      </x:c>
      <x:c r="R479" s="19" t="n">
        <x:f>INDEX('角色成长'!$I$6:$I$105,D479)+O479*'参数'!$K$21</x:f>
        <x:v>8744.190441671442</x:v>
      </x:c>
      <x:c r="S479" s="19" t="n">
        <x:f>INDEX('角色成长'!$L$6:$L$105,D479)+O479*'参数'!$K$21</x:f>
        <x:v>8003.190441671442</x:v>
      </x:c>
      <x:c r="T479" s="19" t="n">
        <x:f>(INDEX('角色成长'!$J$6:$J$105,D479)+O479*'参数'!$L$21)*(1+'参数'!$B$40*P479)</x:f>
        <x:v>113637.65283705847</x:v>
      </x:c>
      <x:c r="U479" s="19" t="n">
        <x:f>(INDEX('角色成长'!$K$6:$K$105,D479)+O479*'参数'!$M$21)*(1+'参数'!$B$41*P479)</x:f>
        <x:v>6302.800561479835</x:v>
      </x:c>
      <x:c r="V479" s="19" t="n">
        <x:f>(('参数'!$K$5*(((Q479*(1+'参数'!$B$39*P479))^2/((Q479*(1+'参数'!$B$39*P479))+'参数'!$B$22*(I479)))*(1+'参数'!$B$42*P479)/'参数'!$J$5+((Q479*'参数'!$B$43*(1+'参数'!$B$39*P479))^2/((Q479*'参数'!$B$43*(1+'参数'!$B$39*P479))+'参数'!$B$22*(I479)))/'参数'!$B$44))+(((R479*(1+'参数'!$B$39*P479))^2/((R479*(1+'参数'!$B$39*P479))+'参数'!$B$22*(I479)))*(1+'参数'!$B$42*P479)/'参数'!$J$6+((R479*'参数'!$B$45*(1+'参数'!$B$39*P479))^2/((R479*'参数'!$B$45*(1+'参数'!$B$39*P479))+'参数'!$B$22*(I479)))/'参数'!$B$46)+((S479*(1+'参数'!$B$39*P479))^2/((S479*(1+'参数'!$B$39*P479))+'参数'!$B$22*(I479)))*(1+'参数'!$B$42*P479)/'参数'!$J$7)*(1+'参数'!$B$37*('参数'!$B$38-1))*'参数'!$B$25</x:f>
        <x:v>68074.69622887956</x:v>
      </x:c>
      <x:c r="W479" s="19" t="n">
        <x:f>(('参数'!$K$5*(((Q479*(1+'参数'!$B$39*P479))^2/((Q479*(1+'参数'!$B$39*P479))+'参数'!$B$22*(M479)))*(1+'参数'!$B$42*P479)/'参数'!$J$5+((Q479*'参数'!$B$43*(1+'参数'!$B$39*P479))^2/((Q479*'参数'!$B$43*(1+'参数'!$B$39*P479))+'参数'!$B$22*(M479)))/'参数'!$B$44))+(((R479*(1+'参数'!$B$39*P479))^2/((R479*(1+'参数'!$B$39*P479))+'参数'!$B$22*(M479)))*(1+'参数'!$B$42*P479)/'参数'!$J$6+((R479*'参数'!$B$45*(1+'参数'!$B$39*P479))^2/((R479*'参数'!$B$45*(1+'参数'!$B$39*P479))+'参数'!$B$22*(M479)))/'参数'!$B$46)+((S479*(1+'参数'!$B$39*P479))^2/((S479*(1+'参数'!$B$39*P479))+'参数'!$B$22*(M479)))*(1+'参数'!$B$42*P479)/'参数'!$J$7)*(1+'参数'!$B$37*('参数'!$B$38-1))</x:f>
        <x:v>52445.746688054394</x:v>
      </x:c>
      <x:c r="X479" s="26" t="n">
        <x:f>('参数'!$B$26+'参数'!$B$27*(D479-1)/99)*'参数'!$K$29*AD479</x:f>
        <x:v>27.761218487394956</x:v>
      </x:c>
      <x:c r="Y479" s="26" t="n">
        <x:f>('参数'!$B$28+'参数'!$B$29*(D479-1)/99)*'参数'!$K$29*AD479*IF(AE479=1,'参数'!$B$51,1)</x:f>
        <x:v>77.11449579831933</x:v>
      </x:c>
      <x:c r="Z479" s="22" t="n">
        <x:f>MIN('参数'!$B$36,U479/(U479+'参数'!$B$35))</x:f>
        <x:v>0.6117560486461108</x:v>
      </x:c>
      <x:c r="AA479" s="19" t="n">
        <x:f>T479*'参数'!$B$30/('参数'!$B$32*'参数'!$B$33)/(1-Z479)*AC479</x:f>
        <x:v>9447.948456628044</x:v>
      </x:c>
      <x:c r="AB479" s="19" t="n">
        <x:f>T479*'参数'!$B$31/'参数'!$B$34/(1-Z479)*AC479</x:f>
        <x:v>18895.89691325609</x:v>
      </x:c>
      <x:c r="AC479" s="20" t="n">
        <x:f>'参数'!$L$29*(1+'参数'!$B$53*(B479-1)/119)</x:f>
        <x:v>1.2911596638655463</x:v>
      </x:c>
      <x:c r="AD479" s="20" t="n">
        <x:f>1+'参数'!$B$52*(B479-1)/119</x:f>
        <x:v>1.142436974789916</x:v>
      </x:c>
      <x:c r="AE479" s="19" t="n">
        <x:f>IF(MOD(B479,12)=0,1,0)</x:f>
        <x:v>0</x:v>
      </x:c>
    </x:row>
    <x:row r="480" ht="22" customHeight="1">
      <x:c r="A480" s="18" t="str">
        <x:v>地狱</x:v>
      </x:c>
      <x:c r="B480" s="18" t="n">
        <x:v>115</x:v>
      </x:c>
      <x:c r="C480" s="18" t="n">
        <x:f>ROUNDUP(B480/12,0)</x:f>
        <x:v>10</x:v>
      </x:c>
      <x:c r="D480" s="18" t="n">
        <x:f>ROUND(MAX('参数'!$G$29,E480)+(IF(C480&lt;10,INDEX('参数'!$G$37:$P$37,1,MIN(10,C480+1)),'参数'!$H$29)-MAX('参数'!$G$29,E480))*MOD(B480-1,12)/11,0)</x:f>
        <x:v>100</x:v>
      </x:c>
      <x:c r="E480" s="18" t="n">
        <x:f>INDEX('参数'!$G$37:$P$37,1,C480)</x:f>
        <x:v>100</x:v>
      </x:c>
      <x:c r="F480" s="15" t="n">
        <x:f>'参数'!$I$29</x:f>
        <x:v>1.29</x:v>
      </x:c>
      <x:c r="G480" s="18" t="n">
        <x:f>ROUND(V480*X480/'参数'!$B$56,0)</x:f>
        <x:v>411287</x:v>
      </x:c>
      <x:c r="H480" s="18" t="n">
        <x:f>ROUND((AA480+SQRT(AA480^2+4*AA480*'参数'!$B$22*U480))/2,0)</x:f>
        <x:v>14567</x:v>
      </x:c>
      <x:c r="I480" s="18" t="n">
        <x:f>ROUND(Q480*'参数'!$B$23/'参数'!$B$22,0)</x:f>
        <x:v>2008</x:v>
      </x:c>
      <x:c r="J480" s="18" t="n">
        <x:f>ROUND(G480*'参数'!$B$50,0)</x:f>
        <x:v>1233861</x:v>
      </x:c>
      <x:c r="K480" s="18" t="n">
        <x:f>ROUND(W480*Y480,0)</x:f>
        <x:v>4048790</x:v>
      </x:c>
      <x:c r="L480" s="18" t="n">
        <x:f>ROUND((AB480+SQRT(AB480^2+4*AB480*'参数'!$B$22*U480))/2,0)</x:f>
        <x:v>24892</x:v>
      </x:c>
      <x:c r="M480" s="18" t="n">
        <x:f>ROUND(I480*'参数'!$B$24,0)</x:f>
        <x:v>2510</x:v>
      </x:c>
      <x:c r="N480" s="18" t="n">
        <x:f>'参数'!$B$9*'参数'!$B$10^(D480-1)</x:f>
        <x:v>11195.319600498813</x:v>
      </x:c>
      <x:c r="O480" s="18" t="n">
        <x:f>'参数'!$B$18*'参数'!$B$19^(MIN(E480,MAX(1,5*INT(D480/5)))-1)*F480*'参数'!$J$29*P480</x:f>
        <x:v>1897.6106812882254</x:v>
      </x:c>
      <x:c r="P480" s="21" t="n">
        <x:f>MIN(1,(D480-1)/19)</x:f>
        <x:v>1</x:v>
      </x:c>
      <x:c r="Q480" s="18" t="n">
        <x:f>INDEX('角色成长'!$F$6:$F$105,D480)+O480*'参数'!$K$21</x:f>
        <x:v>10042.190441671442</x:v>
      </x:c>
      <x:c r="R480" s="18" t="n">
        <x:f>INDEX('角色成长'!$I$6:$I$105,D480)+O480*'参数'!$K$21</x:f>
        <x:v>8744.190441671442</x:v>
      </x:c>
      <x:c r="S480" s="18" t="n">
        <x:f>INDEX('角色成长'!$L$6:$L$105,D480)+O480*'参数'!$K$21</x:f>
        <x:v>8003.190441671442</x:v>
      </x:c>
      <x:c r="T480" s="18" t="n">
        <x:f>(INDEX('角色成长'!$J$6:$J$105,D480)+O480*'参数'!$L$21)*(1+'参数'!$B$40*P480)</x:f>
        <x:v>113637.65283705847</x:v>
      </x:c>
      <x:c r="U480" s="18" t="n">
        <x:f>(INDEX('角色成长'!$K$6:$K$105,D480)+O480*'参数'!$M$21)*(1+'参数'!$B$41*P480)</x:f>
        <x:v>6302.800561479835</x:v>
      </x:c>
      <x:c r="V480" s="18" t="n">
        <x:f>(('参数'!$K$5*(((Q480*(1+'参数'!$B$39*P480))^2/((Q480*(1+'参数'!$B$39*P480))+'参数'!$B$22*(I480)))*(1+'参数'!$B$42*P480)/'参数'!$J$5+((Q480*'参数'!$B$43*(1+'参数'!$B$39*P480))^2/((Q480*'参数'!$B$43*(1+'参数'!$B$39*P480))+'参数'!$B$22*(I480)))/'参数'!$B$44))+(((R480*(1+'参数'!$B$39*P480))^2/((R480*(1+'参数'!$B$39*P480))+'参数'!$B$22*(I480)))*(1+'参数'!$B$42*P480)/'参数'!$J$6+((R480*'参数'!$B$45*(1+'参数'!$B$39*P480))^2/((R480*'参数'!$B$45*(1+'参数'!$B$39*P480))+'参数'!$B$22*(I480)))/'参数'!$B$46)+((S480*(1+'参数'!$B$39*P480))^2/((S480*(1+'参数'!$B$39*P480))+'参数'!$B$22*(I480)))*(1+'参数'!$B$42*P480)/'参数'!$J$7)*(1+'参数'!$B$37*('参数'!$B$38-1))*'参数'!$B$25</x:f>
        <x:v>68074.69622887956</x:v>
      </x:c>
      <x:c r="W480" s="18" t="n">
        <x:f>(('参数'!$K$5*(((Q480*(1+'参数'!$B$39*P480))^2/((Q480*(1+'参数'!$B$39*P480))+'参数'!$B$22*(M480)))*(1+'参数'!$B$42*P480)/'参数'!$J$5+((Q480*'参数'!$B$43*(1+'参数'!$B$39*P480))^2/((Q480*'参数'!$B$43*(1+'参数'!$B$39*P480))+'参数'!$B$22*(M480)))/'参数'!$B$44))+(((R480*(1+'参数'!$B$39*P480))^2/((R480*(1+'参数'!$B$39*P480))+'参数'!$B$22*(M480)))*(1+'参数'!$B$42*P480)/'参数'!$J$6+((R480*'参数'!$B$45*(1+'参数'!$B$39*P480))^2/((R480*'参数'!$B$45*(1+'参数'!$B$39*P480))+'参数'!$B$22*(M480)))/'参数'!$B$46)+((S480*(1+'参数'!$B$39*P480))^2/((S480*(1+'参数'!$B$39*P480))+'参数'!$B$22*(M480)))*(1+'参数'!$B$42*P480)/'参数'!$J$7)*(1+'参数'!$B$37*('参数'!$B$38-1))</x:f>
        <x:v>52445.746688054394</x:v>
      </x:c>
      <x:c r="X480" s="25" t="n">
        <x:f>('参数'!$B$26+'参数'!$B$27*(D480-1)/99)*'参数'!$K$29*AD480</x:f>
        <x:v>27.791848739495798</x:v>
      </x:c>
      <x:c r="Y480" s="25" t="n">
        <x:f>('参数'!$B$28+'参数'!$B$29*(D480-1)/99)*'参数'!$K$29*AD480*IF(AE480=1,'参数'!$B$51,1)</x:f>
        <x:v>77.19957983193277</x:v>
      </x:c>
      <x:c r="Z480" s="21" t="n">
        <x:f>MIN('参数'!$B$36,U480/(U480+'参数'!$B$35))</x:f>
        <x:v>0.6117560486461108</x:v>
      </x:c>
      <x:c r="AA480" s="18" t="n">
        <x:f>T480*'参数'!$B$30/('参数'!$B$32*'参数'!$B$33)/(1-Z480)*AC480</x:f>
        <x:v>9453.85157968748</x:v>
      </x:c>
      <x:c r="AB480" s="18" t="n">
        <x:f>T480*'参数'!$B$31/'参数'!$B$34/(1-Z480)*AC480</x:f>
        <x:v>18907.70315937496</x:v>
      </x:c>
      <x:c r="AC480" s="15" t="n">
        <x:f>'参数'!$L$29*(1+'参数'!$B$53*(B480-1)/119)</x:f>
        <x:v>1.2919663865546218</x:v>
      </x:c>
      <x:c r="AD480" s="15" t="n">
        <x:f>1+'参数'!$B$52*(B480-1)/119</x:f>
        <x:v>1.1436974789915966</x:v>
      </x:c>
      <x:c r="AE480" s="18" t="n">
        <x:f>IF(MOD(B480,12)=0,1,0)</x:f>
        <x:v>0</x:v>
      </x:c>
    </x:row>
    <x:row r="481" ht="22" customHeight="1">
      <x:c r="A481" s="19" t="str">
        <x:v>地狱</x:v>
      </x:c>
      <x:c r="B481" s="19" t="n">
        <x:v>116</x:v>
      </x:c>
      <x:c r="C481" s="19" t="n">
        <x:f>ROUNDUP(B481/12,0)</x:f>
        <x:v>10</x:v>
      </x:c>
      <x:c r="D481" s="19" t="n">
        <x:f>ROUND(MAX('参数'!$G$29,E481)+(IF(C481&lt;10,INDEX('参数'!$G$37:$P$37,1,MIN(10,C481+1)),'参数'!$H$29)-MAX('参数'!$G$29,E481))*MOD(B481-1,12)/11,0)</x:f>
        <x:v>100</x:v>
      </x:c>
      <x:c r="E481" s="19" t="n">
        <x:f>INDEX('参数'!$G$37:$P$37,1,C481)</x:f>
        <x:v>100</x:v>
      </x:c>
      <x:c r="F481" s="20" t="n">
        <x:f>'参数'!$I$29</x:f>
        <x:v>1.29</x:v>
      </x:c>
      <x:c r="G481" s="19" t="n">
        <x:f>ROUND(V481*X481/'参数'!$B$56,0)</x:f>
        <x:v>411741</x:v>
      </x:c>
      <x:c r="H481" s="19" t="n">
        <x:f>ROUND((AA481+SQRT(AA481^2+4*AA481*'参数'!$B$22*U481))/2,0)</x:f>
        <x:v>14574</x:v>
      </x:c>
      <x:c r="I481" s="19" t="n">
        <x:f>ROUND(Q481*'参数'!$B$23/'参数'!$B$22,0)</x:f>
        <x:v>2008</x:v>
      </x:c>
      <x:c r="J481" s="19" t="n">
        <x:f>ROUND(G481*'参数'!$B$50,0)</x:f>
        <x:v>1235223</x:v>
      </x:c>
      <x:c r="K481" s="19" t="n">
        <x:f>ROUND(W481*Y481,0)</x:f>
        <x:v>4053252</x:v>
      </x:c>
      <x:c r="L481" s="19" t="n">
        <x:f>ROUND((AB481+SQRT(AB481^2+4*AB481*'参数'!$B$22*U481))/2,0)</x:f>
        <x:v>24905</x:v>
      </x:c>
      <x:c r="M481" s="19" t="n">
        <x:f>ROUND(I481*'参数'!$B$24,0)</x:f>
        <x:v>2510</x:v>
      </x:c>
      <x:c r="N481" s="19" t="n">
        <x:f>'参数'!$B$9*'参数'!$B$10^(D481-1)</x:f>
        <x:v>11195.319600498813</x:v>
      </x:c>
      <x:c r="O481" s="19" t="n">
        <x:f>'参数'!$B$18*'参数'!$B$19^(MIN(E481,MAX(1,5*INT(D481/5)))-1)*F481*'参数'!$J$29*P481</x:f>
        <x:v>1897.6106812882254</x:v>
      </x:c>
      <x:c r="P481" s="22" t="n">
        <x:f>MIN(1,(D481-1)/19)</x:f>
        <x:v>1</x:v>
      </x:c>
      <x:c r="Q481" s="19" t="n">
        <x:f>INDEX('角色成长'!$F$6:$F$105,D481)+O481*'参数'!$K$21</x:f>
        <x:v>10042.190441671442</x:v>
      </x:c>
      <x:c r="R481" s="19" t="n">
        <x:f>INDEX('角色成长'!$I$6:$I$105,D481)+O481*'参数'!$K$21</x:f>
        <x:v>8744.190441671442</x:v>
      </x:c>
      <x:c r="S481" s="19" t="n">
        <x:f>INDEX('角色成长'!$L$6:$L$105,D481)+O481*'参数'!$K$21</x:f>
        <x:v>8003.190441671442</x:v>
      </x:c>
      <x:c r="T481" s="19" t="n">
        <x:f>(INDEX('角色成长'!$J$6:$J$105,D481)+O481*'参数'!$L$21)*(1+'参数'!$B$40*P481)</x:f>
        <x:v>113637.65283705847</x:v>
      </x:c>
      <x:c r="U481" s="19" t="n">
        <x:f>(INDEX('角色成长'!$K$6:$K$105,D481)+O481*'参数'!$M$21)*(1+'参数'!$B$41*P481)</x:f>
        <x:v>6302.800561479835</x:v>
      </x:c>
      <x:c r="V481" s="19" t="n">
        <x:f>(('参数'!$K$5*(((Q481*(1+'参数'!$B$39*P481))^2/((Q481*(1+'参数'!$B$39*P481))+'参数'!$B$22*(I481)))*(1+'参数'!$B$42*P481)/'参数'!$J$5+((Q481*'参数'!$B$43*(1+'参数'!$B$39*P481))^2/((Q481*'参数'!$B$43*(1+'参数'!$B$39*P481))+'参数'!$B$22*(I481)))/'参数'!$B$44))+(((R481*(1+'参数'!$B$39*P481))^2/((R481*(1+'参数'!$B$39*P481))+'参数'!$B$22*(I481)))*(1+'参数'!$B$42*P481)/'参数'!$J$6+((R481*'参数'!$B$45*(1+'参数'!$B$39*P481))^2/((R481*'参数'!$B$45*(1+'参数'!$B$39*P481))+'参数'!$B$22*(I481)))/'参数'!$B$46)+((S481*(1+'参数'!$B$39*P481))^2/((S481*(1+'参数'!$B$39*P481))+'参数'!$B$22*(I481)))*(1+'参数'!$B$42*P481)/'参数'!$J$7)*(1+'参数'!$B$37*('参数'!$B$38-1))*'参数'!$B$25</x:f>
        <x:v>68074.69622887956</x:v>
      </x:c>
      <x:c r="W481" s="19" t="n">
        <x:f>(('参数'!$K$5*(((Q481*(1+'参数'!$B$39*P481))^2/((Q481*(1+'参数'!$B$39*P481))+'参数'!$B$22*(M481)))*(1+'参数'!$B$42*P481)/'参数'!$J$5+((Q481*'参数'!$B$43*(1+'参数'!$B$39*P481))^2/((Q481*'参数'!$B$43*(1+'参数'!$B$39*P481))+'参数'!$B$22*(M481)))/'参数'!$B$44))+(((R481*(1+'参数'!$B$39*P481))^2/((R481*(1+'参数'!$B$39*P481))+'参数'!$B$22*(M481)))*(1+'参数'!$B$42*P481)/'参数'!$J$6+((R481*'参数'!$B$45*(1+'参数'!$B$39*P481))^2/((R481*'参数'!$B$45*(1+'参数'!$B$39*P481))+'参数'!$B$22*(M481)))/'参数'!$B$46)+((S481*(1+'参数'!$B$39*P481))^2/((S481*(1+'参数'!$B$39*P481))+'参数'!$B$22*(M481)))*(1+'参数'!$B$42*P481)/'参数'!$J$7)*(1+'参数'!$B$37*('参数'!$B$38-1))</x:f>
        <x:v>52445.746688054394</x:v>
      </x:c>
      <x:c r="X481" s="26" t="n">
        <x:f>('参数'!$B$26+'参数'!$B$27*(D481-1)/99)*'参数'!$K$29*AD481</x:f>
        <x:v>27.822478991596636</x:v>
      </x:c>
      <x:c r="Y481" s="26" t="n">
        <x:f>('参数'!$B$28+'参数'!$B$29*(D481-1)/99)*'参数'!$K$29*AD481*IF(AE481=1,'参数'!$B$51,1)</x:f>
        <x:v>77.28466386554621</x:v>
      </x:c>
      <x:c r="Z481" s="22" t="n">
        <x:f>MIN('参数'!$B$36,U481/(U481+'参数'!$B$35))</x:f>
        <x:v>0.6117560486461108</x:v>
      </x:c>
      <x:c r="AA481" s="19" t="n">
        <x:f>T481*'参数'!$B$30/('参数'!$B$32*'参数'!$B$33)/(1-Z481)*AC481</x:f>
        <x:v>9459.754702746917</x:v>
      </x:c>
      <x:c r="AB481" s="19" t="n">
        <x:f>T481*'参数'!$B$31/'参数'!$B$34/(1-Z481)*AC481</x:f>
        <x:v>18919.509405493834</x:v>
      </x:c>
      <x:c r="AC481" s="20" t="n">
        <x:f>'参数'!$L$29*(1+'参数'!$B$53*(B481-1)/119)</x:f>
        <x:v>1.2927731092436974</x:v>
      </x:c>
      <x:c r="AD481" s="20" t="n">
        <x:f>1+'参数'!$B$52*(B481-1)/119</x:f>
        <x:v>1.1449579831932772</x:v>
      </x:c>
      <x:c r="AE481" s="19" t="n">
        <x:f>IF(MOD(B481,12)=0,1,0)</x:f>
        <x:v>0</x:v>
      </x:c>
    </x:row>
    <x:row r="482" ht="22" customHeight="1">
      <x:c r="A482" s="18" t="str">
        <x:v>地狱</x:v>
      </x:c>
      <x:c r="B482" s="18" t="n">
        <x:v>117</x:v>
      </x:c>
      <x:c r="C482" s="18" t="n">
        <x:f>ROUNDUP(B482/12,0)</x:f>
        <x:v>10</x:v>
      </x:c>
      <x:c r="D482" s="18" t="n">
        <x:f>ROUND(MAX('参数'!$G$29,E482)+(IF(C482&lt;10,INDEX('参数'!$G$37:$P$37,1,MIN(10,C482+1)),'参数'!$H$29)-MAX('参数'!$G$29,E482))*MOD(B482-1,12)/11,0)</x:f>
        <x:v>100</x:v>
      </x:c>
      <x:c r="E482" s="18" t="n">
        <x:f>INDEX('参数'!$G$37:$P$37,1,C482)</x:f>
        <x:v>100</x:v>
      </x:c>
      <x:c r="F482" s="15" t="n">
        <x:f>'参数'!$I$29</x:f>
        <x:v>1.29</x:v>
      </x:c>
      <x:c r="G482" s="18" t="n">
        <x:f>ROUND(V482*X482/'参数'!$B$56,0)</x:f>
        <x:v>412194</x:v>
      </x:c>
      <x:c r="H482" s="18" t="n">
        <x:f>ROUND((AA482+SQRT(AA482^2+4*AA482*'参数'!$B$22*U482))/2,0)</x:f>
        <x:v>14580</x:v>
      </x:c>
      <x:c r="I482" s="18" t="n">
        <x:f>ROUND(Q482*'参数'!$B$23/'参数'!$B$22,0)</x:f>
        <x:v>2008</x:v>
      </x:c>
      <x:c r="J482" s="18" t="n">
        <x:f>ROUND(G482*'参数'!$B$50,0)</x:f>
        <x:v>1236582</x:v>
      </x:c>
      <x:c r="K482" s="18" t="n">
        <x:f>ROUND(W482*Y482,0)</x:f>
        <x:v>4057714</x:v>
      </x:c>
      <x:c r="L482" s="18" t="n">
        <x:f>ROUND((AB482+SQRT(AB482^2+4*AB482*'参数'!$B$22*U482))/2,0)</x:f>
        <x:v>24917</x:v>
      </x:c>
      <x:c r="M482" s="18" t="n">
        <x:f>ROUND(I482*'参数'!$B$24,0)</x:f>
        <x:v>2510</x:v>
      </x:c>
      <x:c r="N482" s="18" t="n">
        <x:f>'参数'!$B$9*'参数'!$B$10^(D482-1)</x:f>
        <x:v>11195.319600498813</x:v>
      </x:c>
      <x:c r="O482" s="18" t="n">
        <x:f>'参数'!$B$18*'参数'!$B$19^(MIN(E482,MAX(1,5*INT(D482/5)))-1)*F482*'参数'!$J$29*P482</x:f>
        <x:v>1897.6106812882254</x:v>
      </x:c>
      <x:c r="P482" s="21" t="n">
        <x:f>MIN(1,(D482-1)/19)</x:f>
        <x:v>1</x:v>
      </x:c>
      <x:c r="Q482" s="18" t="n">
        <x:f>INDEX('角色成长'!$F$6:$F$105,D482)+O482*'参数'!$K$21</x:f>
        <x:v>10042.190441671442</x:v>
      </x:c>
      <x:c r="R482" s="18" t="n">
        <x:f>INDEX('角色成长'!$I$6:$I$105,D482)+O482*'参数'!$K$21</x:f>
        <x:v>8744.190441671442</x:v>
      </x:c>
      <x:c r="S482" s="18" t="n">
        <x:f>INDEX('角色成长'!$L$6:$L$105,D482)+O482*'参数'!$K$21</x:f>
        <x:v>8003.190441671442</x:v>
      </x:c>
      <x:c r="T482" s="18" t="n">
        <x:f>(INDEX('角色成长'!$J$6:$J$105,D482)+O482*'参数'!$L$21)*(1+'参数'!$B$40*P482)</x:f>
        <x:v>113637.65283705847</x:v>
      </x:c>
      <x:c r="U482" s="18" t="n">
        <x:f>(INDEX('角色成长'!$K$6:$K$105,D482)+O482*'参数'!$M$21)*(1+'参数'!$B$41*P482)</x:f>
        <x:v>6302.800561479835</x:v>
      </x:c>
      <x:c r="V482" s="18" t="n">
        <x:f>(('参数'!$K$5*(((Q482*(1+'参数'!$B$39*P482))^2/((Q482*(1+'参数'!$B$39*P482))+'参数'!$B$22*(I482)))*(1+'参数'!$B$42*P482)/'参数'!$J$5+((Q482*'参数'!$B$43*(1+'参数'!$B$39*P482))^2/((Q482*'参数'!$B$43*(1+'参数'!$B$39*P482))+'参数'!$B$22*(I482)))/'参数'!$B$44))+(((R482*(1+'参数'!$B$39*P482))^2/((R482*(1+'参数'!$B$39*P482))+'参数'!$B$22*(I482)))*(1+'参数'!$B$42*P482)/'参数'!$J$6+((R482*'参数'!$B$45*(1+'参数'!$B$39*P482))^2/((R482*'参数'!$B$45*(1+'参数'!$B$39*P482))+'参数'!$B$22*(I482)))/'参数'!$B$46)+((S482*(1+'参数'!$B$39*P482))^2/((S482*(1+'参数'!$B$39*P482))+'参数'!$B$22*(I482)))*(1+'参数'!$B$42*P482)/'参数'!$J$7)*(1+'参数'!$B$37*('参数'!$B$38-1))*'参数'!$B$25</x:f>
        <x:v>68074.69622887956</x:v>
      </x:c>
      <x:c r="W482" s="18" t="n">
        <x:f>(('参数'!$K$5*(((Q482*(1+'参数'!$B$39*P482))^2/((Q482*(1+'参数'!$B$39*P482))+'参数'!$B$22*(M482)))*(1+'参数'!$B$42*P482)/'参数'!$J$5+((Q482*'参数'!$B$43*(1+'参数'!$B$39*P482))^2/((Q482*'参数'!$B$43*(1+'参数'!$B$39*P482))+'参数'!$B$22*(M482)))/'参数'!$B$44))+(((R482*(1+'参数'!$B$39*P482))^2/((R482*(1+'参数'!$B$39*P482))+'参数'!$B$22*(M482)))*(1+'参数'!$B$42*P482)/'参数'!$J$6+((R482*'参数'!$B$45*(1+'参数'!$B$39*P482))^2/((R482*'参数'!$B$45*(1+'参数'!$B$39*P482))+'参数'!$B$22*(M482)))/'参数'!$B$46)+((S482*(1+'参数'!$B$39*P482))^2/((S482*(1+'参数'!$B$39*P482))+'参数'!$B$22*(M482)))*(1+'参数'!$B$42*P482)/'参数'!$J$7)*(1+'参数'!$B$37*('参数'!$B$38-1))</x:f>
        <x:v>52445.746688054394</x:v>
      </x:c>
      <x:c r="X482" s="25" t="n">
        <x:f>('参数'!$B$26+'参数'!$B$27*(D482-1)/99)*'参数'!$K$29*AD482</x:f>
        <x:v>27.853109243697478</x:v>
      </x:c>
      <x:c r="Y482" s="25" t="n">
        <x:f>('参数'!$B$28+'参数'!$B$29*(D482-1)/99)*'参数'!$K$29*AD482*IF(AE482=1,'参数'!$B$51,1)</x:f>
        <x:v>77.36974789915966</x:v>
      </x:c>
      <x:c r="Z482" s="21" t="n">
        <x:f>MIN('参数'!$B$36,U482/(U482+'参数'!$B$35))</x:f>
        <x:v>0.6117560486461108</x:v>
      </x:c>
      <x:c r="AA482" s="18" t="n">
        <x:f>T482*'参数'!$B$30/('参数'!$B$32*'参数'!$B$33)/(1-Z482)*AC482</x:f>
        <x:v>9465.657825806355</x:v>
      </x:c>
      <x:c r="AB482" s="18" t="n">
        <x:f>T482*'参数'!$B$31/'参数'!$B$34/(1-Z482)*AC482</x:f>
        <x:v>18931.31565161271</x:v>
      </x:c>
      <x:c r="AC482" s="15" t="n">
        <x:f>'参数'!$L$29*(1+'参数'!$B$53*(B482-1)/119)</x:f>
        <x:v>1.2935798319327731</x:v>
      </x:c>
      <x:c r="AD482" s="15" t="n">
        <x:f>1+'参数'!$B$52*(B482-1)/119</x:f>
        <x:v>1.146218487394958</x:v>
      </x:c>
      <x:c r="AE482" s="18" t="n">
        <x:f>IF(MOD(B482,12)=0,1,0)</x:f>
        <x:v>0</x:v>
      </x:c>
    </x:row>
    <x:row r="483" ht="22" customHeight="1">
      <x:c r="A483" s="19" t="str">
        <x:v>地狱</x:v>
      </x:c>
      <x:c r="B483" s="19" t="n">
        <x:v>118</x:v>
      </x:c>
      <x:c r="C483" s="19" t="n">
        <x:f>ROUNDUP(B483/12,0)</x:f>
        <x:v>10</x:v>
      </x:c>
      <x:c r="D483" s="19" t="n">
        <x:f>ROUND(MAX('参数'!$G$29,E483)+(IF(C483&lt;10,INDEX('参数'!$G$37:$P$37,1,MIN(10,C483+1)),'参数'!$H$29)-MAX('参数'!$G$29,E483))*MOD(B483-1,12)/11,0)</x:f>
        <x:v>100</x:v>
      </x:c>
      <x:c r="E483" s="19" t="n">
        <x:f>INDEX('参数'!$G$37:$P$37,1,C483)</x:f>
        <x:v>100</x:v>
      </x:c>
      <x:c r="F483" s="20" t="n">
        <x:f>'参数'!$I$29</x:f>
        <x:v>1.29</x:v>
      </x:c>
      <x:c r="G483" s="19" t="n">
        <x:f>ROUND(V483*X483/'参数'!$B$56,0)</x:f>
        <x:v>412647</x:v>
      </x:c>
      <x:c r="H483" s="19" t="n">
        <x:f>ROUND((AA483+SQRT(AA483^2+4*AA483*'参数'!$B$22*U483))/2,0)</x:f>
        <x:v>14587</x:v>
      </x:c>
      <x:c r="I483" s="19" t="n">
        <x:f>ROUND(Q483*'参数'!$B$23/'参数'!$B$22,0)</x:f>
        <x:v>2008</x:v>
      </x:c>
      <x:c r="J483" s="19" t="n">
        <x:f>ROUND(G483*'参数'!$B$50,0)</x:f>
        <x:v>1237941</x:v>
      </x:c>
      <x:c r="K483" s="19" t="n">
        <x:f>ROUND(W483*Y483,0)</x:f>
        <x:v>4062176</x:v>
      </x:c>
      <x:c r="L483" s="19" t="n">
        <x:f>ROUND((AB483+SQRT(AB483^2+4*AB483*'参数'!$B$22*U483))/2,0)</x:f>
        <x:v>24930</x:v>
      </x:c>
      <x:c r="M483" s="19" t="n">
        <x:f>ROUND(I483*'参数'!$B$24,0)</x:f>
        <x:v>2510</x:v>
      </x:c>
      <x:c r="N483" s="19" t="n">
        <x:f>'参数'!$B$9*'参数'!$B$10^(D483-1)</x:f>
        <x:v>11195.319600498813</x:v>
      </x:c>
      <x:c r="O483" s="19" t="n">
        <x:f>'参数'!$B$18*'参数'!$B$19^(MIN(E483,MAX(1,5*INT(D483/5)))-1)*F483*'参数'!$J$29*P483</x:f>
        <x:v>1897.6106812882254</x:v>
      </x:c>
      <x:c r="P483" s="22" t="n">
        <x:f>MIN(1,(D483-1)/19)</x:f>
        <x:v>1</x:v>
      </x:c>
      <x:c r="Q483" s="19" t="n">
        <x:f>INDEX('角色成长'!$F$6:$F$105,D483)+O483*'参数'!$K$21</x:f>
        <x:v>10042.190441671442</x:v>
      </x:c>
      <x:c r="R483" s="19" t="n">
        <x:f>INDEX('角色成长'!$I$6:$I$105,D483)+O483*'参数'!$K$21</x:f>
        <x:v>8744.190441671442</x:v>
      </x:c>
      <x:c r="S483" s="19" t="n">
        <x:f>INDEX('角色成长'!$L$6:$L$105,D483)+O483*'参数'!$K$21</x:f>
        <x:v>8003.190441671442</x:v>
      </x:c>
      <x:c r="T483" s="19" t="n">
        <x:f>(INDEX('角色成长'!$J$6:$J$105,D483)+O483*'参数'!$L$21)*(1+'参数'!$B$40*P483)</x:f>
        <x:v>113637.65283705847</x:v>
      </x:c>
      <x:c r="U483" s="19" t="n">
        <x:f>(INDEX('角色成长'!$K$6:$K$105,D483)+O483*'参数'!$M$21)*(1+'参数'!$B$41*P483)</x:f>
        <x:v>6302.800561479835</x:v>
      </x:c>
      <x:c r="V483" s="19" t="n">
        <x:f>(('参数'!$K$5*(((Q483*(1+'参数'!$B$39*P483))^2/((Q483*(1+'参数'!$B$39*P483))+'参数'!$B$22*(I483)))*(1+'参数'!$B$42*P483)/'参数'!$J$5+((Q483*'参数'!$B$43*(1+'参数'!$B$39*P483))^2/((Q483*'参数'!$B$43*(1+'参数'!$B$39*P483))+'参数'!$B$22*(I483)))/'参数'!$B$44))+(((R483*(1+'参数'!$B$39*P483))^2/((R483*(1+'参数'!$B$39*P483))+'参数'!$B$22*(I483)))*(1+'参数'!$B$42*P483)/'参数'!$J$6+((R483*'参数'!$B$45*(1+'参数'!$B$39*P483))^2/((R483*'参数'!$B$45*(1+'参数'!$B$39*P483))+'参数'!$B$22*(I483)))/'参数'!$B$46)+((S483*(1+'参数'!$B$39*P483))^2/((S483*(1+'参数'!$B$39*P483))+'参数'!$B$22*(I483)))*(1+'参数'!$B$42*P483)/'参数'!$J$7)*(1+'参数'!$B$37*('参数'!$B$38-1))*'参数'!$B$25</x:f>
        <x:v>68074.69622887956</x:v>
      </x:c>
      <x:c r="W483" s="19" t="n">
        <x:f>(('参数'!$K$5*(((Q483*(1+'参数'!$B$39*P483))^2/((Q483*(1+'参数'!$B$39*P483))+'参数'!$B$22*(M483)))*(1+'参数'!$B$42*P483)/'参数'!$J$5+((Q483*'参数'!$B$43*(1+'参数'!$B$39*P483))^2/((Q483*'参数'!$B$43*(1+'参数'!$B$39*P483))+'参数'!$B$22*(M483)))/'参数'!$B$44))+(((R483*(1+'参数'!$B$39*P483))^2/((R483*(1+'参数'!$B$39*P483))+'参数'!$B$22*(M483)))*(1+'参数'!$B$42*P483)/'参数'!$J$6+((R483*'参数'!$B$45*(1+'参数'!$B$39*P483))^2/((R483*'参数'!$B$45*(1+'参数'!$B$39*P483))+'参数'!$B$22*(M483)))/'参数'!$B$46)+((S483*(1+'参数'!$B$39*P483))^2/((S483*(1+'参数'!$B$39*P483))+'参数'!$B$22*(M483)))*(1+'参数'!$B$42*P483)/'参数'!$J$7)*(1+'参数'!$B$37*('参数'!$B$38-1))</x:f>
        <x:v>52445.746688054394</x:v>
      </x:c>
      <x:c r="X483" s="26" t="n">
        <x:f>('参数'!$B$26+'参数'!$B$27*(D483-1)/99)*'参数'!$K$29*AD483</x:f>
        <x:v>27.883739495798316</x:v>
      </x:c>
      <x:c r="Y483" s="26" t="n">
        <x:f>('参数'!$B$28+'参数'!$B$29*(D483-1)/99)*'参数'!$K$29*AD483*IF(AE483=1,'参数'!$B$51,1)</x:f>
        <x:v>77.4548319327731</x:v>
      </x:c>
      <x:c r="Z483" s="22" t="n">
        <x:f>MIN('参数'!$B$36,U483/(U483+'参数'!$B$35))</x:f>
        <x:v>0.6117560486461108</x:v>
      </x:c>
      <x:c r="AA483" s="19" t="n">
        <x:f>T483*'参数'!$B$30/('参数'!$B$32*'参数'!$B$33)/(1-Z483)*AC483</x:f>
        <x:v>9471.560948865788</x:v>
      </x:c>
      <x:c r="AB483" s="19" t="n">
        <x:f>T483*'参数'!$B$31/'参数'!$B$34/(1-Z483)*AC483</x:f>
        <x:v>18943.121897731577</x:v>
      </x:c>
      <x:c r="AC483" s="20" t="n">
        <x:f>'参数'!$L$29*(1+'参数'!$B$53*(B483-1)/119)</x:f>
        <x:v>1.2943865546218485</x:v>
      </x:c>
      <x:c r="AD483" s="20" t="n">
        <x:f>1+'参数'!$B$52*(B483-1)/119</x:f>
        <x:v>1.1474789915966386</x:v>
      </x:c>
      <x:c r="AE483" s="19" t="n">
        <x:f>IF(MOD(B483,12)=0,1,0)</x:f>
        <x:v>0</x:v>
      </x:c>
    </x:row>
    <x:row r="484" ht="22" customHeight="1">
      <x:c r="A484" s="18" t="str">
        <x:v>地狱</x:v>
      </x:c>
      <x:c r="B484" s="18" t="n">
        <x:v>119</x:v>
      </x:c>
      <x:c r="C484" s="18" t="n">
        <x:f>ROUNDUP(B484/12,0)</x:f>
        <x:v>10</x:v>
      </x:c>
      <x:c r="D484" s="18" t="n">
        <x:f>ROUND(MAX('参数'!$G$29,E484)+(IF(C484&lt;10,INDEX('参数'!$G$37:$P$37,1,MIN(10,C484+1)),'参数'!$H$29)-MAX('参数'!$G$29,E484))*MOD(B484-1,12)/11,0)</x:f>
        <x:v>100</x:v>
      </x:c>
      <x:c r="E484" s="18" t="n">
        <x:f>INDEX('参数'!$G$37:$P$37,1,C484)</x:f>
        <x:v>100</x:v>
      </x:c>
      <x:c r="F484" s="15" t="n">
        <x:f>'参数'!$I$29</x:f>
        <x:v>1.29</x:v>
      </x:c>
      <x:c r="G484" s="18" t="n">
        <x:f>ROUND(V484*X484/'参数'!$B$56,0)</x:f>
        <x:v>413100</x:v>
      </x:c>
      <x:c r="H484" s="18" t="n">
        <x:f>ROUND((AA484+SQRT(AA484^2+4*AA484*'参数'!$B$22*U484))/2,0)</x:f>
        <x:v>14594</x:v>
      </x:c>
      <x:c r="I484" s="18" t="n">
        <x:f>ROUND(Q484*'参数'!$B$23/'参数'!$B$22,0)</x:f>
        <x:v>2008</x:v>
      </x:c>
      <x:c r="J484" s="18" t="n">
        <x:f>ROUND(G484*'参数'!$B$50,0)</x:f>
        <x:v>1239300</x:v>
      </x:c>
      <x:c r="K484" s="18" t="n">
        <x:f>ROUND(W484*Y484,0)</x:f>
        <x:v>4066639</x:v>
      </x:c>
      <x:c r="L484" s="18" t="n">
        <x:f>ROUND((AB484+SQRT(AB484^2+4*AB484*'参数'!$B$22*U484))/2,0)</x:f>
        <x:v>24942</x:v>
      </x:c>
      <x:c r="M484" s="18" t="n">
        <x:f>ROUND(I484*'参数'!$B$24,0)</x:f>
        <x:v>2510</x:v>
      </x:c>
      <x:c r="N484" s="18" t="n">
        <x:f>'参数'!$B$9*'参数'!$B$10^(D484-1)</x:f>
        <x:v>11195.319600498813</x:v>
      </x:c>
      <x:c r="O484" s="18" t="n">
        <x:f>'参数'!$B$18*'参数'!$B$19^(MIN(E484,MAX(1,5*INT(D484/5)))-1)*F484*'参数'!$J$29*P484</x:f>
        <x:v>1897.6106812882254</x:v>
      </x:c>
      <x:c r="P484" s="21" t="n">
        <x:f>MIN(1,(D484-1)/19)</x:f>
        <x:v>1</x:v>
      </x:c>
      <x:c r="Q484" s="18" t="n">
        <x:f>INDEX('角色成长'!$F$6:$F$105,D484)+O484*'参数'!$K$21</x:f>
        <x:v>10042.190441671442</x:v>
      </x:c>
      <x:c r="R484" s="18" t="n">
        <x:f>INDEX('角色成长'!$I$6:$I$105,D484)+O484*'参数'!$K$21</x:f>
        <x:v>8744.190441671442</x:v>
      </x:c>
      <x:c r="S484" s="18" t="n">
        <x:f>INDEX('角色成长'!$L$6:$L$105,D484)+O484*'参数'!$K$21</x:f>
        <x:v>8003.190441671442</x:v>
      </x:c>
      <x:c r="T484" s="18" t="n">
        <x:f>(INDEX('角色成长'!$J$6:$J$105,D484)+O484*'参数'!$L$21)*(1+'参数'!$B$40*P484)</x:f>
        <x:v>113637.65283705847</x:v>
      </x:c>
      <x:c r="U484" s="18" t="n">
        <x:f>(INDEX('角色成长'!$K$6:$K$105,D484)+O484*'参数'!$M$21)*(1+'参数'!$B$41*P484)</x:f>
        <x:v>6302.800561479835</x:v>
      </x:c>
      <x:c r="V484" s="18" t="n">
        <x:f>(('参数'!$K$5*(((Q484*(1+'参数'!$B$39*P484))^2/((Q484*(1+'参数'!$B$39*P484))+'参数'!$B$22*(I484)))*(1+'参数'!$B$42*P484)/'参数'!$J$5+((Q484*'参数'!$B$43*(1+'参数'!$B$39*P484))^2/((Q484*'参数'!$B$43*(1+'参数'!$B$39*P484))+'参数'!$B$22*(I484)))/'参数'!$B$44))+(((R484*(1+'参数'!$B$39*P484))^2/((R484*(1+'参数'!$B$39*P484))+'参数'!$B$22*(I484)))*(1+'参数'!$B$42*P484)/'参数'!$J$6+((R484*'参数'!$B$45*(1+'参数'!$B$39*P484))^2/((R484*'参数'!$B$45*(1+'参数'!$B$39*P484))+'参数'!$B$22*(I484)))/'参数'!$B$46)+((S484*(1+'参数'!$B$39*P484))^2/((S484*(1+'参数'!$B$39*P484))+'参数'!$B$22*(I484)))*(1+'参数'!$B$42*P484)/'参数'!$J$7)*(1+'参数'!$B$37*('参数'!$B$38-1))*'参数'!$B$25</x:f>
        <x:v>68074.69622887956</x:v>
      </x:c>
      <x:c r="W484" s="18" t="n">
        <x:f>(('参数'!$K$5*(((Q484*(1+'参数'!$B$39*P484))^2/((Q484*(1+'参数'!$B$39*P484))+'参数'!$B$22*(M484)))*(1+'参数'!$B$42*P484)/'参数'!$J$5+((Q484*'参数'!$B$43*(1+'参数'!$B$39*P484))^2/((Q484*'参数'!$B$43*(1+'参数'!$B$39*P484))+'参数'!$B$22*(M484)))/'参数'!$B$44))+(((R484*(1+'参数'!$B$39*P484))^2/((R484*(1+'参数'!$B$39*P484))+'参数'!$B$22*(M484)))*(1+'参数'!$B$42*P484)/'参数'!$J$6+((R484*'参数'!$B$45*(1+'参数'!$B$39*P484))^2/((R484*'参数'!$B$45*(1+'参数'!$B$39*P484))+'参数'!$B$22*(M484)))/'参数'!$B$46)+((S484*(1+'参数'!$B$39*P484))^2/((S484*(1+'参数'!$B$39*P484))+'参数'!$B$22*(M484)))*(1+'参数'!$B$42*P484)/'参数'!$J$7)*(1+'参数'!$B$37*('参数'!$B$38-1))</x:f>
        <x:v>52445.746688054394</x:v>
      </x:c>
      <x:c r="X484" s="25" t="n">
        <x:f>('参数'!$B$26+'参数'!$B$27*(D484-1)/99)*'参数'!$K$29*AD484</x:f>
        <x:v>27.91436974789916</x:v>
      </x:c>
      <x:c r="Y484" s="25" t="n">
        <x:f>('参数'!$B$28+'参数'!$B$29*(D484-1)/99)*'参数'!$K$29*AD484*IF(AE484=1,'参数'!$B$51,1)</x:f>
        <x:v>77.53991596638654</x:v>
      </x:c>
      <x:c r="Z484" s="21" t="n">
        <x:f>MIN('参数'!$B$36,U484/(U484+'参数'!$B$35))</x:f>
        <x:v>0.6117560486461108</x:v>
      </x:c>
      <x:c r="AA484" s="18" t="n">
        <x:f>T484*'参数'!$B$30/('参数'!$B$32*'参数'!$B$33)/(1-Z484)*AC484</x:f>
        <x:v>9477.464071925226</x:v>
      </x:c>
      <x:c r="AB484" s="18" t="n">
        <x:f>T484*'参数'!$B$31/'参数'!$B$34/(1-Z484)*AC484</x:f>
        <x:v>18954.92814385045</x:v>
      </x:c>
      <x:c r="AC484" s="15" t="n">
        <x:f>'参数'!$L$29*(1+'参数'!$B$53*(B484-1)/119)</x:f>
        <x:v>1.2951932773109243</x:v>
      </x:c>
      <x:c r="AD484" s="15" t="n">
        <x:f>1+'参数'!$B$52*(B484-1)/119</x:f>
        <x:v>1.1487394957983192</x:v>
      </x:c>
      <x:c r="AE484" s="18" t="n">
        <x:f>IF(MOD(B484,12)=0,1,0)</x:f>
        <x:v>0</x:v>
      </x:c>
    </x:row>
    <x:row r="485" ht="22" customHeight="1">
      <x:c r="A485" s="19" t="str">
        <x:v>地狱</x:v>
      </x:c>
      <x:c r="B485" s="19" t="n">
        <x:v>120</x:v>
      </x:c>
      <x:c r="C485" s="19" t="n">
        <x:f>ROUNDUP(B485/12,0)</x:f>
        <x:v>10</x:v>
      </x:c>
      <x:c r="D485" s="19" t="n">
        <x:f>ROUND(MAX('参数'!$G$29,E485)+(IF(C485&lt;10,INDEX('参数'!$G$37:$P$37,1,MIN(10,C485+1)),'参数'!$H$29)-MAX('参数'!$G$29,E485))*MOD(B485-1,12)/11,0)</x:f>
        <x:v>100</x:v>
      </x:c>
      <x:c r="E485" s="19" t="n">
        <x:f>INDEX('参数'!$G$37:$P$37,1,C485)</x:f>
        <x:v>100</x:v>
      </x:c>
      <x:c r="F485" s="20" t="n">
        <x:f>'参数'!$I$29</x:f>
        <x:v>1.29</x:v>
      </x:c>
      <x:c r="G485" s="19" t="n">
        <x:f>ROUND(V485*X485/'参数'!$B$56,0)</x:f>
        <x:v>413554</x:v>
      </x:c>
      <x:c r="H485" s="19" t="n">
        <x:f>ROUND((AA485+SQRT(AA485^2+4*AA485*'参数'!$B$22*U485))/2,0)</x:f>
        <x:v>14601</x:v>
      </x:c>
      <x:c r="I485" s="19" t="n">
        <x:f>ROUND(Q485*'参数'!$B$23/'参数'!$B$22,0)</x:f>
        <x:v>2008</x:v>
      </x:c>
      <x:c r="J485" s="19" t="n">
        <x:f>ROUND(G485*'参数'!$B$50,0)</x:f>
        <x:v>1240662</x:v>
      </x:c>
      <x:c r="K485" s="19" t="n">
        <x:f>ROUND(W485*Y485,0)</x:f>
        <x:v>4681766</x:v>
      </x:c>
      <x:c r="L485" s="19" t="n">
        <x:f>ROUND((AB485+SQRT(AB485^2+4*AB485*'参数'!$B$22*U485))/2,0)</x:f>
        <x:v>24955</x:v>
      </x:c>
      <x:c r="M485" s="19" t="n">
        <x:f>ROUND(I485*'参数'!$B$24,0)</x:f>
        <x:v>2510</x:v>
      </x:c>
      <x:c r="N485" s="19" t="n">
        <x:f>'参数'!$B$9*'参数'!$B$10^(D485-1)</x:f>
        <x:v>11195.319600498813</x:v>
      </x:c>
      <x:c r="O485" s="19" t="n">
        <x:f>'参数'!$B$18*'参数'!$B$19^(MIN(E485,MAX(1,5*INT(D485/5)))-1)*F485*'参数'!$J$29*P485</x:f>
        <x:v>1897.6106812882254</x:v>
      </x:c>
      <x:c r="P485" s="22" t="n">
        <x:f>MIN(1,(D485-1)/19)</x:f>
        <x:v>1</x:v>
      </x:c>
      <x:c r="Q485" s="19" t="n">
        <x:f>INDEX('角色成长'!$F$6:$F$105,D485)+O485*'参数'!$K$21</x:f>
        <x:v>10042.190441671442</x:v>
      </x:c>
      <x:c r="R485" s="19" t="n">
        <x:f>INDEX('角色成长'!$I$6:$I$105,D485)+O485*'参数'!$K$21</x:f>
        <x:v>8744.190441671442</x:v>
      </x:c>
      <x:c r="S485" s="19" t="n">
        <x:f>INDEX('角色成长'!$L$6:$L$105,D485)+O485*'参数'!$K$21</x:f>
        <x:v>8003.190441671442</x:v>
      </x:c>
      <x:c r="T485" s="19" t="n">
        <x:f>(INDEX('角色成长'!$J$6:$J$105,D485)+O485*'参数'!$L$21)*(1+'参数'!$B$40*P485)</x:f>
        <x:v>113637.65283705847</x:v>
      </x:c>
      <x:c r="U485" s="19" t="n">
        <x:f>(INDEX('角色成长'!$K$6:$K$105,D485)+O485*'参数'!$M$21)*(1+'参数'!$B$41*P485)</x:f>
        <x:v>6302.800561479835</x:v>
      </x:c>
      <x:c r="V485" s="19" t="n">
        <x:f>(('参数'!$K$5*(((Q485*(1+'参数'!$B$39*P485))^2/((Q485*(1+'参数'!$B$39*P485))+'参数'!$B$22*(I485)))*(1+'参数'!$B$42*P485)/'参数'!$J$5+((Q485*'参数'!$B$43*(1+'参数'!$B$39*P485))^2/((Q485*'参数'!$B$43*(1+'参数'!$B$39*P485))+'参数'!$B$22*(I485)))/'参数'!$B$44))+(((R485*(1+'参数'!$B$39*P485))^2/((R485*(1+'参数'!$B$39*P485))+'参数'!$B$22*(I485)))*(1+'参数'!$B$42*P485)/'参数'!$J$6+((R485*'参数'!$B$45*(1+'参数'!$B$39*P485))^2/((R485*'参数'!$B$45*(1+'参数'!$B$39*P485))+'参数'!$B$22*(I485)))/'参数'!$B$46)+((S485*(1+'参数'!$B$39*P485))^2/((S485*(1+'参数'!$B$39*P485))+'参数'!$B$22*(I485)))*(1+'参数'!$B$42*P485)/'参数'!$J$7)*(1+'参数'!$B$37*('参数'!$B$38-1))*'参数'!$B$25</x:f>
        <x:v>68074.69622887956</x:v>
      </x:c>
      <x:c r="W485" s="19" t="n">
        <x:f>(('参数'!$K$5*(((Q485*(1+'参数'!$B$39*P485))^2/((Q485*(1+'参数'!$B$39*P485))+'参数'!$B$22*(M485)))*(1+'参数'!$B$42*P485)/'参数'!$J$5+((Q485*'参数'!$B$43*(1+'参数'!$B$39*P485))^2/((Q485*'参数'!$B$43*(1+'参数'!$B$39*P485))+'参数'!$B$22*(M485)))/'参数'!$B$44))+(((R485*(1+'参数'!$B$39*P485))^2/((R485*(1+'参数'!$B$39*P485))+'参数'!$B$22*(M485)))*(1+'参数'!$B$42*P485)/'参数'!$J$6+((R485*'参数'!$B$45*(1+'参数'!$B$39*P485))^2/((R485*'参数'!$B$45*(1+'参数'!$B$39*P485))+'参数'!$B$22*(M485)))/'参数'!$B$46)+((S485*(1+'参数'!$B$39*P485))^2/((S485*(1+'参数'!$B$39*P485))+'参数'!$B$22*(M485)))*(1+'参数'!$B$42*P485)/'参数'!$J$7)*(1+'参数'!$B$37*('参数'!$B$38-1))</x:f>
        <x:v>52445.746688054394</x:v>
      </x:c>
      <x:c r="X485" s="26" t="n">
        <x:f>('参数'!$B$26+'参数'!$B$27*(D485-1)/99)*'参数'!$K$29*AD485</x:f>
        <x:v>27.945</x:v>
      </x:c>
      <x:c r="Y485" s="26" t="n">
        <x:f>('参数'!$B$28+'参数'!$B$29*(D485-1)/99)*'参数'!$K$29*AD485*IF(AE485=1,'参数'!$B$51,1)</x:f>
        <x:v>89.26875</x:v>
      </x:c>
      <x:c r="Z485" s="22" t="n">
        <x:f>MIN('参数'!$B$36,U485/(U485+'参数'!$B$35))</x:f>
        <x:v>0.6117560486461108</x:v>
      </x:c>
      <x:c r="AA485" s="19" t="n">
        <x:f>T485*'参数'!$B$30/('参数'!$B$32*'参数'!$B$33)/(1-Z485)*AC485</x:f>
        <x:v>9483.367194984663</x:v>
      </x:c>
      <x:c r="AB485" s="19" t="n">
        <x:f>T485*'参数'!$B$31/'参数'!$B$34/(1-Z485)*AC485</x:f>
        <x:v>18966.734389969326</x:v>
      </x:c>
      <x:c r="AC485" s="20" t="n">
        <x:f>'参数'!$L$29*(1+'参数'!$B$53*(B485-1)/119)</x:f>
        <x:v>1.296</x:v>
      </x:c>
      <x:c r="AD485" s="20" t="n">
        <x:f>1+'参数'!$B$52*(B485-1)/119</x:f>
        <x:v>1.15</x:v>
      </x:c>
      <x:c r="AE485" s="19" t="n">
        <x:f>IF(MOD(B485,12)=0,1,0)</x:f>
        <x:v>1</x:v>
      </x:c>
    </x:row>
    <x:row r="486" ht="22" customHeight="1">
      <x:c r="A486" s="18" t="str">
        <x:v>折磨</x:v>
      </x:c>
      <x:c r="B486" s="18" t="n">
        <x:v>1</x:v>
      </x:c>
      <x:c r="C486" s="18" t="n">
        <x:f>ROUNDUP(B486/12,0)</x:f>
        <x:v>1</x:v>
      </x:c>
      <x:c r="D486" s="18" t="n">
        <x:f>ROUND(MAX('参数'!$G$30,E486)+(IF(C486&lt;10,INDEX('参数'!$G$38:$P$38,1,MIN(10,C486+1)),'参数'!$H$30)-MAX('参数'!$G$30,E486))*MOD(B486-1,12)/11,0)</x:f>
        <x:v>100</x:v>
      </x:c>
      <x:c r="E486" s="18" t="n">
        <x:f>INDEX('参数'!$G$38:$P$38,1,C486)</x:f>
        <x:v>100</x:v>
      </x:c>
      <x:c r="F486" s="15" t="n">
        <x:f>'参数'!$I$30</x:f>
        <x:v>1.43</x:v>
      </x:c>
      <x:c r="G486" s="18" t="n">
        <x:f>ROUND(V486*X486/'参数'!$B$56,0)</x:f>
        <x:v>452515</x:v>
      </x:c>
      <x:c r="H486" s="18" t="n">
        <x:f>ROUND((AA486+SQRT(AA486^2+4*AA486*'参数'!$B$22*U486))/2,0)</x:f>
        <x:v>16237</x:v>
      </x:c>
      <x:c r="I486" s="18" t="n">
        <x:f>ROUND(Q486*'参数'!$B$23/'参数'!$B$22,0)</x:f>
        <x:v>2126</x:v>
      </x:c>
      <x:c r="J486" s="18" t="n">
        <x:f>ROUND(G486*'参数'!$B$50,0)</x:f>
        <x:v>1357545</x:v>
      </x:c>
      <x:c r="K486" s="18" t="n">
        <x:f>ROUND(W486*Y486,0)</x:f>
        <x:v>4454740</x:v>
      </x:c>
      <x:c r="L486" s="18" t="n">
        <x:f>ROUND((AB486+SQRT(AB486^2+4*AB486*'参数'!$B$22*U486))/2,0)</x:f>
        <x:v>27864</x:v>
      </x:c>
      <x:c r="M486" s="18" t="n">
        <x:f>ROUND(I486*'参数'!$B$24,0)</x:f>
        <x:v>2658</x:v>
      </x:c>
      <x:c r="N486" s="18" t="n">
        <x:f>'参数'!$B$9*'参数'!$B$10^(D486-1)</x:f>
        <x:v>11195.319600498813</x:v>
      </x:c>
      <x:c r="O486" s="18" t="n">
        <x:f>'参数'!$B$18*'参数'!$B$19^(MIN(E486,MAX(1,5*INT(D486/5)))-1)*F486*'参数'!$J$30*P486</x:f>
        <x:v>2103.552925769118</x:v>
      </x:c>
      <x:c r="P486" s="21" t="n">
        <x:f>MIN(1,(D486-1)/19)</x:f>
        <x:v>1</x:v>
      </x:c>
      <x:c r="Q486" s="18" t="n">
        <x:f>INDEX('角色成长'!$F$6:$F$105,D486)+O486*'参数'!$K$21</x:f>
        <x:v>10629.125838441985</x:v>
      </x:c>
      <x:c r="R486" s="18" t="n">
        <x:f>INDEX('角色成长'!$I$6:$I$105,D486)+O486*'参数'!$K$21</x:f>
        <x:v>9331.125838441985</x:v>
      </x:c>
      <x:c r="S486" s="18" t="n">
        <x:f>INDEX('角色成长'!$L$6:$L$105,D486)+O486*'参数'!$K$21</x:f>
        <x:v>8590.125838441985</x:v>
      </x:c>
      <x:c r="T486" s="18" t="n">
        <x:f>(INDEX('角色成长'!$J$6:$J$105,D486)+O486*'参数'!$L$21)*(1+'参数'!$B$40*P486)</x:f>
        <x:v>118666.76244728187</x:v>
      </x:c>
      <x:c r="U486" s="18" t="n">
        <x:f>(INDEX('角色成长'!$K$6:$K$105,D486)+O486*'参数'!$M$21)*(1+'参数'!$B$41*P486)</x:f>
        <x:v>6699.239382105553</x:v>
      </x:c>
      <x:c r="V486" s="18" t="n">
        <x:f>(('参数'!$K$5*(((Q486*(1+'参数'!$B$39*P486))^2/((Q486*(1+'参数'!$B$39*P486))+'参数'!$B$22*(I486)))*(1+'参数'!$B$42*P486)/'参数'!$J$5+((Q486*'参数'!$B$43*(1+'参数'!$B$39*P486))^2/((Q486*'参数'!$B$43*(1+'参数'!$B$39*P486))+'参数'!$B$22*(I486)))/'参数'!$B$44))+(((R486*(1+'参数'!$B$39*P486))^2/((R486*(1+'参数'!$B$39*P486))+'参数'!$B$22*(I486)))*(1+'参数'!$B$42*P486)/'参数'!$J$6+((R486*'参数'!$B$45*(1+'参数'!$B$39*P486))^2/((R486*'参数'!$B$45*(1+'参数'!$B$39*P486))+'参数'!$B$22*(I486)))/'参数'!$B$46)+((S486*(1+'参数'!$B$39*P486))^2/((S486*(1+'参数'!$B$39*P486))+'参数'!$B$22*(I486)))*(1+'参数'!$B$42*P486)/'参数'!$J$7)*(1+'参数'!$B$37*('参数'!$B$38-1))*'参数'!$B$25</x:f>
        <x:v>72276.65152942482</x:v>
      </x:c>
      <x:c r="W486" s="18" t="n">
        <x:f>(('参数'!$K$5*(((Q486*(1+'参数'!$B$39*P486))^2/((Q486*(1+'参数'!$B$39*P486))+'参数'!$B$22*(M486)))*(1+'参数'!$B$42*P486)/'参数'!$J$5+((Q486*'参数'!$B$43*(1+'参数'!$B$39*P486))^2/((Q486*'参数'!$B$43*(1+'参数'!$B$39*P486))+'参数'!$B$22*(M486)))/'参数'!$B$44))+(((R486*(1+'参数'!$B$39*P486))^2/((R486*(1+'参数'!$B$39*P486))+'参数'!$B$22*(M486)))*(1+'参数'!$B$42*P486)/'参数'!$J$6+((R486*'参数'!$B$45*(1+'参数'!$B$39*P486))^2/((R486*'参数'!$B$45*(1+'参数'!$B$39*P486))+'参数'!$B$22*(M486)))/'参数'!$B$46)+((S486*(1+'参数'!$B$39*P486))^2/((S486*(1+'参数'!$B$39*P486))+'参数'!$B$22*(M486)))*(1+'参数'!$B$42*P486)/'参数'!$J$7)*(1+'参数'!$B$37*('参数'!$B$38-1))</x:f>
        <x:v>55684.2511674383</x:v>
      </x:c>
      <x:c r="X486" s="25" t="n">
        <x:f>('参数'!$B$26+'参数'!$B$27*(D486-1)/99)*'参数'!$K$30*AD486</x:f>
        <x:v>28.8</x:v>
      </x:c>
      <x:c r="Y486" s="25" t="n">
        <x:f>('参数'!$B$28+'参数'!$B$29*(D486-1)/99)*'参数'!$K$30*AD486*IF(AE486=1,'参数'!$B$51,1)</x:f>
        <x:v>80</x:v>
      </x:c>
      <x:c r="Z486" s="21" t="n">
        <x:f>MIN('参数'!$B$36,U486/(U486+'参数'!$B$35))</x:f>
        <x:v>0.6261416482848315</x:v>
      </x:c>
      <x:c r="AA486" s="18" t="n">
        <x:f>T486*'参数'!$B$30/('参数'!$B$32*'参数'!$B$33)/(1-Z486)*AC486</x:f>
        <x:v>10712.622077912161</x:v>
      </x:c>
      <x:c r="AB486" s="18" t="n">
        <x:f>T486*'参数'!$B$31/'参数'!$B$34/(1-Z486)*AC486</x:f>
        <x:v>21425.244155824323</x:v>
      </x:c>
      <x:c r="AC486" s="15" t="n">
        <x:f>'参数'!$L$30*(1+'参数'!$B$53*(B486-1)/119)</x:f>
        <x:v>1.35</x:v>
      </x:c>
      <x:c r="AD486" s="15" t="n">
        <x:f>1+'参数'!$B$52*(B486-1)/119</x:f>
        <x:v>1</x:v>
      </x:c>
      <x:c r="AE486" s="18" t="n">
        <x:f>IF(MOD(B486,12)=0,1,0)</x:f>
        <x:v>0</x:v>
      </x:c>
    </x:row>
    <x:row r="487" ht="22" customHeight="1">
      <x:c r="A487" s="19" t="str">
        <x:v>折磨</x:v>
      </x:c>
      <x:c r="B487" s="19" t="n">
        <x:v>2</x:v>
      </x:c>
      <x:c r="C487" s="19" t="n">
        <x:f>ROUNDUP(B487/12,0)</x:f>
        <x:v>1</x:v>
      </x:c>
      <x:c r="D487" s="19" t="n">
        <x:f>ROUND(MAX('参数'!$G$30,E487)+(IF(C487&lt;10,INDEX('参数'!$G$38:$P$38,1,MIN(10,C487+1)),'参数'!$H$30)-MAX('参数'!$G$30,E487))*MOD(B487-1,12)/11,0)</x:f>
        <x:v>100</x:v>
      </x:c>
      <x:c r="E487" s="19" t="n">
        <x:f>INDEX('参数'!$G$38:$P$38,1,C487)</x:f>
        <x:v>100</x:v>
      </x:c>
      <x:c r="F487" s="20" t="n">
        <x:f>'参数'!$I$30</x:f>
        <x:v>1.43</x:v>
      </x:c>
      <x:c r="G487" s="19" t="n">
        <x:f>ROUND(V487*X487/'参数'!$B$56,0)</x:f>
        <x:v>453085</x:v>
      </x:c>
      <x:c r="H487" s="19" t="n">
        <x:f>ROUND((AA487+SQRT(AA487^2+4*AA487*'参数'!$B$22*U487))/2,0)</x:f>
        <x:v>16246</x:v>
      </x:c>
      <x:c r="I487" s="19" t="n">
        <x:f>ROUND(Q487*'参数'!$B$23/'参数'!$B$22,0)</x:f>
        <x:v>2126</x:v>
      </x:c>
      <x:c r="J487" s="19" t="n">
        <x:f>ROUND(G487*'参数'!$B$50,0)</x:f>
        <x:v>1359255</x:v>
      </x:c>
      <x:c r="K487" s="19" t="n">
        <x:f>ROUND(W487*Y487,0)</x:f>
        <x:v>4460355</x:v>
      </x:c>
      <x:c r="L487" s="19" t="n">
        <x:f>ROUND((AB487+SQRT(AB487^2+4*AB487*'参数'!$B$22*U487))/2,0)</x:f>
        <x:v>27879</x:v>
      </x:c>
      <x:c r="M487" s="19" t="n">
        <x:f>ROUND(I487*'参数'!$B$24,0)</x:f>
        <x:v>2658</x:v>
      </x:c>
      <x:c r="N487" s="19" t="n">
        <x:f>'参数'!$B$9*'参数'!$B$10^(D487-1)</x:f>
        <x:v>11195.319600498813</x:v>
      </x:c>
      <x:c r="O487" s="19" t="n">
        <x:f>'参数'!$B$18*'参数'!$B$19^(MIN(E487,MAX(1,5*INT(D487/5)))-1)*F487*'参数'!$J$30*P487</x:f>
        <x:v>2103.552925769118</x:v>
      </x:c>
      <x:c r="P487" s="22" t="n">
        <x:f>MIN(1,(D487-1)/19)</x:f>
        <x:v>1</x:v>
      </x:c>
      <x:c r="Q487" s="19" t="n">
        <x:f>INDEX('角色成长'!$F$6:$F$105,D487)+O487*'参数'!$K$21</x:f>
        <x:v>10629.125838441985</x:v>
      </x:c>
      <x:c r="R487" s="19" t="n">
        <x:f>INDEX('角色成长'!$I$6:$I$105,D487)+O487*'参数'!$K$21</x:f>
        <x:v>9331.125838441985</x:v>
      </x:c>
      <x:c r="S487" s="19" t="n">
        <x:f>INDEX('角色成长'!$L$6:$L$105,D487)+O487*'参数'!$K$21</x:f>
        <x:v>8590.125838441985</x:v>
      </x:c>
      <x:c r="T487" s="19" t="n">
        <x:f>(INDEX('角色成长'!$J$6:$J$105,D487)+O487*'参数'!$L$21)*(1+'参数'!$B$40*P487)</x:f>
        <x:v>118666.76244728187</x:v>
      </x:c>
      <x:c r="U487" s="19" t="n">
        <x:f>(INDEX('角色成长'!$K$6:$K$105,D487)+O487*'参数'!$M$21)*(1+'参数'!$B$41*P487)</x:f>
        <x:v>6699.239382105553</x:v>
      </x:c>
      <x:c r="V487" s="19" t="n">
        <x:f>(('参数'!$K$5*(((Q487*(1+'参数'!$B$39*P487))^2/((Q487*(1+'参数'!$B$39*P487))+'参数'!$B$22*(I487)))*(1+'参数'!$B$42*P487)/'参数'!$J$5+((Q487*'参数'!$B$43*(1+'参数'!$B$39*P487))^2/((Q487*'参数'!$B$43*(1+'参数'!$B$39*P487))+'参数'!$B$22*(I487)))/'参数'!$B$44))+(((R487*(1+'参数'!$B$39*P487))^2/((R487*(1+'参数'!$B$39*P487))+'参数'!$B$22*(I487)))*(1+'参数'!$B$42*P487)/'参数'!$J$6+((R487*'参数'!$B$45*(1+'参数'!$B$39*P487))^2/((R487*'参数'!$B$45*(1+'参数'!$B$39*P487))+'参数'!$B$22*(I487)))/'参数'!$B$46)+((S487*(1+'参数'!$B$39*P487))^2/((S487*(1+'参数'!$B$39*P487))+'参数'!$B$22*(I487)))*(1+'参数'!$B$42*P487)/'参数'!$J$7)*(1+'参数'!$B$37*('参数'!$B$38-1))*'参数'!$B$25</x:f>
        <x:v>72276.65152942482</x:v>
      </x:c>
      <x:c r="W487" s="19" t="n">
        <x:f>(('参数'!$K$5*(((Q487*(1+'参数'!$B$39*P487))^2/((Q487*(1+'参数'!$B$39*P487))+'参数'!$B$22*(M487)))*(1+'参数'!$B$42*P487)/'参数'!$J$5+((Q487*'参数'!$B$43*(1+'参数'!$B$39*P487))^2/((Q487*'参数'!$B$43*(1+'参数'!$B$39*P487))+'参数'!$B$22*(M487)))/'参数'!$B$44))+(((R487*(1+'参数'!$B$39*P487))^2/((R487*(1+'参数'!$B$39*P487))+'参数'!$B$22*(M487)))*(1+'参数'!$B$42*P487)/'参数'!$J$6+((R487*'参数'!$B$45*(1+'参数'!$B$39*P487))^2/((R487*'参数'!$B$45*(1+'参数'!$B$39*P487))+'参数'!$B$22*(M487)))/'参数'!$B$46)+((S487*(1+'参数'!$B$39*P487))^2/((S487*(1+'参数'!$B$39*P487))+'参数'!$B$22*(M487)))*(1+'参数'!$B$42*P487)/'参数'!$J$7)*(1+'参数'!$B$37*('参数'!$B$38-1))</x:f>
        <x:v>55684.2511674383</x:v>
      </x:c>
      <x:c r="X487" s="26" t="n">
        <x:f>('参数'!$B$26+'参数'!$B$27*(D487-1)/99)*'参数'!$K$30*AD487</x:f>
        <x:v>28.836302521008403</x:v>
      </x:c>
      <x:c r="Y487" s="26" t="n">
        <x:f>('参数'!$B$28+'参数'!$B$29*(D487-1)/99)*'参数'!$K$30*AD487*IF(AE487=1,'参数'!$B$51,1)</x:f>
        <x:v>80.10084033613445</x:v>
      </x:c>
      <x:c r="Z487" s="22" t="n">
        <x:f>MIN('参数'!$B$36,U487/(U487+'参数'!$B$35))</x:f>
        <x:v>0.6261416482848315</x:v>
      </x:c>
      <x:c r="AA487" s="19" t="n">
        <x:f>T487*'参数'!$B$30/('参数'!$B$32*'参数'!$B$33)/(1-Z487)*AC487</x:f>
        <x:v>10719.823840653617</x:v>
      </x:c>
      <x:c r="AB487" s="19" t="n">
        <x:f>T487*'参数'!$B$31/'参数'!$B$34/(1-Z487)*AC487</x:f>
        <x:v>21439.647681307233</x:v>
      </x:c>
      <x:c r="AC487" s="20" t="n">
        <x:f>'参数'!$L$30*(1+'参数'!$B$53*(B487-1)/119)</x:f>
        <x:v>1.3509075630252103</x:v>
      </x:c>
      <x:c r="AD487" s="20" t="n">
        <x:f>1+'参数'!$B$52*(B487-1)/119</x:f>
        <x:v>1.0012605042016807</x:v>
      </x:c>
      <x:c r="AE487" s="19" t="n">
        <x:f>IF(MOD(B487,12)=0,1,0)</x:f>
        <x:v>0</x:v>
      </x:c>
    </x:row>
    <x:row r="488" ht="22" customHeight="1">
      <x:c r="A488" s="18" t="str">
        <x:v>折磨</x:v>
      </x:c>
      <x:c r="B488" s="18" t="n">
        <x:v>3</x:v>
      </x:c>
      <x:c r="C488" s="18" t="n">
        <x:f>ROUNDUP(B488/12,0)</x:f>
        <x:v>1</x:v>
      </x:c>
      <x:c r="D488" s="18" t="n">
        <x:f>ROUND(MAX('参数'!$G$30,E488)+(IF(C488&lt;10,INDEX('参数'!$G$38:$P$38,1,MIN(10,C488+1)),'参数'!$H$30)-MAX('参数'!$G$30,E488))*MOD(B488-1,12)/11,0)</x:f>
        <x:v>100</x:v>
      </x:c>
      <x:c r="E488" s="18" t="n">
        <x:f>INDEX('参数'!$G$38:$P$38,1,C488)</x:f>
        <x:v>100</x:v>
      </x:c>
      <x:c r="F488" s="15" t="n">
        <x:f>'参数'!$I$30</x:f>
        <x:v>1.43</x:v>
      </x:c>
      <x:c r="G488" s="18" t="n">
        <x:f>ROUND(V488*X488/'参数'!$B$56,0)</x:f>
        <x:v>453655</x:v>
      </x:c>
      <x:c r="H488" s="18" t="n">
        <x:f>ROUND((AA488+SQRT(AA488^2+4*AA488*'参数'!$B$22*U488))/2,0)</x:f>
        <x:v>16254</x:v>
      </x:c>
      <x:c r="I488" s="18" t="n">
        <x:f>ROUND(Q488*'参数'!$B$23/'参数'!$B$22,0)</x:f>
        <x:v>2126</x:v>
      </x:c>
      <x:c r="J488" s="18" t="n">
        <x:f>ROUND(G488*'参数'!$B$50,0)</x:f>
        <x:v>1360965</x:v>
      </x:c>
      <x:c r="K488" s="18" t="n">
        <x:f>ROUND(W488*Y488,0)</x:f>
        <x:v>4465971</x:v>
      </x:c>
      <x:c r="L488" s="18" t="n">
        <x:f>ROUND((AB488+SQRT(AB488^2+4*AB488*'参数'!$B$22*U488))/2,0)</x:f>
        <x:v>27895</x:v>
      </x:c>
      <x:c r="M488" s="18" t="n">
        <x:f>ROUND(I488*'参数'!$B$24,0)</x:f>
        <x:v>2658</x:v>
      </x:c>
      <x:c r="N488" s="18" t="n">
        <x:f>'参数'!$B$9*'参数'!$B$10^(D488-1)</x:f>
        <x:v>11195.319600498813</x:v>
      </x:c>
      <x:c r="O488" s="18" t="n">
        <x:f>'参数'!$B$18*'参数'!$B$19^(MIN(E488,MAX(1,5*INT(D488/5)))-1)*F488*'参数'!$J$30*P488</x:f>
        <x:v>2103.552925769118</x:v>
      </x:c>
      <x:c r="P488" s="21" t="n">
        <x:f>MIN(1,(D488-1)/19)</x:f>
        <x:v>1</x:v>
      </x:c>
      <x:c r="Q488" s="18" t="n">
        <x:f>INDEX('角色成长'!$F$6:$F$105,D488)+O488*'参数'!$K$21</x:f>
        <x:v>10629.125838441985</x:v>
      </x:c>
      <x:c r="R488" s="18" t="n">
        <x:f>INDEX('角色成长'!$I$6:$I$105,D488)+O488*'参数'!$K$21</x:f>
        <x:v>9331.125838441985</x:v>
      </x:c>
      <x:c r="S488" s="18" t="n">
        <x:f>INDEX('角色成长'!$L$6:$L$105,D488)+O488*'参数'!$K$21</x:f>
        <x:v>8590.125838441985</x:v>
      </x:c>
      <x:c r="T488" s="18" t="n">
        <x:f>(INDEX('角色成长'!$J$6:$J$105,D488)+O488*'参数'!$L$21)*(1+'参数'!$B$40*P488)</x:f>
        <x:v>118666.76244728187</x:v>
      </x:c>
      <x:c r="U488" s="18" t="n">
        <x:f>(INDEX('角色成长'!$K$6:$K$105,D488)+O488*'参数'!$M$21)*(1+'参数'!$B$41*P488)</x:f>
        <x:v>6699.239382105553</x:v>
      </x:c>
      <x:c r="V488" s="18" t="n">
        <x:f>(('参数'!$K$5*(((Q488*(1+'参数'!$B$39*P488))^2/((Q488*(1+'参数'!$B$39*P488))+'参数'!$B$22*(I488)))*(1+'参数'!$B$42*P488)/'参数'!$J$5+((Q488*'参数'!$B$43*(1+'参数'!$B$39*P488))^2/((Q488*'参数'!$B$43*(1+'参数'!$B$39*P488))+'参数'!$B$22*(I488)))/'参数'!$B$44))+(((R488*(1+'参数'!$B$39*P488))^2/((R488*(1+'参数'!$B$39*P488))+'参数'!$B$22*(I488)))*(1+'参数'!$B$42*P488)/'参数'!$J$6+((R488*'参数'!$B$45*(1+'参数'!$B$39*P488))^2/((R488*'参数'!$B$45*(1+'参数'!$B$39*P488))+'参数'!$B$22*(I488)))/'参数'!$B$46)+((S488*(1+'参数'!$B$39*P488))^2/((S488*(1+'参数'!$B$39*P488))+'参数'!$B$22*(I488)))*(1+'参数'!$B$42*P488)/'参数'!$J$7)*(1+'参数'!$B$37*('参数'!$B$38-1))*'参数'!$B$25</x:f>
        <x:v>72276.65152942482</x:v>
      </x:c>
      <x:c r="W488" s="18" t="n">
        <x:f>(('参数'!$K$5*(((Q488*(1+'参数'!$B$39*P488))^2/((Q488*(1+'参数'!$B$39*P488))+'参数'!$B$22*(M488)))*(1+'参数'!$B$42*P488)/'参数'!$J$5+((Q488*'参数'!$B$43*(1+'参数'!$B$39*P488))^2/((Q488*'参数'!$B$43*(1+'参数'!$B$39*P488))+'参数'!$B$22*(M488)))/'参数'!$B$44))+(((R488*(1+'参数'!$B$39*P488))^2/((R488*(1+'参数'!$B$39*P488))+'参数'!$B$22*(M488)))*(1+'参数'!$B$42*P488)/'参数'!$J$6+((R488*'参数'!$B$45*(1+'参数'!$B$39*P488))^2/((R488*'参数'!$B$45*(1+'参数'!$B$39*P488))+'参数'!$B$22*(M488)))/'参数'!$B$46)+((S488*(1+'参数'!$B$39*P488))^2/((S488*(1+'参数'!$B$39*P488))+'参数'!$B$22*(M488)))*(1+'参数'!$B$42*P488)/'参数'!$J$7)*(1+'参数'!$B$37*('参数'!$B$38-1))</x:f>
        <x:v>55684.2511674383</x:v>
      </x:c>
      <x:c r="X488" s="25" t="n">
        <x:f>('参数'!$B$26+'参数'!$B$27*(D488-1)/99)*'参数'!$K$30*AD488</x:f>
        <x:v>28.872605042016808</x:v>
      </x:c>
      <x:c r="Y488" s="25" t="n">
        <x:f>('参数'!$B$28+'参数'!$B$29*(D488-1)/99)*'参数'!$K$30*AD488*IF(AE488=1,'参数'!$B$51,1)</x:f>
        <x:v>80.2016806722689</x:v>
      </x:c>
      <x:c r="Z488" s="21" t="n">
        <x:f>MIN('参数'!$B$36,U488/(U488+'参数'!$B$35))</x:f>
        <x:v>0.6261416482848315</x:v>
      </x:c>
      <x:c r="AA488" s="18" t="n">
        <x:f>T488*'参数'!$B$30/('参数'!$B$32*'参数'!$B$33)/(1-Z488)*AC488</x:f>
        <x:v>10727.025603395066</x:v>
      </x:c>
      <x:c r="AB488" s="18" t="n">
        <x:f>T488*'参数'!$B$31/'参数'!$B$34/(1-Z488)*AC488</x:f>
        <x:v>21454.051206790133</x:v>
      </x:c>
      <x:c r="AC488" s="15" t="n">
        <x:f>'参数'!$L$30*(1+'参数'!$B$53*(B488-1)/119)</x:f>
        <x:v>1.35181512605042</x:v>
      </x:c>
      <x:c r="AD488" s="15" t="n">
        <x:f>1+'参数'!$B$52*(B488-1)/119</x:f>
        <x:v>1.0025210084033613</x:v>
      </x:c>
      <x:c r="AE488" s="18" t="n">
        <x:f>IF(MOD(B488,12)=0,1,0)</x:f>
        <x:v>0</x:v>
      </x:c>
    </x:row>
    <x:row r="489" ht="22" customHeight="1">
      <x:c r="A489" s="19" t="str">
        <x:v>折磨</x:v>
      </x:c>
      <x:c r="B489" s="19" t="n">
        <x:v>4</x:v>
      </x:c>
      <x:c r="C489" s="19" t="n">
        <x:f>ROUNDUP(B489/12,0)</x:f>
        <x:v>1</x:v>
      </x:c>
      <x:c r="D489" s="19" t="n">
        <x:f>ROUND(MAX('参数'!$G$30,E489)+(IF(C489&lt;10,INDEX('参数'!$G$38:$P$38,1,MIN(10,C489+1)),'参数'!$H$30)-MAX('参数'!$G$30,E489))*MOD(B489-1,12)/11,0)</x:f>
        <x:v>100</x:v>
      </x:c>
      <x:c r="E489" s="19" t="n">
        <x:f>INDEX('参数'!$G$38:$P$38,1,C489)</x:f>
        <x:v>100</x:v>
      </x:c>
      <x:c r="F489" s="20" t="n">
        <x:f>'参数'!$I$30</x:f>
        <x:v>1.43</x:v>
      </x:c>
      <x:c r="G489" s="19" t="n">
        <x:f>ROUND(V489*X489/'参数'!$B$56,0)</x:f>
        <x:v>454226</x:v>
      </x:c>
      <x:c r="H489" s="19" t="n">
        <x:f>ROUND((AA489+SQRT(AA489^2+4*AA489*'参数'!$B$22*U489))/2,0)</x:f>
        <x:v>16262</x:v>
      </x:c>
      <x:c r="I489" s="19" t="n">
        <x:f>ROUND(Q489*'参数'!$B$23/'参数'!$B$22,0)</x:f>
        <x:v>2126</x:v>
      </x:c>
      <x:c r="J489" s="19" t="n">
        <x:f>ROUND(G489*'参数'!$B$50,0)</x:f>
        <x:v>1362678</x:v>
      </x:c>
      <x:c r="K489" s="19" t="n">
        <x:f>ROUND(W489*Y489,0)</x:f>
        <x:v>4471586</x:v>
      </x:c>
      <x:c r="L489" s="19" t="n">
        <x:f>ROUND((AB489+SQRT(AB489^2+4*AB489*'参数'!$B$22*U489))/2,0)</x:f>
        <x:v>27910</x:v>
      </x:c>
      <x:c r="M489" s="19" t="n">
        <x:f>ROUND(I489*'参数'!$B$24,0)</x:f>
        <x:v>2658</x:v>
      </x:c>
      <x:c r="N489" s="19" t="n">
        <x:f>'参数'!$B$9*'参数'!$B$10^(D489-1)</x:f>
        <x:v>11195.319600498813</x:v>
      </x:c>
      <x:c r="O489" s="19" t="n">
        <x:f>'参数'!$B$18*'参数'!$B$19^(MIN(E489,MAX(1,5*INT(D489/5)))-1)*F489*'参数'!$J$30*P489</x:f>
        <x:v>2103.552925769118</x:v>
      </x:c>
      <x:c r="P489" s="22" t="n">
        <x:f>MIN(1,(D489-1)/19)</x:f>
        <x:v>1</x:v>
      </x:c>
      <x:c r="Q489" s="19" t="n">
        <x:f>INDEX('角色成长'!$F$6:$F$105,D489)+O489*'参数'!$K$21</x:f>
        <x:v>10629.125838441985</x:v>
      </x:c>
      <x:c r="R489" s="19" t="n">
        <x:f>INDEX('角色成长'!$I$6:$I$105,D489)+O489*'参数'!$K$21</x:f>
        <x:v>9331.125838441985</x:v>
      </x:c>
      <x:c r="S489" s="19" t="n">
        <x:f>INDEX('角色成长'!$L$6:$L$105,D489)+O489*'参数'!$K$21</x:f>
        <x:v>8590.125838441985</x:v>
      </x:c>
      <x:c r="T489" s="19" t="n">
        <x:f>(INDEX('角色成长'!$J$6:$J$105,D489)+O489*'参数'!$L$21)*(1+'参数'!$B$40*P489)</x:f>
        <x:v>118666.76244728187</x:v>
      </x:c>
      <x:c r="U489" s="19" t="n">
        <x:f>(INDEX('角色成长'!$K$6:$K$105,D489)+O489*'参数'!$M$21)*(1+'参数'!$B$41*P489)</x:f>
        <x:v>6699.239382105553</x:v>
      </x:c>
      <x:c r="V489" s="19" t="n">
        <x:f>(('参数'!$K$5*(((Q489*(1+'参数'!$B$39*P489))^2/((Q489*(1+'参数'!$B$39*P489))+'参数'!$B$22*(I489)))*(1+'参数'!$B$42*P489)/'参数'!$J$5+((Q489*'参数'!$B$43*(1+'参数'!$B$39*P489))^2/((Q489*'参数'!$B$43*(1+'参数'!$B$39*P489))+'参数'!$B$22*(I489)))/'参数'!$B$44))+(((R489*(1+'参数'!$B$39*P489))^2/((R489*(1+'参数'!$B$39*P489))+'参数'!$B$22*(I489)))*(1+'参数'!$B$42*P489)/'参数'!$J$6+((R489*'参数'!$B$45*(1+'参数'!$B$39*P489))^2/((R489*'参数'!$B$45*(1+'参数'!$B$39*P489))+'参数'!$B$22*(I489)))/'参数'!$B$46)+((S489*(1+'参数'!$B$39*P489))^2/((S489*(1+'参数'!$B$39*P489))+'参数'!$B$22*(I489)))*(1+'参数'!$B$42*P489)/'参数'!$J$7)*(1+'参数'!$B$37*('参数'!$B$38-1))*'参数'!$B$25</x:f>
        <x:v>72276.65152942482</x:v>
      </x:c>
      <x:c r="W489" s="19" t="n">
        <x:f>(('参数'!$K$5*(((Q489*(1+'参数'!$B$39*P489))^2/((Q489*(1+'参数'!$B$39*P489))+'参数'!$B$22*(M489)))*(1+'参数'!$B$42*P489)/'参数'!$J$5+((Q489*'参数'!$B$43*(1+'参数'!$B$39*P489))^2/((Q489*'参数'!$B$43*(1+'参数'!$B$39*P489))+'参数'!$B$22*(M489)))/'参数'!$B$44))+(((R489*(1+'参数'!$B$39*P489))^2/((R489*(1+'参数'!$B$39*P489))+'参数'!$B$22*(M489)))*(1+'参数'!$B$42*P489)/'参数'!$J$6+((R489*'参数'!$B$45*(1+'参数'!$B$39*P489))^2/((R489*'参数'!$B$45*(1+'参数'!$B$39*P489))+'参数'!$B$22*(M489)))/'参数'!$B$46)+((S489*(1+'参数'!$B$39*P489))^2/((S489*(1+'参数'!$B$39*P489))+'参数'!$B$22*(M489)))*(1+'参数'!$B$42*P489)/'参数'!$J$7)*(1+'参数'!$B$37*('参数'!$B$38-1))</x:f>
        <x:v>55684.2511674383</x:v>
      </x:c>
      <x:c r="X489" s="26" t="n">
        <x:f>('参数'!$B$26+'参数'!$B$27*(D489-1)/99)*'参数'!$K$30*AD489</x:f>
        <x:v>28.90890756302521</x:v>
      </x:c>
      <x:c r="Y489" s="26" t="n">
        <x:f>('参数'!$B$28+'参数'!$B$29*(D489-1)/99)*'参数'!$K$30*AD489*IF(AE489=1,'参数'!$B$51,1)</x:f>
        <x:v>80.30252100840336</x:v>
      </x:c>
      <x:c r="Z489" s="22" t="n">
        <x:f>MIN('参数'!$B$36,U489/(U489+'参数'!$B$35))</x:f>
        <x:v>0.6261416482848315</x:v>
      </x:c>
      <x:c r="AA489" s="19" t="n">
        <x:f>T489*'参数'!$B$30/('参数'!$B$32*'参数'!$B$33)/(1-Z489)*AC489</x:f>
        <x:v>10734.227366136522</x:v>
      </x:c>
      <x:c r="AB489" s="19" t="n">
        <x:f>T489*'参数'!$B$31/'参数'!$B$34/(1-Z489)*AC489</x:f>
        <x:v>21468.454732273043</x:v>
      </x:c>
      <x:c r="AC489" s="20" t="n">
        <x:f>'参数'!$L$30*(1+'参数'!$B$53*(B489-1)/119)</x:f>
        <x:v>1.3527226890756303</x:v>
      </x:c>
      <x:c r="AD489" s="20" t="n">
        <x:f>1+'参数'!$B$52*(B489-1)/119</x:f>
        <x:v>1.003781512605042</x:v>
      </x:c>
      <x:c r="AE489" s="19" t="n">
        <x:f>IF(MOD(B489,12)=0,1,0)</x:f>
        <x:v>0</x:v>
      </x:c>
    </x:row>
    <x:row r="490" ht="22" customHeight="1">
      <x:c r="A490" s="18" t="str">
        <x:v>折磨</x:v>
      </x:c>
      <x:c r="B490" s="18" t="n">
        <x:v>5</x:v>
      </x:c>
      <x:c r="C490" s="18" t="n">
        <x:f>ROUNDUP(B490/12,0)</x:f>
        <x:v>1</x:v>
      </x:c>
      <x:c r="D490" s="18" t="n">
        <x:f>ROUND(MAX('参数'!$G$30,E490)+(IF(C490&lt;10,INDEX('参数'!$G$38:$P$38,1,MIN(10,C490+1)),'参数'!$H$30)-MAX('参数'!$G$30,E490))*MOD(B490-1,12)/11,0)</x:f>
        <x:v>100</x:v>
      </x:c>
      <x:c r="E490" s="18" t="n">
        <x:f>INDEX('参数'!$G$38:$P$38,1,C490)</x:f>
        <x:v>100</x:v>
      </x:c>
      <x:c r="F490" s="15" t="n">
        <x:f>'参数'!$I$30</x:f>
        <x:v>1.43</x:v>
      </x:c>
      <x:c r="G490" s="18" t="n">
        <x:f>ROUND(V490*X490/'参数'!$B$56,0)</x:f>
        <x:v>454796</x:v>
      </x:c>
      <x:c r="H490" s="18" t="n">
        <x:f>ROUND((AA490+SQRT(AA490^2+4*AA490*'参数'!$B$22*U490))/2,0)</x:f>
        <x:v>16270</x:v>
      </x:c>
      <x:c r="I490" s="18" t="n">
        <x:f>ROUND(Q490*'参数'!$B$23/'参数'!$B$22,0)</x:f>
        <x:v>2126</x:v>
      </x:c>
      <x:c r="J490" s="18" t="n">
        <x:f>ROUND(G490*'参数'!$B$50,0)</x:f>
        <x:v>1364388</x:v>
      </x:c>
      <x:c r="K490" s="18" t="n">
        <x:f>ROUND(W490*Y490,0)</x:f>
        <x:v>4477201</x:v>
      </x:c>
      <x:c r="L490" s="18" t="n">
        <x:f>ROUND((AB490+SQRT(AB490^2+4*AB490*'参数'!$B$22*U490))/2,0)</x:f>
        <x:v>27925</x:v>
      </x:c>
      <x:c r="M490" s="18" t="n">
        <x:f>ROUND(I490*'参数'!$B$24,0)</x:f>
        <x:v>2658</x:v>
      </x:c>
      <x:c r="N490" s="18" t="n">
        <x:f>'参数'!$B$9*'参数'!$B$10^(D490-1)</x:f>
        <x:v>11195.319600498813</x:v>
      </x:c>
      <x:c r="O490" s="18" t="n">
        <x:f>'参数'!$B$18*'参数'!$B$19^(MIN(E490,MAX(1,5*INT(D490/5)))-1)*F490*'参数'!$J$30*P490</x:f>
        <x:v>2103.552925769118</x:v>
      </x:c>
      <x:c r="P490" s="21" t="n">
        <x:f>MIN(1,(D490-1)/19)</x:f>
        <x:v>1</x:v>
      </x:c>
      <x:c r="Q490" s="18" t="n">
        <x:f>INDEX('角色成长'!$F$6:$F$105,D490)+O490*'参数'!$K$21</x:f>
        <x:v>10629.125838441985</x:v>
      </x:c>
      <x:c r="R490" s="18" t="n">
        <x:f>INDEX('角色成长'!$I$6:$I$105,D490)+O490*'参数'!$K$21</x:f>
        <x:v>9331.125838441985</x:v>
      </x:c>
      <x:c r="S490" s="18" t="n">
        <x:f>INDEX('角色成长'!$L$6:$L$105,D490)+O490*'参数'!$K$21</x:f>
        <x:v>8590.125838441985</x:v>
      </x:c>
      <x:c r="T490" s="18" t="n">
        <x:f>(INDEX('角色成长'!$J$6:$J$105,D490)+O490*'参数'!$L$21)*(1+'参数'!$B$40*P490)</x:f>
        <x:v>118666.76244728187</x:v>
      </x:c>
      <x:c r="U490" s="18" t="n">
        <x:f>(INDEX('角色成长'!$K$6:$K$105,D490)+O490*'参数'!$M$21)*(1+'参数'!$B$41*P490)</x:f>
        <x:v>6699.239382105553</x:v>
      </x:c>
      <x:c r="V490" s="18" t="n">
        <x:f>(('参数'!$K$5*(((Q490*(1+'参数'!$B$39*P490))^2/((Q490*(1+'参数'!$B$39*P490))+'参数'!$B$22*(I490)))*(1+'参数'!$B$42*P490)/'参数'!$J$5+((Q490*'参数'!$B$43*(1+'参数'!$B$39*P490))^2/((Q490*'参数'!$B$43*(1+'参数'!$B$39*P490))+'参数'!$B$22*(I490)))/'参数'!$B$44))+(((R490*(1+'参数'!$B$39*P490))^2/((R490*(1+'参数'!$B$39*P490))+'参数'!$B$22*(I490)))*(1+'参数'!$B$42*P490)/'参数'!$J$6+((R490*'参数'!$B$45*(1+'参数'!$B$39*P490))^2/((R490*'参数'!$B$45*(1+'参数'!$B$39*P490))+'参数'!$B$22*(I490)))/'参数'!$B$46)+((S490*(1+'参数'!$B$39*P490))^2/((S490*(1+'参数'!$B$39*P490))+'参数'!$B$22*(I490)))*(1+'参数'!$B$42*P490)/'参数'!$J$7)*(1+'参数'!$B$37*('参数'!$B$38-1))*'参数'!$B$25</x:f>
        <x:v>72276.65152942482</x:v>
      </x:c>
      <x:c r="W490" s="18" t="n">
        <x:f>(('参数'!$K$5*(((Q490*(1+'参数'!$B$39*P490))^2/((Q490*(1+'参数'!$B$39*P490))+'参数'!$B$22*(M490)))*(1+'参数'!$B$42*P490)/'参数'!$J$5+((Q490*'参数'!$B$43*(1+'参数'!$B$39*P490))^2/((Q490*'参数'!$B$43*(1+'参数'!$B$39*P490))+'参数'!$B$22*(M490)))/'参数'!$B$44))+(((R490*(1+'参数'!$B$39*P490))^2/((R490*(1+'参数'!$B$39*P490))+'参数'!$B$22*(M490)))*(1+'参数'!$B$42*P490)/'参数'!$J$6+((R490*'参数'!$B$45*(1+'参数'!$B$39*P490))^2/((R490*'参数'!$B$45*(1+'参数'!$B$39*P490))+'参数'!$B$22*(M490)))/'参数'!$B$46)+((S490*(1+'参数'!$B$39*P490))^2/((S490*(1+'参数'!$B$39*P490))+'参数'!$B$22*(M490)))*(1+'参数'!$B$42*P490)/'参数'!$J$7)*(1+'参数'!$B$37*('参数'!$B$38-1))</x:f>
        <x:v>55684.2511674383</x:v>
      </x:c>
      <x:c r="X490" s="25" t="n">
        <x:f>('参数'!$B$26+'参数'!$B$27*(D490-1)/99)*'参数'!$K$30*AD490</x:f>
        <x:v>28.945210084033615</x:v>
      </x:c>
      <x:c r="Y490" s="25" t="n">
        <x:f>('参数'!$B$28+'参数'!$B$29*(D490-1)/99)*'参数'!$K$30*AD490*IF(AE490=1,'参数'!$B$51,1)</x:f>
        <x:v>80.40336134453781</x:v>
      </x:c>
      <x:c r="Z490" s="21" t="n">
        <x:f>MIN('参数'!$B$36,U490/(U490+'参数'!$B$35))</x:f>
        <x:v>0.6261416482848315</x:v>
      </x:c>
      <x:c r="AA490" s="18" t="n">
        <x:f>T490*'参数'!$B$30/('参数'!$B$32*'参数'!$B$33)/(1-Z490)*AC490</x:f>
        <x:v>10741.429128877975</x:v>
      </x:c>
      <x:c r="AB490" s="18" t="n">
        <x:f>T490*'参数'!$B$31/'参数'!$B$34/(1-Z490)*AC490</x:f>
        <x:v>21482.85825775595</x:v>
      </x:c>
      <x:c r="AC490" s="15" t="n">
        <x:f>'参数'!$L$30*(1+'参数'!$B$53*(B490-1)/119)</x:f>
        <x:v>1.3536302521008403</x:v>
      </x:c>
      <x:c r="AD490" s="15" t="n">
        <x:f>1+'参数'!$B$52*(B490-1)/119</x:f>
        <x:v>1.0050420168067227</x:v>
      </x:c>
      <x:c r="AE490" s="18" t="n">
        <x:f>IF(MOD(B490,12)=0,1,0)</x:f>
        <x:v>0</x:v>
      </x:c>
    </x:row>
    <x:row r="491" ht="22" customHeight="1">
      <x:c r="A491" s="19" t="str">
        <x:v>折磨</x:v>
      </x:c>
      <x:c r="B491" s="19" t="n">
        <x:v>6</x:v>
      </x:c>
      <x:c r="C491" s="19" t="n">
        <x:f>ROUNDUP(B491/12,0)</x:f>
        <x:v>1</x:v>
      </x:c>
      <x:c r="D491" s="19" t="n">
        <x:f>ROUND(MAX('参数'!$G$30,E491)+(IF(C491&lt;10,INDEX('参数'!$G$38:$P$38,1,MIN(10,C491+1)),'参数'!$H$30)-MAX('参数'!$G$30,E491))*MOD(B491-1,12)/11,0)</x:f>
        <x:v>100</x:v>
      </x:c>
      <x:c r="E491" s="19" t="n">
        <x:f>INDEX('参数'!$G$38:$P$38,1,C491)</x:f>
        <x:v>100</x:v>
      </x:c>
      <x:c r="F491" s="20" t="n">
        <x:f>'参数'!$I$30</x:f>
        <x:v>1.43</x:v>
      </x:c>
      <x:c r="G491" s="19" t="n">
        <x:f>ROUND(V491*X491/'参数'!$B$56,0)</x:f>
        <x:v>455367</x:v>
      </x:c>
      <x:c r="H491" s="19" t="n">
        <x:f>ROUND((AA491+SQRT(AA491^2+4*AA491*'参数'!$B$22*U491))/2,0)</x:f>
        <x:v>16278</x:v>
      </x:c>
      <x:c r="I491" s="19" t="n">
        <x:f>ROUND(Q491*'参数'!$B$23/'参数'!$B$22,0)</x:f>
        <x:v>2126</x:v>
      </x:c>
      <x:c r="J491" s="19" t="n">
        <x:f>ROUND(G491*'参数'!$B$50,0)</x:f>
        <x:v>1366101</x:v>
      </x:c>
      <x:c r="K491" s="19" t="n">
        <x:f>ROUND(W491*Y491,0)</x:f>
        <x:v>4482816</x:v>
      </x:c>
      <x:c r="L491" s="19" t="n">
        <x:f>ROUND((AB491+SQRT(AB491^2+4*AB491*'参数'!$B$22*U491))/2,0)</x:f>
        <x:v>27940</x:v>
      </x:c>
      <x:c r="M491" s="19" t="n">
        <x:f>ROUND(I491*'参数'!$B$24,0)</x:f>
        <x:v>2658</x:v>
      </x:c>
      <x:c r="N491" s="19" t="n">
        <x:f>'参数'!$B$9*'参数'!$B$10^(D491-1)</x:f>
        <x:v>11195.319600498813</x:v>
      </x:c>
      <x:c r="O491" s="19" t="n">
        <x:f>'参数'!$B$18*'参数'!$B$19^(MIN(E491,MAX(1,5*INT(D491/5)))-1)*F491*'参数'!$J$30*P491</x:f>
        <x:v>2103.552925769118</x:v>
      </x:c>
      <x:c r="P491" s="22" t="n">
        <x:f>MIN(1,(D491-1)/19)</x:f>
        <x:v>1</x:v>
      </x:c>
      <x:c r="Q491" s="19" t="n">
        <x:f>INDEX('角色成长'!$F$6:$F$105,D491)+O491*'参数'!$K$21</x:f>
        <x:v>10629.125838441985</x:v>
      </x:c>
      <x:c r="R491" s="19" t="n">
        <x:f>INDEX('角色成长'!$I$6:$I$105,D491)+O491*'参数'!$K$21</x:f>
        <x:v>9331.125838441985</x:v>
      </x:c>
      <x:c r="S491" s="19" t="n">
        <x:f>INDEX('角色成长'!$L$6:$L$105,D491)+O491*'参数'!$K$21</x:f>
        <x:v>8590.125838441985</x:v>
      </x:c>
      <x:c r="T491" s="19" t="n">
        <x:f>(INDEX('角色成长'!$J$6:$J$105,D491)+O491*'参数'!$L$21)*(1+'参数'!$B$40*P491)</x:f>
        <x:v>118666.76244728187</x:v>
      </x:c>
      <x:c r="U491" s="19" t="n">
        <x:f>(INDEX('角色成长'!$K$6:$K$105,D491)+O491*'参数'!$M$21)*(1+'参数'!$B$41*P491)</x:f>
        <x:v>6699.239382105553</x:v>
      </x:c>
      <x:c r="V491" s="19" t="n">
        <x:f>(('参数'!$K$5*(((Q491*(1+'参数'!$B$39*P491))^2/((Q491*(1+'参数'!$B$39*P491))+'参数'!$B$22*(I491)))*(1+'参数'!$B$42*P491)/'参数'!$J$5+((Q491*'参数'!$B$43*(1+'参数'!$B$39*P491))^2/((Q491*'参数'!$B$43*(1+'参数'!$B$39*P491))+'参数'!$B$22*(I491)))/'参数'!$B$44))+(((R491*(1+'参数'!$B$39*P491))^2/((R491*(1+'参数'!$B$39*P491))+'参数'!$B$22*(I491)))*(1+'参数'!$B$42*P491)/'参数'!$J$6+((R491*'参数'!$B$45*(1+'参数'!$B$39*P491))^2/((R491*'参数'!$B$45*(1+'参数'!$B$39*P491))+'参数'!$B$22*(I491)))/'参数'!$B$46)+((S491*(1+'参数'!$B$39*P491))^2/((S491*(1+'参数'!$B$39*P491))+'参数'!$B$22*(I491)))*(1+'参数'!$B$42*P491)/'参数'!$J$7)*(1+'参数'!$B$37*('参数'!$B$38-1))*'参数'!$B$25</x:f>
        <x:v>72276.65152942482</x:v>
      </x:c>
      <x:c r="W491" s="19" t="n">
        <x:f>(('参数'!$K$5*(((Q491*(1+'参数'!$B$39*P491))^2/((Q491*(1+'参数'!$B$39*P491))+'参数'!$B$22*(M491)))*(1+'参数'!$B$42*P491)/'参数'!$J$5+((Q491*'参数'!$B$43*(1+'参数'!$B$39*P491))^2/((Q491*'参数'!$B$43*(1+'参数'!$B$39*P491))+'参数'!$B$22*(M491)))/'参数'!$B$44))+(((R491*(1+'参数'!$B$39*P491))^2/((R491*(1+'参数'!$B$39*P491))+'参数'!$B$22*(M491)))*(1+'参数'!$B$42*P491)/'参数'!$J$6+((R491*'参数'!$B$45*(1+'参数'!$B$39*P491))^2/((R491*'参数'!$B$45*(1+'参数'!$B$39*P491))+'参数'!$B$22*(M491)))/'参数'!$B$46)+((S491*(1+'参数'!$B$39*P491))^2/((S491*(1+'参数'!$B$39*P491))+'参数'!$B$22*(M491)))*(1+'参数'!$B$42*P491)/'参数'!$J$7)*(1+'参数'!$B$37*('参数'!$B$38-1))</x:f>
        <x:v>55684.2511674383</x:v>
      </x:c>
      <x:c r="X491" s="26" t="n">
        <x:f>('参数'!$B$26+'参数'!$B$27*(D491-1)/99)*'参数'!$K$30*AD491</x:f>
        <x:v>28.981512605042017</x:v>
      </x:c>
      <x:c r="Y491" s="26" t="n">
        <x:f>('参数'!$B$28+'参数'!$B$29*(D491-1)/99)*'参数'!$K$30*AD491*IF(AE491=1,'参数'!$B$51,1)</x:f>
        <x:v>80.50420168067227</x:v>
      </x:c>
      <x:c r="Z491" s="22" t="n">
        <x:f>MIN('参数'!$B$36,U491/(U491+'参数'!$B$35))</x:f>
        <x:v>0.6261416482848315</x:v>
      </x:c>
      <x:c r="AA491" s="19" t="n">
        <x:f>T491*'参数'!$B$30/('参数'!$B$32*'参数'!$B$33)/(1-Z491)*AC491</x:f>
        <x:v>10748.630891619428</x:v>
      </x:c>
      <x:c r="AB491" s="19" t="n">
        <x:f>T491*'参数'!$B$31/'参数'!$B$34/(1-Z491)*AC491</x:f>
        <x:v>21497.261783238857</x:v>
      </x:c>
      <x:c r="AC491" s="20" t="n">
        <x:f>'参数'!$L$30*(1+'参数'!$B$53*(B491-1)/119)</x:f>
        <x:v>1.3545378151260505</x:v>
      </x:c>
      <x:c r="AD491" s="20" t="n">
        <x:f>1+'参数'!$B$52*(B491-1)/119</x:f>
        <x:v>1.0063025210084033</x:v>
      </x:c>
      <x:c r="AE491" s="19" t="n">
        <x:f>IF(MOD(B491,12)=0,1,0)</x:f>
        <x:v>0</x:v>
      </x:c>
    </x:row>
    <x:row r="492" ht="22" customHeight="1">
      <x:c r="A492" s="18" t="str">
        <x:v>折磨</x:v>
      </x:c>
      <x:c r="B492" s="18" t="n">
        <x:v>7</x:v>
      </x:c>
      <x:c r="C492" s="18" t="n">
        <x:f>ROUNDUP(B492/12,0)</x:f>
        <x:v>1</x:v>
      </x:c>
      <x:c r="D492" s="18" t="n">
        <x:f>ROUND(MAX('参数'!$G$30,E492)+(IF(C492&lt;10,INDEX('参数'!$G$38:$P$38,1,MIN(10,C492+1)),'参数'!$H$30)-MAX('参数'!$G$30,E492))*MOD(B492-1,12)/11,0)</x:f>
        <x:v>100</x:v>
      </x:c>
      <x:c r="E492" s="18" t="n">
        <x:f>INDEX('参数'!$G$38:$P$38,1,C492)</x:f>
        <x:v>100</x:v>
      </x:c>
      <x:c r="F492" s="15" t="n">
        <x:f>'参数'!$I$30</x:f>
        <x:v>1.43</x:v>
      </x:c>
      <x:c r="G492" s="18" t="n">
        <x:f>ROUND(V492*X492/'参数'!$B$56,0)</x:f>
        <x:v>455937</x:v>
      </x:c>
      <x:c r="H492" s="18" t="n">
        <x:f>ROUND((AA492+SQRT(AA492^2+4*AA492*'参数'!$B$22*U492))/2,0)</x:f>
        <x:v>16286</x:v>
      </x:c>
      <x:c r="I492" s="18" t="n">
        <x:f>ROUND(Q492*'参数'!$B$23/'参数'!$B$22,0)</x:f>
        <x:v>2126</x:v>
      </x:c>
      <x:c r="J492" s="18" t="n">
        <x:f>ROUND(G492*'参数'!$B$50,0)</x:f>
        <x:v>1367811</x:v>
      </x:c>
      <x:c r="K492" s="18" t="n">
        <x:f>ROUND(W492*Y492,0)</x:f>
        <x:v>4488431</x:v>
      </x:c>
      <x:c r="L492" s="18" t="n">
        <x:f>ROUND((AB492+SQRT(AB492^2+4*AB492*'参数'!$B$22*U492))/2,0)</x:f>
        <x:v>27955</x:v>
      </x:c>
      <x:c r="M492" s="18" t="n">
        <x:f>ROUND(I492*'参数'!$B$24,0)</x:f>
        <x:v>2658</x:v>
      </x:c>
      <x:c r="N492" s="18" t="n">
        <x:f>'参数'!$B$9*'参数'!$B$10^(D492-1)</x:f>
        <x:v>11195.319600498813</x:v>
      </x:c>
      <x:c r="O492" s="18" t="n">
        <x:f>'参数'!$B$18*'参数'!$B$19^(MIN(E492,MAX(1,5*INT(D492/5)))-1)*F492*'参数'!$J$30*P492</x:f>
        <x:v>2103.552925769118</x:v>
      </x:c>
      <x:c r="P492" s="21" t="n">
        <x:f>MIN(1,(D492-1)/19)</x:f>
        <x:v>1</x:v>
      </x:c>
      <x:c r="Q492" s="18" t="n">
        <x:f>INDEX('角色成长'!$F$6:$F$105,D492)+O492*'参数'!$K$21</x:f>
        <x:v>10629.125838441985</x:v>
      </x:c>
      <x:c r="R492" s="18" t="n">
        <x:f>INDEX('角色成长'!$I$6:$I$105,D492)+O492*'参数'!$K$21</x:f>
        <x:v>9331.125838441985</x:v>
      </x:c>
      <x:c r="S492" s="18" t="n">
        <x:f>INDEX('角色成长'!$L$6:$L$105,D492)+O492*'参数'!$K$21</x:f>
        <x:v>8590.125838441985</x:v>
      </x:c>
      <x:c r="T492" s="18" t="n">
        <x:f>(INDEX('角色成长'!$J$6:$J$105,D492)+O492*'参数'!$L$21)*(1+'参数'!$B$40*P492)</x:f>
        <x:v>118666.76244728187</x:v>
      </x:c>
      <x:c r="U492" s="18" t="n">
        <x:f>(INDEX('角色成长'!$K$6:$K$105,D492)+O492*'参数'!$M$21)*(1+'参数'!$B$41*P492)</x:f>
        <x:v>6699.239382105553</x:v>
      </x:c>
      <x:c r="V492" s="18" t="n">
        <x:f>(('参数'!$K$5*(((Q492*(1+'参数'!$B$39*P492))^2/((Q492*(1+'参数'!$B$39*P492))+'参数'!$B$22*(I492)))*(1+'参数'!$B$42*P492)/'参数'!$J$5+((Q492*'参数'!$B$43*(1+'参数'!$B$39*P492))^2/((Q492*'参数'!$B$43*(1+'参数'!$B$39*P492))+'参数'!$B$22*(I492)))/'参数'!$B$44))+(((R492*(1+'参数'!$B$39*P492))^2/((R492*(1+'参数'!$B$39*P492))+'参数'!$B$22*(I492)))*(1+'参数'!$B$42*P492)/'参数'!$J$6+((R492*'参数'!$B$45*(1+'参数'!$B$39*P492))^2/((R492*'参数'!$B$45*(1+'参数'!$B$39*P492))+'参数'!$B$22*(I492)))/'参数'!$B$46)+((S492*(1+'参数'!$B$39*P492))^2/((S492*(1+'参数'!$B$39*P492))+'参数'!$B$22*(I492)))*(1+'参数'!$B$42*P492)/'参数'!$J$7)*(1+'参数'!$B$37*('参数'!$B$38-1))*'参数'!$B$25</x:f>
        <x:v>72276.65152942482</x:v>
      </x:c>
      <x:c r="W492" s="18" t="n">
        <x:f>(('参数'!$K$5*(((Q492*(1+'参数'!$B$39*P492))^2/((Q492*(1+'参数'!$B$39*P492))+'参数'!$B$22*(M492)))*(1+'参数'!$B$42*P492)/'参数'!$J$5+((Q492*'参数'!$B$43*(1+'参数'!$B$39*P492))^2/((Q492*'参数'!$B$43*(1+'参数'!$B$39*P492))+'参数'!$B$22*(M492)))/'参数'!$B$44))+(((R492*(1+'参数'!$B$39*P492))^2/((R492*(1+'参数'!$B$39*P492))+'参数'!$B$22*(M492)))*(1+'参数'!$B$42*P492)/'参数'!$J$6+((R492*'参数'!$B$45*(1+'参数'!$B$39*P492))^2/((R492*'参数'!$B$45*(1+'参数'!$B$39*P492))+'参数'!$B$22*(M492)))/'参数'!$B$46)+((S492*(1+'参数'!$B$39*P492))^2/((S492*(1+'参数'!$B$39*P492))+'参数'!$B$22*(M492)))*(1+'参数'!$B$42*P492)/'参数'!$J$7)*(1+'参数'!$B$37*('参数'!$B$38-1))</x:f>
        <x:v>55684.2511674383</x:v>
      </x:c>
      <x:c r="X492" s="25" t="n">
        <x:f>('参数'!$B$26+'参数'!$B$27*(D492-1)/99)*'参数'!$K$30*AD492</x:f>
        <x:v>29.01781512605042</x:v>
      </x:c>
      <x:c r="Y492" s="25" t="n">
        <x:f>('参数'!$B$28+'参数'!$B$29*(D492-1)/99)*'参数'!$K$30*AD492*IF(AE492=1,'参数'!$B$51,1)</x:f>
        <x:v>80.60504201680672</x:v>
      </x:c>
      <x:c r="Z492" s="21" t="n">
        <x:f>MIN('参数'!$B$36,U492/(U492+'参数'!$B$35))</x:f>
        <x:v>0.6261416482848315</x:v>
      </x:c>
      <x:c r="AA492" s="18" t="n">
        <x:f>T492*'参数'!$B$30/('参数'!$B$32*'参数'!$B$33)/(1-Z492)*AC492</x:f>
        <x:v>10755.832654360884</x:v>
      </x:c>
      <x:c r="AB492" s="18" t="n">
        <x:f>T492*'参数'!$B$31/'参数'!$B$34/(1-Z492)*AC492</x:f>
        <x:v>21511.665308721767</x:v>
      </x:c>
      <x:c r="AC492" s="15" t="n">
        <x:f>'参数'!$L$30*(1+'参数'!$B$53*(B492-1)/119)</x:f>
        <x:v>1.3554453781512608</x:v>
      </x:c>
      <x:c r="AD492" s="15" t="n">
        <x:f>1+'参数'!$B$52*(B492-1)/119</x:f>
        <x:v>1.007563025210084</x:v>
      </x:c>
      <x:c r="AE492" s="18" t="n">
        <x:f>IF(MOD(B492,12)=0,1,0)</x:f>
        <x:v>0</x:v>
      </x:c>
    </x:row>
    <x:row r="493" ht="22" customHeight="1">
      <x:c r="A493" s="19" t="str">
        <x:v>折磨</x:v>
      </x:c>
      <x:c r="B493" s="19" t="n">
        <x:v>8</x:v>
      </x:c>
      <x:c r="C493" s="19" t="n">
        <x:f>ROUNDUP(B493/12,0)</x:f>
        <x:v>1</x:v>
      </x:c>
      <x:c r="D493" s="19" t="n">
        <x:f>ROUND(MAX('参数'!$G$30,E493)+(IF(C493&lt;10,INDEX('参数'!$G$38:$P$38,1,MIN(10,C493+1)),'参数'!$H$30)-MAX('参数'!$G$30,E493))*MOD(B493-1,12)/11,0)</x:f>
        <x:v>100</x:v>
      </x:c>
      <x:c r="E493" s="19" t="n">
        <x:f>INDEX('参数'!$G$38:$P$38,1,C493)</x:f>
        <x:v>100</x:v>
      </x:c>
      <x:c r="F493" s="20" t="n">
        <x:f>'参数'!$I$30</x:f>
        <x:v>1.43</x:v>
      </x:c>
      <x:c r="G493" s="19" t="n">
        <x:f>ROUND(V493*X493/'参数'!$B$56,0)</x:f>
        <x:v>456507</x:v>
      </x:c>
      <x:c r="H493" s="19" t="n">
        <x:f>ROUND((AA493+SQRT(AA493^2+4*AA493*'参数'!$B$22*U493))/2,0)</x:f>
        <x:v>16294</x:v>
      </x:c>
      <x:c r="I493" s="19" t="n">
        <x:f>ROUND(Q493*'参数'!$B$23/'参数'!$B$22,0)</x:f>
        <x:v>2126</x:v>
      </x:c>
      <x:c r="J493" s="19" t="n">
        <x:f>ROUND(G493*'参数'!$B$50,0)</x:f>
        <x:v>1369521</x:v>
      </x:c>
      <x:c r="K493" s="19" t="n">
        <x:f>ROUND(W493*Y493,0)</x:f>
        <x:v>4494047</x:v>
      </x:c>
      <x:c r="L493" s="19" t="n">
        <x:f>ROUND((AB493+SQRT(AB493^2+4*AB493*'参数'!$B$22*U493))/2,0)</x:f>
        <x:v>27971</x:v>
      </x:c>
      <x:c r="M493" s="19" t="n">
        <x:f>ROUND(I493*'参数'!$B$24,0)</x:f>
        <x:v>2658</x:v>
      </x:c>
      <x:c r="N493" s="19" t="n">
        <x:f>'参数'!$B$9*'参数'!$B$10^(D493-1)</x:f>
        <x:v>11195.319600498813</x:v>
      </x:c>
      <x:c r="O493" s="19" t="n">
        <x:f>'参数'!$B$18*'参数'!$B$19^(MIN(E493,MAX(1,5*INT(D493/5)))-1)*F493*'参数'!$J$30*P493</x:f>
        <x:v>2103.552925769118</x:v>
      </x:c>
      <x:c r="P493" s="22" t="n">
        <x:f>MIN(1,(D493-1)/19)</x:f>
        <x:v>1</x:v>
      </x:c>
      <x:c r="Q493" s="19" t="n">
        <x:f>INDEX('角色成长'!$F$6:$F$105,D493)+O493*'参数'!$K$21</x:f>
        <x:v>10629.125838441985</x:v>
      </x:c>
      <x:c r="R493" s="19" t="n">
        <x:f>INDEX('角色成长'!$I$6:$I$105,D493)+O493*'参数'!$K$21</x:f>
        <x:v>9331.125838441985</x:v>
      </x:c>
      <x:c r="S493" s="19" t="n">
        <x:f>INDEX('角色成长'!$L$6:$L$105,D493)+O493*'参数'!$K$21</x:f>
        <x:v>8590.125838441985</x:v>
      </x:c>
      <x:c r="T493" s="19" t="n">
        <x:f>(INDEX('角色成长'!$J$6:$J$105,D493)+O493*'参数'!$L$21)*(1+'参数'!$B$40*P493)</x:f>
        <x:v>118666.76244728187</x:v>
      </x:c>
      <x:c r="U493" s="19" t="n">
        <x:f>(INDEX('角色成长'!$K$6:$K$105,D493)+O493*'参数'!$M$21)*(1+'参数'!$B$41*P493)</x:f>
        <x:v>6699.239382105553</x:v>
      </x:c>
      <x:c r="V493" s="19" t="n">
        <x:f>(('参数'!$K$5*(((Q493*(1+'参数'!$B$39*P493))^2/((Q493*(1+'参数'!$B$39*P493))+'参数'!$B$22*(I493)))*(1+'参数'!$B$42*P493)/'参数'!$J$5+((Q493*'参数'!$B$43*(1+'参数'!$B$39*P493))^2/((Q493*'参数'!$B$43*(1+'参数'!$B$39*P493))+'参数'!$B$22*(I493)))/'参数'!$B$44))+(((R493*(1+'参数'!$B$39*P493))^2/((R493*(1+'参数'!$B$39*P493))+'参数'!$B$22*(I493)))*(1+'参数'!$B$42*P493)/'参数'!$J$6+((R493*'参数'!$B$45*(1+'参数'!$B$39*P493))^2/((R493*'参数'!$B$45*(1+'参数'!$B$39*P493))+'参数'!$B$22*(I493)))/'参数'!$B$46)+((S493*(1+'参数'!$B$39*P493))^2/((S493*(1+'参数'!$B$39*P493))+'参数'!$B$22*(I493)))*(1+'参数'!$B$42*P493)/'参数'!$J$7)*(1+'参数'!$B$37*('参数'!$B$38-1))*'参数'!$B$25</x:f>
        <x:v>72276.65152942482</x:v>
      </x:c>
      <x:c r="W493" s="19" t="n">
        <x:f>(('参数'!$K$5*(((Q493*(1+'参数'!$B$39*P493))^2/((Q493*(1+'参数'!$B$39*P493))+'参数'!$B$22*(M493)))*(1+'参数'!$B$42*P493)/'参数'!$J$5+((Q493*'参数'!$B$43*(1+'参数'!$B$39*P493))^2/((Q493*'参数'!$B$43*(1+'参数'!$B$39*P493))+'参数'!$B$22*(M493)))/'参数'!$B$44))+(((R493*(1+'参数'!$B$39*P493))^2/((R493*(1+'参数'!$B$39*P493))+'参数'!$B$22*(M493)))*(1+'参数'!$B$42*P493)/'参数'!$J$6+((R493*'参数'!$B$45*(1+'参数'!$B$39*P493))^2/((R493*'参数'!$B$45*(1+'参数'!$B$39*P493))+'参数'!$B$22*(M493)))/'参数'!$B$46)+((S493*(1+'参数'!$B$39*P493))^2/((S493*(1+'参数'!$B$39*P493))+'参数'!$B$22*(M493)))*(1+'参数'!$B$42*P493)/'参数'!$J$7)*(1+'参数'!$B$37*('参数'!$B$38-1))</x:f>
        <x:v>55684.2511674383</x:v>
      </x:c>
      <x:c r="X493" s="26" t="n">
        <x:f>('参数'!$B$26+'参数'!$B$27*(D493-1)/99)*'参数'!$K$30*AD493</x:f>
        <x:v>29.054117647058824</x:v>
      </x:c>
      <x:c r="Y493" s="26" t="n">
        <x:f>('参数'!$B$28+'参数'!$B$29*(D493-1)/99)*'参数'!$K$30*AD493*IF(AE493=1,'参数'!$B$51,1)</x:f>
        <x:v>80.70588235294117</x:v>
      </x:c>
      <x:c r="Z493" s="22" t="n">
        <x:f>MIN('参数'!$B$36,U493/(U493+'参数'!$B$35))</x:f>
        <x:v>0.6261416482848315</x:v>
      </x:c>
      <x:c r="AA493" s="19" t="n">
        <x:f>T493*'参数'!$B$30/('参数'!$B$32*'参数'!$B$33)/(1-Z493)*AC493</x:f>
        <x:v>10763.034417102335</x:v>
      </x:c>
      <x:c r="AB493" s="19" t="n">
        <x:f>T493*'参数'!$B$31/'参数'!$B$34/(1-Z493)*AC493</x:f>
        <x:v>21526.06883420467</x:v>
      </x:c>
      <x:c r="AC493" s="20" t="n">
        <x:f>'参数'!$L$30*(1+'参数'!$B$53*(B493-1)/119)</x:f>
        <x:v>1.3563529411764705</x:v>
      </x:c>
      <x:c r="AD493" s="20" t="n">
        <x:f>1+'参数'!$B$52*(B493-1)/119</x:f>
        <x:v>1.0088235294117647</x:v>
      </x:c>
      <x:c r="AE493" s="19" t="n">
        <x:f>IF(MOD(B493,12)=0,1,0)</x:f>
        <x:v>0</x:v>
      </x:c>
    </x:row>
    <x:row r="494" ht="22" customHeight="1">
      <x:c r="A494" s="18" t="str">
        <x:v>折磨</x:v>
      </x:c>
      <x:c r="B494" s="18" t="n">
        <x:v>9</x:v>
      </x:c>
      <x:c r="C494" s="18" t="n">
        <x:f>ROUNDUP(B494/12,0)</x:f>
        <x:v>1</x:v>
      </x:c>
      <x:c r="D494" s="18" t="n">
        <x:f>ROUND(MAX('参数'!$G$30,E494)+(IF(C494&lt;10,INDEX('参数'!$G$38:$P$38,1,MIN(10,C494+1)),'参数'!$H$30)-MAX('参数'!$G$30,E494))*MOD(B494-1,12)/11,0)</x:f>
        <x:v>100</x:v>
      </x:c>
      <x:c r="E494" s="18" t="n">
        <x:f>INDEX('参数'!$G$38:$P$38,1,C494)</x:f>
        <x:v>100</x:v>
      </x:c>
      <x:c r="F494" s="15" t="n">
        <x:f>'参数'!$I$30</x:f>
        <x:v>1.43</x:v>
      </x:c>
      <x:c r="G494" s="18" t="n">
        <x:f>ROUND(V494*X494/'参数'!$B$56,0)</x:f>
        <x:v>457078</x:v>
      </x:c>
      <x:c r="H494" s="18" t="n">
        <x:f>ROUND((AA494+SQRT(AA494^2+4*AA494*'参数'!$B$22*U494))/2,0)</x:f>
        <x:v>16303</x:v>
      </x:c>
      <x:c r="I494" s="18" t="n">
        <x:f>ROUND(Q494*'参数'!$B$23/'参数'!$B$22,0)</x:f>
        <x:v>2126</x:v>
      </x:c>
      <x:c r="J494" s="18" t="n">
        <x:f>ROUND(G494*'参数'!$B$50,0)</x:f>
        <x:v>1371234</x:v>
      </x:c>
      <x:c r="K494" s="18" t="n">
        <x:f>ROUND(W494*Y494,0)</x:f>
        <x:v>4499662</x:v>
      </x:c>
      <x:c r="L494" s="18" t="n">
        <x:f>ROUND((AB494+SQRT(AB494^2+4*AB494*'参数'!$B$22*U494))/2,0)</x:f>
        <x:v>27986</x:v>
      </x:c>
      <x:c r="M494" s="18" t="n">
        <x:f>ROUND(I494*'参数'!$B$24,0)</x:f>
        <x:v>2658</x:v>
      </x:c>
      <x:c r="N494" s="18" t="n">
        <x:f>'参数'!$B$9*'参数'!$B$10^(D494-1)</x:f>
        <x:v>11195.319600498813</x:v>
      </x:c>
      <x:c r="O494" s="18" t="n">
        <x:f>'参数'!$B$18*'参数'!$B$19^(MIN(E494,MAX(1,5*INT(D494/5)))-1)*F494*'参数'!$J$30*P494</x:f>
        <x:v>2103.552925769118</x:v>
      </x:c>
      <x:c r="P494" s="21" t="n">
        <x:f>MIN(1,(D494-1)/19)</x:f>
        <x:v>1</x:v>
      </x:c>
      <x:c r="Q494" s="18" t="n">
        <x:f>INDEX('角色成长'!$F$6:$F$105,D494)+O494*'参数'!$K$21</x:f>
        <x:v>10629.125838441985</x:v>
      </x:c>
      <x:c r="R494" s="18" t="n">
        <x:f>INDEX('角色成长'!$I$6:$I$105,D494)+O494*'参数'!$K$21</x:f>
        <x:v>9331.125838441985</x:v>
      </x:c>
      <x:c r="S494" s="18" t="n">
        <x:f>INDEX('角色成长'!$L$6:$L$105,D494)+O494*'参数'!$K$21</x:f>
        <x:v>8590.125838441985</x:v>
      </x:c>
      <x:c r="T494" s="18" t="n">
        <x:f>(INDEX('角色成长'!$J$6:$J$105,D494)+O494*'参数'!$L$21)*(1+'参数'!$B$40*P494)</x:f>
        <x:v>118666.76244728187</x:v>
      </x:c>
      <x:c r="U494" s="18" t="n">
        <x:f>(INDEX('角色成长'!$K$6:$K$105,D494)+O494*'参数'!$M$21)*(1+'参数'!$B$41*P494)</x:f>
        <x:v>6699.239382105553</x:v>
      </x:c>
      <x:c r="V494" s="18" t="n">
        <x:f>(('参数'!$K$5*(((Q494*(1+'参数'!$B$39*P494))^2/((Q494*(1+'参数'!$B$39*P494))+'参数'!$B$22*(I494)))*(1+'参数'!$B$42*P494)/'参数'!$J$5+((Q494*'参数'!$B$43*(1+'参数'!$B$39*P494))^2/((Q494*'参数'!$B$43*(1+'参数'!$B$39*P494))+'参数'!$B$22*(I494)))/'参数'!$B$44))+(((R494*(1+'参数'!$B$39*P494))^2/((R494*(1+'参数'!$B$39*P494))+'参数'!$B$22*(I494)))*(1+'参数'!$B$42*P494)/'参数'!$J$6+((R494*'参数'!$B$45*(1+'参数'!$B$39*P494))^2/((R494*'参数'!$B$45*(1+'参数'!$B$39*P494))+'参数'!$B$22*(I494)))/'参数'!$B$46)+((S494*(1+'参数'!$B$39*P494))^2/((S494*(1+'参数'!$B$39*P494))+'参数'!$B$22*(I494)))*(1+'参数'!$B$42*P494)/'参数'!$J$7)*(1+'参数'!$B$37*('参数'!$B$38-1))*'参数'!$B$25</x:f>
        <x:v>72276.65152942482</x:v>
      </x:c>
      <x:c r="W494" s="18" t="n">
        <x:f>(('参数'!$K$5*(((Q494*(1+'参数'!$B$39*P494))^2/((Q494*(1+'参数'!$B$39*P494))+'参数'!$B$22*(M494)))*(1+'参数'!$B$42*P494)/'参数'!$J$5+((Q494*'参数'!$B$43*(1+'参数'!$B$39*P494))^2/((Q494*'参数'!$B$43*(1+'参数'!$B$39*P494))+'参数'!$B$22*(M494)))/'参数'!$B$44))+(((R494*(1+'参数'!$B$39*P494))^2/((R494*(1+'参数'!$B$39*P494))+'参数'!$B$22*(M494)))*(1+'参数'!$B$42*P494)/'参数'!$J$6+((R494*'参数'!$B$45*(1+'参数'!$B$39*P494))^2/((R494*'参数'!$B$45*(1+'参数'!$B$39*P494))+'参数'!$B$22*(M494)))/'参数'!$B$46)+((S494*(1+'参数'!$B$39*P494))^2/((S494*(1+'参数'!$B$39*P494))+'参数'!$B$22*(M494)))*(1+'参数'!$B$42*P494)/'参数'!$J$7)*(1+'参数'!$B$37*('参数'!$B$38-1))</x:f>
        <x:v>55684.2511674383</x:v>
      </x:c>
      <x:c r="X494" s="25" t="n">
        <x:f>('参数'!$B$26+'参数'!$B$27*(D494-1)/99)*'参数'!$K$30*AD494</x:f>
        <x:v>29.090420168067226</x:v>
      </x:c>
      <x:c r="Y494" s="25" t="n">
        <x:f>('参数'!$B$28+'参数'!$B$29*(D494-1)/99)*'参数'!$K$30*AD494*IF(AE494=1,'参数'!$B$51,1)</x:f>
        <x:v>80.80672268907563</x:v>
      </x:c>
      <x:c r="Z494" s="21" t="n">
        <x:f>MIN('参数'!$B$36,U494/(U494+'参数'!$B$35))</x:f>
        <x:v>0.6261416482848315</x:v>
      </x:c>
      <x:c r="AA494" s="18" t="n">
        <x:f>T494*'参数'!$B$30/('参数'!$B$32*'参数'!$B$33)/(1-Z494)*AC494</x:f>
        <x:v>10770.23617984379</x:v>
      </x:c>
      <x:c r="AB494" s="18" t="n">
        <x:f>T494*'参数'!$B$31/'参数'!$B$34/(1-Z494)*AC494</x:f>
        <x:v>21540.47235968758</x:v>
      </x:c>
      <x:c r="AC494" s="15" t="n">
        <x:f>'参数'!$L$30*(1+'参数'!$B$53*(B494-1)/119)</x:f>
        <x:v>1.3572605042016808</x:v>
      </x:c>
      <x:c r="AD494" s="15" t="n">
        <x:f>1+'参数'!$B$52*(B494-1)/119</x:f>
        <x:v>1.0100840336134453</x:v>
      </x:c>
      <x:c r="AE494" s="18" t="n">
        <x:f>IF(MOD(B494,12)=0,1,0)</x:f>
        <x:v>0</x:v>
      </x:c>
    </x:row>
    <x:row r="495" ht="22" customHeight="1">
      <x:c r="A495" s="19" t="str">
        <x:v>折磨</x:v>
      </x:c>
      <x:c r="B495" s="19" t="n">
        <x:v>10</x:v>
      </x:c>
      <x:c r="C495" s="19" t="n">
        <x:f>ROUNDUP(B495/12,0)</x:f>
        <x:v>1</x:v>
      </x:c>
      <x:c r="D495" s="19" t="n">
        <x:f>ROUND(MAX('参数'!$G$30,E495)+(IF(C495&lt;10,INDEX('参数'!$G$38:$P$38,1,MIN(10,C495+1)),'参数'!$H$30)-MAX('参数'!$G$30,E495))*MOD(B495-1,12)/11,0)</x:f>
        <x:v>100</x:v>
      </x:c>
      <x:c r="E495" s="19" t="n">
        <x:f>INDEX('参数'!$G$38:$P$38,1,C495)</x:f>
        <x:v>100</x:v>
      </x:c>
      <x:c r="F495" s="20" t="n">
        <x:f>'参数'!$I$30</x:f>
        <x:v>1.43</x:v>
      </x:c>
      <x:c r="G495" s="19" t="n">
        <x:f>ROUND(V495*X495/'参数'!$B$56,0)</x:f>
        <x:v>457648</x:v>
      </x:c>
      <x:c r="H495" s="19" t="n">
        <x:f>ROUND((AA495+SQRT(AA495^2+4*AA495*'参数'!$B$22*U495))/2,0)</x:f>
        <x:v>16311</x:v>
      </x:c>
      <x:c r="I495" s="19" t="n">
        <x:f>ROUND(Q495*'参数'!$B$23/'参数'!$B$22,0)</x:f>
        <x:v>2126</x:v>
      </x:c>
      <x:c r="J495" s="19" t="n">
        <x:f>ROUND(G495*'参数'!$B$50,0)</x:f>
        <x:v>1372944</x:v>
      </x:c>
      <x:c r="K495" s="19" t="n">
        <x:f>ROUND(W495*Y495,0)</x:f>
        <x:v>4505277</x:v>
      </x:c>
      <x:c r="L495" s="19" t="n">
        <x:f>ROUND((AB495+SQRT(AB495^2+4*AB495*'参数'!$B$22*U495))/2,0)</x:f>
        <x:v>28001</x:v>
      </x:c>
      <x:c r="M495" s="19" t="n">
        <x:f>ROUND(I495*'参数'!$B$24,0)</x:f>
        <x:v>2658</x:v>
      </x:c>
      <x:c r="N495" s="19" t="n">
        <x:f>'参数'!$B$9*'参数'!$B$10^(D495-1)</x:f>
        <x:v>11195.319600498813</x:v>
      </x:c>
      <x:c r="O495" s="19" t="n">
        <x:f>'参数'!$B$18*'参数'!$B$19^(MIN(E495,MAX(1,5*INT(D495/5)))-1)*F495*'参数'!$J$30*P495</x:f>
        <x:v>2103.552925769118</x:v>
      </x:c>
      <x:c r="P495" s="22" t="n">
        <x:f>MIN(1,(D495-1)/19)</x:f>
        <x:v>1</x:v>
      </x:c>
      <x:c r="Q495" s="19" t="n">
        <x:f>INDEX('角色成长'!$F$6:$F$105,D495)+O495*'参数'!$K$21</x:f>
        <x:v>10629.125838441985</x:v>
      </x:c>
      <x:c r="R495" s="19" t="n">
        <x:f>INDEX('角色成长'!$I$6:$I$105,D495)+O495*'参数'!$K$21</x:f>
        <x:v>9331.125838441985</x:v>
      </x:c>
      <x:c r="S495" s="19" t="n">
        <x:f>INDEX('角色成长'!$L$6:$L$105,D495)+O495*'参数'!$K$21</x:f>
        <x:v>8590.125838441985</x:v>
      </x:c>
      <x:c r="T495" s="19" t="n">
        <x:f>(INDEX('角色成长'!$J$6:$J$105,D495)+O495*'参数'!$L$21)*(1+'参数'!$B$40*P495)</x:f>
        <x:v>118666.76244728187</x:v>
      </x:c>
      <x:c r="U495" s="19" t="n">
        <x:f>(INDEX('角色成长'!$K$6:$K$105,D495)+O495*'参数'!$M$21)*(1+'参数'!$B$41*P495)</x:f>
        <x:v>6699.239382105553</x:v>
      </x:c>
      <x:c r="V495" s="19" t="n">
        <x:f>(('参数'!$K$5*(((Q495*(1+'参数'!$B$39*P495))^2/((Q495*(1+'参数'!$B$39*P495))+'参数'!$B$22*(I495)))*(1+'参数'!$B$42*P495)/'参数'!$J$5+((Q495*'参数'!$B$43*(1+'参数'!$B$39*P495))^2/((Q495*'参数'!$B$43*(1+'参数'!$B$39*P495))+'参数'!$B$22*(I495)))/'参数'!$B$44))+(((R495*(1+'参数'!$B$39*P495))^2/((R495*(1+'参数'!$B$39*P495))+'参数'!$B$22*(I495)))*(1+'参数'!$B$42*P495)/'参数'!$J$6+((R495*'参数'!$B$45*(1+'参数'!$B$39*P495))^2/((R495*'参数'!$B$45*(1+'参数'!$B$39*P495))+'参数'!$B$22*(I495)))/'参数'!$B$46)+((S495*(1+'参数'!$B$39*P495))^2/((S495*(1+'参数'!$B$39*P495))+'参数'!$B$22*(I495)))*(1+'参数'!$B$42*P495)/'参数'!$J$7)*(1+'参数'!$B$37*('参数'!$B$38-1))*'参数'!$B$25</x:f>
        <x:v>72276.65152942482</x:v>
      </x:c>
      <x:c r="W495" s="19" t="n">
        <x:f>(('参数'!$K$5*(((Q495*(1+'参数'!$B$39*P495))^2/((Q495*(1+'参数'!$B$39*P495))+'参数'!$B$22*(M495)))*(1+'参数'!$B$42*P495)/'参数'!$J$5+((Q495*'参数'!$B$43*(1+'参数'!$B$39*P495))^2/((Q495*'参数'!$B$43*(1+'参数'!$B$39*P495))+'参数'!$B$22*(M495)))/'参数'!$B$44))+(((R495*(1+'参数'!$B$39*P495))^2/((R495*(1+'参数'!$B$39*P495))+'参数'!$B$22*(M495)))*(1+'参数'!$B$42*P495)/'参数'!$J$6+((R495*'参数'!$B$45*(1+'参数'!$B$39*P495))^2/((R495*'参数'!$B$45*(1+'参数'!$B$39*P495))+'参数'!$B$22*(M495)))/'参数'!$B$46)+((S495*(1+'参数'!$B$39*P495))^2/((S495*(1+'参数'!$B$39*P495))+'参数'!$B$22*(M495)))*(1+'参数'!$B$42*P495)/'参数'!$J$7)*(1+'参数'!$B$37*('参数'!$B$38-1))</x:f>
        <x:v>55684.2511674383</x:v>
      </x:c>
      <x:c r="X495" s="26" t="n">
        <x:f>('参数'!$B$26+'参数'!$B$27*(D495-1)/99)*'参数'!$K$30*AD495</x:f>
        <x:v>29.12672268907563</x:v>
      </x:c>
      <x:c r="Y495" s="26" t="n">
        <x:f>('参数'!$B$28+'参数'!$B$29*(D495-1)/99)*'参数'!$K$30*AD495*IF(AE495=1,'参数'!$B$51,1)</x:f>
        <x:v>80.90756302521008</x:v>
      </x:c>
      <x:c r="Z495" s="22" t="n">
        <x:f>MIN('参数'!$B$36,U495/(U495+'参数'!$B$35))</x:f>
        <x:v>0.6261416482848315</x:v>
      </x:c>
      <x:c r="AA495" s="19" t="n">
        <x:f>T495*'参数'!$B$30/('参数'!$B$32*'参数'!$B$33)/(1-Z495)*AC495</x:f>
        <x:v>10777.437942585242</x:v>
      </x:c>
      <x:c r="AB495" s="19" t="n">
        <x:f>T495*'参数'!$B$31/'参数'!$B$34/(1-Z495)*AC495</x:f>
        <x:v>21554.875885170484</x:v>
      </x:c>
      <x:c r="AC495" s="20" t="n">
        <x:f>'参数'!$L$30*(1+'参数'!$B$53*(B495-1)/119)</x:f>
        <x:v>1.3581680672268908</x:v>
      </x:c>
      <x:c r="AD495" s="20" t="n">
        <x:f>1+'参数'!$B$52*(B495-1)/119</x:f>
        <x:v>1.011344537815126</x:v>
      </x:c>
      <x:c r="AE495" s="19" t="n">
        <x:f>IF(MOD(B495,12)=0,1,0)</x:f>
        <x:v>0</x:v>
      </x:c>
    </x:row>
    <x:row r="496" ht="22" customHeight="1">
      <x:c r="A496" s="18" t="str">
        <x:v>折磨</x:v>
      </x:c>
      <x:c r="B496" s="18" t="n">
        <x:v>11</x:v>
      </x:c>
      <x:c r="C496" s="18" t="n">
        <x:f>ROUNDUP(B496/12,0)</x:f>
        <x:v>1</x:v>
      </x:c>
      <x:c r="D496" s="18" t="n">
        <x:f>ROUND(MAX('参数'!$G$30,E496)+(IF(C496&lt;10,INDEX('参数'!$G$38:$P$38,1,MIN(10,C496+1)),'参数'!$H$30)-MAX('参数'!$G$30,E496))*MOD(B496-1,12)/11,0)</x:f>
        <x:v>100</x:v>
      </x:c>
      <x:c r="E496" s="18" t="n">
        <x:f>INDEX('参数'!$G$38:$P$38,1,C496)</x:f>
        <x:v>100</x:v>
      </x:c>
      <x:c r="F496" s="15" t="n">
        <x:f>'参数'!$I$30</x:f>
        <x:v>1.43</x:v>
      </x:c>
      <x:c r="G496" s="18" t="n">
        <x:f>ROUND(V496*X496/'参数'!$B$56,0)</x:f>
        <x:v>458219</x:v>
      </x:c>
      <x:c r="H496" s="18" t="n">
        <x:f>ROUND((AA496+SQRT(AA496^2+4*AA496*'参数'!$B$22*U496))/2,0)</x:f>
        <x:v>16319</x:v>
      </x:c>
      <x:c r="I496" s="18" t="n">
        <x:f>ROUND(Q496*'参数'!$B$23/'参数'!$B$22,0)</x:f>
        <x:v>2126</x:v>
      </x:c>
      <x:c r="J496" s="18" t="n">
        <x:f>ROUND(G496*'参数'!$B$50,0)</x:f>
        <x:v>1374657</x:v>
      </x:c>
      <x:c r="K496" s="18" t="n">
        <x:f>ROUND(W496*Y496,0)</x:f>
        <x:v>4510892</x:v>
      </x:c>
      <x:c r="L496" s="18" t="n">
        <x:f>ROUND((AB496+SQRT(AB496^2+4*AB496*'参数'!$B$22*U496))/2,0)</x:f>
        <x:v>28016</x:v>
      </x:c>
      <x:c r="M496" s="18" t="n">
        <x:f>ROUND(I496*'参数'!$B$24,0)</x:f>
        <x:v>2658</x:v>
      </x:c>
      <x:c r="N496" s="18" t="n">
        <x:f>'参数'!$B$9*'参数'!$B$10^(D496-1)</x:f>
        <x:v>11195.319600498813</x:v>
      </x:c>
      <x:c r="O496" s="18" t="n">
        <x:f>'参数'!$B$18*'参数'!$B$19^(MIN(E496,MAX(1,5*INT(D496/5)))-1)*F496*'参数'!$J$30*P496</x:f>
        <x:v>2103.552925769118</x:v>
      </x:c>
      <x:c r="P496" s="21" t="n">
        <x:f>MIN(1,(D496-1)/19)</x:f>
        <x:v>1</x:v>
      </x:c>
      <x:c r="Q496" s="18" t="n">
        <x:f>INDEX('角色成长'!$F$6:$F$105,D496)+O496*'参数'!$K$21</x:f>
        <x:v>10629.125838441985</x:v>
      </x:c>
      <x:c r="R496" s="18" t="n">
        <x:f>INDEX('角色成长'!$I$6:$I$105,D496)+O496*'参数'!$K$21</x:f>
        <x:v>9331.125838441985</x:v>
      </x:c>
      <x:c r="S496" s="18" t="n">
        <x:f>INDEX('角色成长'!$L$6:$L$105,D496)+O496*'参数'!$K$21</x:f>
        <x:v>8590.125838441985</x:v>
      </x:c>
      <x:c r="T496" s="18" t="n">
        <x:f>(INDEX('角色成长'!$J$6:$J$105,D496)+O496*'参数'!$L$21)*(1+'参数'!$B$40*P496)</x:f>
        <x:v>118666.76244728187</x:v>
      </x:c>
      <x:c r="U496" s="18" t="n">
        <x:f>(INDEX('角色成长'!$K$6:$K$105,D496)+O496*'参数'!$M$21)*(1+'参数'!$B$41*P496)</x:f>
        <x:v>6699.239382105553</x:v>
      </x:c>
      <x:c r="V496" s="18" t="n">
        <x:f>(('参数'!$K$5*(((Q496*(1+'参数'!$B$39*P496))^2/((Q496*(1+'参数'!$B$39*P496))+'参数'!$B$22*(I496)))*(1+'参数'!$B$42*P496)/'参数'!$J$5+((Q496*'参数'!$B$43*(1+'参数'!$B$39*P496))^2/((Q496*'参数'!$B$43*(1+'参数'!$B$39*P496))+'参数'!$B$22*(I496)))/'参数'!$B$44))+(((R496*(1+'参数'!$B$39*P496))^2/((R496*(1+'参数'!$B$39*P496))+'参数'!$B$22*(I496)))*(1+'参数'!$B$42*P496)/'参数'!$J$6+((R496*'参数'!$B$45*(1+'参数'!$B$39*P496))^2/((R496*'参数'!$B$45*(1+'参数'!$B$39*P496))+'参数'!$B$22*(I496)))/'参数'!$B$46)+((S496*(1+'参数'!$B$39*P496))^2/((S496*(1+'参数'!$B$39*P496))+'参数'!$B$22*(I496)))*(1+'参数'!$B$42*P496)/'参数'!$J$7)*(1+'参数'!$B$37*('参数'!$B$38-1))*'参数'!$B$25</x:f>
        <x:v>72276.65152942482</x:v>
      </x:c>
      <x:c r="W496" s="18" t="n">
        <x:f>(('参数'!$K$5*(((Q496*(1+'参数'!$B$39*P496))^2/((Q496*(1+'参数'!$B$39*P496))+'参数'!$B$22*(M496)))*(1+'参数'!$B$42*P496)/'参数'!$J$5+((Q496*'参数'!$B$43*(1+'参数'!$B$39*P496))^2/((Q496*'参数'!$B$43*(1+'参数'!$B$39*P496))+'参数'!$B$22*(M496)))/'参数'!$B$44))+(((R496*(1+'参数'!$B$39*P496))^2/((R496*(1+'参数'!$B$39*P496))+'参数'!$B$22*(M496)))*(1+'参数'!$B$42*P496)/'参数'!$J$6+((R496*'参数'!$B$45*(1+'参数'!$B$39*P496))^2/((R496*'参数'!$B$45*(1+'参数'!$B$39*P496))+'参数'!$B$22*(M496)))/'参数'!$B$46)+((S496*(1+'参数'!$B$39*P496))^2/((S496*(1+'参数'!$B$39*P496))+'参数'!$B$22*(M496)))*(1+'参数'!$B$42*P496)/'参数'!$J$7)*(1+'参数'!$B$37*('参数'!$B$38-1))</x:f>
        <x:v>55684.2511674383</x:v>
      </x:c>
      <x:c r="X496" s="25" t="n">
        <x:f>('参数'!$B$26+'参数'!$B$27*(D496-1)/99)*'参数'!$K$30*AD496</x:f>
        <x:v>29.163025210084033</x:v>
      </x:c>
      <x:c r="Y496" s="25" t="n">
        <x:f>('参数'!$B$28+'参数'!$B$29*(D496-1)/99)*'参数'!$K$30*AD496*IF(AE496=1,'参数'!$B$51,1)</x:f>
        <x:v>81.00840336134453</x:v>
      </x:c>
      <x:c r="Z496" s="21" t="n">
        <x:f>MIN('参数'!$B$36,U496/(U496+'参数'!$B$35))</x:f>
        <x:v>0.6261416482848315</x:v>
      </x:c>
      <x:c r="AA496" s="18" t="n">
        <x:f>T496*'参数'!$B$30/('参数'!$B$32*'参数'!$B$33)/(1-Z496)*AC496</x:f>
        <x:v>10784.639705326697</x:v>
      </x:c>
      <x:c r="AB496" s="18" t="n">
        <x:f>T496*'参数'!$B$31/'参数'!$B$34/(1-Z496)*AC496</x:f>
        <x:v>21569.279410653395</x:v>
      </x:c>
      <x:c r="AC496" s="15" t="n">
        <x:f>'参数'!$L$30*(1+'参数'!$B$53*(B496-1)/119)</x:f>
        <x:v>1.359075630252101</x:v>
      </x:c>
      <x:c r="AD496" s="15" t="n">
        <x:f>1+'参数'!$B$52*(B496-1)/119</x:f>
        <x:v>1.0126050420168067</x:v>
      </x:c>
      <x:c r="AE496" s="18" t="n">
        <x:f>IF(MOD(B496,12)=0,1,0)</x:f>
        <x:v>0</x:v>
      </x:c>
    </x:row>
    <x:row r="497" ht="22" customHeight="1">
      <x:c r="A497" s="19" t="str">
        <x:v>折磨</x:v>
      </x:c>
      <x:c r="B497" s="19" t="n">
        <x:v>12</x:v>
      </x:c>
      <x:c r="C497" s="19" t="n">
        <x:f>ROUNDUP(B497/12,0)</x:f>
        <x:v>1</x:v>
      </x:c>
      <x:c r="D497" s="19" t="n">
        <x:f>ROUND(MAX('参数'!$G$30,E497)+(IF(C497&lt;10,INDEX('参数'!$G$38:$P$38,1,MIN(10,C497+1)),'参数'!$H$30)-MAX('参数'!$G$30,E497))*MOD(B497-1,12)/11,0)</x:f>
        <x:v>100</x:v>
      </x:c>
      <x:c r="E497" s="19" t="n">
        <x:f>INDEX('参数'!$G$38:$P$38,1,C497)</x:f>
        <x:v>100</x:v>
      </x:c>
      <x:c r="F497" s="20" t="n">
        <x:f>'参数'!$I$30</x:f>
        <x:v>1.43</x:v>
      </x:c>
      <x:c r="G497" s="19" t="n">
        <x:f>ROUND(V497*X497/'参数'!$B$56,0)</x:f>
        <x:v>458789</x:v>
      </x:c>
      <x:c r="H497" s="19" t="n">
        <x:f>ROUND((AA497+SQRT(AA497^2+4*AA497*'参数'!$B$22*U497))/2,0)</x:f>
        <x:v>16327</x:v>
      </x:c>
      <x:c r="I497" s="19" t="n">
        <x:f>ROUND(Q497*'参数'!$B$23/'参数'!$B$22,0)</x:f>
        <x:v>2126</x:v>
      </x:c>
      <x:c r="J497" s="19" t="n">
        <x:f>ROUND(G497*'参数'!$B$50,0)</x:f>
        <x:v>1376367</x:v>
      </x:c>
      <x:c r="K497" s="19" t="n">
        <x:f>ROUND(W497*Y497,0)</x:f>
        <x:v>5193984</x:v>
      </x:c>
      <x:c r="L497" s="19" t="n">
        <x:f>ROUND((AB497+SQRT(AB497^2+4*AB497*'参数'!$B$22*U497))/2,0)</x:f>
        <x:v>28032</x:v>
      </x:c>
      <x:c r="M497" s="19" t="n">
        <x:f>ROUND(I497*'参数'!$B$24,0)</x:f>
        <x:v>2658</x:v>
      </x:c>
      <x:c r="N497" s="19" t="n">
        <x:f>'参数'!$B$9*'参数'!$B$10^(D497-1)</x:f>
        <x:v>11195.319600498813</x:v>
      </x:c>
      <x:c r="O497" s="19" t="n">
        <x:f>'参数'!$B$18*'参数'!$B$19^(MIN(E497,MAX(1,5*INT(D497/5)))-1)*F497*'参数'!$J$30*P497</x:f>
        <x:v>2103.552925769118</x:v>
      </x:c>
      <x:c r="P497" s="22" t="n">
        <x:f>MIN(1,(D497-1)/19)</x:f>
        <x:v>1</x:v>
      </x:c>
      <x:c r="Q497" s="19" t="n">
        <x:f>INDEX('角色成长'!$F$6:$F$105,D497)+O497*'参数'!$K$21</x:f>
        <x:v>10629.125838441985</x:v>
      </x:c>
      <x:c r="R497" s="19" t="n">
        <x:f>INDEX('角色成长'!$I$6:$I$105,D497)+O497*'参数'!$K$21</x:f>
        <x:v>9331.125838441985</x:v>
      </x:c>
      <x:c r="S497" s="19" t="n">
        <x:f>INDEX('角色成长'!$L$6:$L$105,D497)+O497*'参数'!$K$21</x:f>
        <x:v>8590.125838441985</x:v>
      </x:c>
      <x:c r="T497" s="19" t="n">
        <x:f>(INDEX('角色成长'!$J$6:$J$105,D497)+O497*'参数'!$L$21)*(1+'参数'!$B$40*P497)</x:f>
        <x:v>118666.76244728187</x:v>
      </x:c>
      <x:c r="U497" s="19" t="n">
        <x:f>(INDEX('角色成长'!$K$6:$K$105,D497)+O497*'参数'!$M$21)*(1+'参数'!$B$41*P497)</x:f>
        <x:v>6699.239382105553</x:v>
      </x:c>
      <x:c r="V497" s="19" t="n">
        <x:f>(('参数'!$K$5*(((Q497*(1+'参数'!$B$39*P497))^2/((Q497*(1+'参数'!$B$39*P497))+'参数'!$B$22*(I497)))*(1+'参数'!$B$42*P497)/'参数'!$J$5+((Q497*'参数'!$B$43*(1+'参数'!$B$39*P497))^2/((Q497*'参数'!$B$43*(1+'参数'!$B$39*P497))+'参数'!$B$22*(I497)))/'参数'!$B$44))+(((R497*(1+'参数'!$B$39*P497))^2/((R497*(1+'参数'!$B$39*P497))+'参数'!$B$22*(I497)))*(1+'参数'!$B$42*P497)/'参数'!$J$6+((R497*'参数'!$B$45*(1+'参数'!$B$39*P497))^2/((R497*'参数'!$B$45*(1+'参数'!$B$39*P497))+'参数'!$B$22*(I497)))/'参数'!$B$46)+((S497*(1+'参数'!$B$39*P497))^2/((S497*(1+'参数'!$B$39*P497))+'参数'!$B$22*(I497)))*(1+'参数'!$B$42*P497)/'参数'!$J$7)*(1+'参数'!$B$37*('参数'!$B$38-1))*'参数'!$B$25</x:f>
        <x:v>72276.65152942482</x:v>
      </x:c>
      <x:c r="W497" s="19" t="n">
        <x:f>(('参数'!$K$5*(((Q497*(1+'参数'!$B$39*P497))^2/((Q497*(1+'参数'!$B$39*P497))+'参数'!$B$22*(M497)))*(1+'参数'!$B$42*P497)/'参数'!$J$5+((Q497*'参数'!$B$43*(1+'参数'!$B$39*P497))^2/((Q497*'参数'!$B$43*(1+'参数'!$B$39*P497))+'参数'!$B$22*(M497)))/'参数'!$B$44))+(((R497*(1+'参数'!$B$39*P497))^2/((R497*(1+'参数'!$B$39*P497))+'参数'!$B$22*(M497)))*(1+'参数'!$B$42*P497)/'参数'!$J$6+((R497*'参数'!$B$45*(1+'参数'!$B$39*P497))^2/((R497*'参数'!$B$45*(1+'参数'!$B$39*P497))+'参数'!$B$22*(M497)))/'参数'!$B$46)+((S497*(1+'参数'!$B$39*P497))^2/((S497*(1+'参数'!$B$39*P497))+'参数'!$B$22*(M497)))*(1+'参数'!$B$42*P497)/'参数'!$J$7)*(1+'参数'!$B$37*('参数'!$B$38-1))</x:f>
        <x:v>55684.2511674383</x:v>
      </x:c>
      <x:c r="X497" s="26" t="n">
        <x:f>('参数'!$B$26+'参数'!$B$27*(D497-1)/99)*'参数'!$K$30*AD497</x:f>
        <x:v>29.199327731092435</x:v>
      </x:c>
      <x:c r="Y497" s="26" t="n">
        <x:f>('参数'!$B$28+'参数'!$B$29*(D497-1)/99)*'参数'!$K$30*AD497*IF(AE497=1,'参数'!$B$51,1)</x:f>
        <x:v>93.27563025210083</x:v>
      </x:c>
      <x:c r="Z497" s="22" t="n">
        <x:f>MIN('参数'!$B$36,U497/(U497+'参数'!$B$35))</x:f>
        <x:v>0.6261416482848315</x:v>
      </x:c>
      <x:c r="AA497" s="19" t="n">
        <x:f>T497*'参数'!$B$30/('参数'!$B$32*'参数'!$B$33)/(1-Z497)*AC497</x:f>
        <x:v>10791.841468068153</x:v>
      </x:c>
      <x:c r="AB497" s="19" t="n">
        <x:f>T497*'参数'!$B$31/'参数'!$B$34/(1-Z497)*AC497</x:f>
        <x:v>21583.682936136305</x:v>
      </x:c>
      <x:c r="AC497" s="20" t="n">
        <x:f>'参数'!$L$30*(1+'参数'!$B$53*(B497-1)/119)</x:f>
        <x:v>1.3599831932773112</x:v>
      </x:c>
      <x:c r="AD497" s="20" t="n">
        <x:f>1+'参数'!$B$52*(B497-1)/119</x:f>
        <x:v>1.0138655462184873</x:v>
      </x:c>
      <x:c r="AE497" s="19" t="n">
        <x:f>IF(MOD(B497,12)=0,1,0)</x:f>
        <x:v>1</x:v>
      </x:c>
    </x:row>
    <x:row r="498" ht="22" customHeight="1">
      <x:c r="A498" s="18" t="str">
        <x:v>折磨</x:v>
      </x:c>
      <x:c r="B498" s="18" t="n">
        <x:v>13</x:v>
      </x:c>
      <x:c r="C498" s="18" t="n">
        <x:f>ROUNDUP(B498/12,0)</x:f>
        <x:v>2</x:v>
      </x:c>
      <x:c r="D498" s="18" t="n">
        <x:f>ROUND(MAX('参数'!$G$30,E498)+(IF(C498&lt;10,INDEX('参数'!$G$38:$P$38,1,MIN(10,C498+1)),'参数'!$H$30)-MAX('参数'!$G$30,E498))*MOD(B498-1,12)/11,0)</x:f>
        <x:v>100</x:v>
      </x:c>
      <x:c r="E498" s="18" t="n">
        <x:f>INDEX('参数'!$G$38:$P$38,1,C498)</x:f>
        <x:v>100</x:v>
      </x:c>
      <x:c r="F498" s="15" t="n">
        <x:f>'参数'!$I$30</x:f>
        <x:v>1.43</x:v>
      </x:c>
      <x:c r="G498" s="18" t="n">
        <x:f>ROUND(V498*X498/'参数'!$B$56,0)</x:f>
        <x:v>459359</x:v>
      </x:c>
      <x:c r="H498" s="18" t="n">
        <x:f>ROUND((AA498+SQRT(AA498^2+4*AA498*'参数'!$B$22*U498))/2,0)</x:f>
        <x:v>16335</x:v>
      </x:c>
      <x:c r="I498" s="18" t="n">
        <x:f>ROUND(Q498*'参数'!$B$23/'参数'!$B$22,0)</x:f>
        <x:v>2126</x:v>
      </x:c>
      <x:c r="J498" s="18" t="n">
        <x:f>ROUND(G498*'参数'!$B$50,0)</x:f>
        <x:v>1378077</x:v>
      </x:c>
      <x:c r="K498" s="18" t="n">
        <x:f>ROUND(W498*Y498,0)</x:f>
        <x:v>4522123</x:v>
      </x:c>
      <x:c r="L498" s="18" t="n">
        <x:f>ROUND((AB498+SQRT(AB498^2+4*AB498*'参数'!$B$22*U498))/2,0)</x:f>
        <x:v>28047</x:v>
      </x:c>
      <x:c r="M498" s="18" t="n">
        <x:f>ROUND(I498*'参数'!$B$24,0)</x:f>
        <x:v>2658</x:v>
      </x:c>
      <x:c r="N498" s="18" t="n">
        <x:f>'参数'!$B$9*'参数'!$B$10^(D498-1)</x:f>
        <x:v>11195.319600498813</x:v>
      </x:c>
      <x:c r="O498" s="18" t="n">
        <x:f>'参数'!$B$18*'参数'!$B$19^(MIN(E498,MAX(1,5*INT(D498/5)))-1)*F498*'参数'!$J$30*P498</x:f>
        <x:v>2103.552925769118</x:v>
      </x:c>
      <x:c r="P498" s="21" t="n">
        <x:f>MIN(1,(D498-1)/19)</x:f>
        <x:v>1</x:v>
      </x:c>
      <x:c r="Q498" s="18" t="n">
        <x:f>INDEX('角色成长'!$F$6:$F$105,D498)+O498*'参数'!$K$21</x:f>
        <x:v>10629.125838441985</x:v>
      </x:c>
      <x:c r="R498" s="18" t="n">
        <x:f>INDEX('角色成长'!$I$6:$I$105,D498)+O498*'参数'!$K$21</x:f>
        <x:v>9331.125838441985</x:v>
      </x:c>
      <x:c r="S498" s="18" t="n">
        <x:f>INDEX('角色成长'!$L$6:$L$105,D498)+O498*'参数'!$K$21</x:f>
        <x:v>8590.125838441985</x:v>
      </x:c>
      <x:c r="T498" s="18" t="n">
        <x:f>(INDEX('角色成长'!$J$6:$J$105,D498)+O498*'参数'!$L$21)*(1+'参数'!$B$40*P498)</x:f>
        <x:v>118666.76244728187</x:v>
      </x:c>
      <x:c r="U498" s="18" t="n">
        <x:f>(INDEX('角色成长'!$K$6:$K$105,D498)+O498*'参数'!$M$21)*(1+'参数'!$B$41*P498)</x:f>
        <x:v>6699.239382105553</x:v>
      </x:c>
      <x:c r="V498" s="18" t="n">
        <x:f>(('参数'!$K$5*(((Q498*(1+'参数'!$B$39*P498))^2/((Q498*(1+'参数'!$B$39*P498))+'参数'!$B$22*(I498)))*(1+'参数'!$B$42*P498)/'参数'!$J$5+((Q498*'参数'!$B$43*(1+'参数'!$B$39*P498))^2/((Q498*'参数'!$B$43*(1+'参数'!$B$39*P498))+'参数'!$B$22*(I498)))/'参数'!$B$44))+(((R498*(1+'参数'!$B$39*P498))^2/((R498*(1+'参数'!$B$39*P498))+'参数'!$B$22*(I498)))*(1+'参数'!$B$42*P498)/'参数'!$J$6+((R498*'参数'!$B$45*(1+'参数'!$B$39*P498))^2/((R498*'参数'!$B$45*(1+'参数'!$B$39*P498))+'参数'!$B$22*(I498)))/'参数'!$B$46)+((S498*(1+'参数'!$B$39*P498))^2/((S498*(1+'参数'!$B$39*P498))+'参数'!$B$22*(I498)))*(1+'参数'!$B$42*P498)/'参数'!$J$7)*(1+'参数'!$B$37*('参数'!$B$38-1))*'参数'!$B$25</x:f>
        <x:v>72276.65152942482</x:v>
      </x:c>
      <x:c r="W498" s="18" t="n">
        <x:f>(('参数'!$K$5*(((Q498*(1+'参数'!$B$39*P498))^2/((Q498*(1+'参数'!$B$39*P498))+'参数'!$B$22*(M498)))*(1+'参数'!$B$42*P498)/'参数'!$J$5+((Q498*'参数'!$B$43*(1+'参数'!$B$39*P498))^2/((Q498*'参数'!$B$43*(1+'参数'!$B$39*P498))+'参数'!$B$22*(M498)))/'参数'!$B$44))+(((R498*(1+'参数'!$B$39*P498))^2/((R498*(1+'参数'!$B$39*P498))+'参数'!$B$22*(M498)))*(1+'参数'!$B$42*P498)/'参数'!$J$6+((R498*'参数'!$B$45*(1+'参数'!$B$39*P498))^2/((R498*'参数'!$B$45*(1+'参数'!$B$39*P498))+'参数'!$B$22*(M498)))/'参数'!$B$46)+((S498*(1+'参数'!$B$39*P498))^2/((S498*(1+'参数'!$B$39*P498))+'参数'!$B$22*(M498)))*(1+'参数'!$B$42*P498)/'参数'!$J$7)*(1+'参数'!$B$37*('参数'!$B$38-1))</x:f>
        <x:v>55684.2511674383</x:v>
      </x:c>
      <x:c r="X498" s="25" t="n">
        <x:f>('参数'!$B$26+'参数'!$B$27*(D498-1)/99)*'参数'!$K$30*AD498</x:f>
        <x:v>29.23563025210084</x:v>
      </x:c>
      <x:c r="Y498" s="25" t="n">
        <x:f>('参数'!$B$28+'参数'!$B$29*(D498-1)/99)*'参数'!$K$30*AD498*IF(AE498=1,'参数'!$B$51,1)</x:f>
        <x:v>81.21008403361344</x:v>
      </x:c>
      <x:c r="Z498" s="21" t="n">
        <x:f>MIN('参数'!$B$36,U498/(U498+'参数'!$B$35))</x:f>
        <x:v>0.6261416482848315</x:v>
      </x:c>
      <x:c r="AA498" s="18" t="n">
        <x:f>T498*'参数'!$B$30/('参数'!$B$32*'参数'!$B$33)/(1-Z498)*AC498</x:f>
        <x:v>10799.043230809602</x:v>
      </x:c>
      <x:c r="AB498" s="18" t="n">
        <x:f>T498*'参数'!$B$31/'参数'!$B$34/(1-Z498)*AC498</x:f>
        <x:v>21598.086461619205</x:v>
      </x:c>
      <x:c r="AC498" s="15" t="n">
        <x:f>'参数'!$L$30*(1+'参数'!$B$53*(B498-1)/119)</x:f>
        <x:v>1.360890756302521</x:v>
      </x:c>
      <x:c r="AD498" s="15" t="n">
        <x:f>1+'参数'!$B$52*(B498-1)/119</x:f>
        <x:v>1.015126050420168</x:v>
      </x:c>
      <x:c r="AE498" s="18" t="n">
        <x:f>IF(MOD(B498,12)=0,1,0)</x:f>
        <x:v>0</x:v>
      </x:c>
    </x:row>
    <x:row r="499" ht="22" customHeight="1">
      <x:c r="A499" s="19" t="str">
        <x:v>折磨</x:v>
      </x:c>
      <x:c r="B499" s="19" t="n">
        <x:v>14</x:v>
      </x:c>
      <x:c r="C499" s="19" t="n">
        <x:f>ROUNDUP(B499/12,0)</x:f>
        <x:v>2</x:v>
      </x:c>
      <x:c r="D499" s="19" t="n">
        <x:f>ROUND(MAX('参数'!$G$30,E499)+(IF(C499&lt;10,INDEX('参数'!$G$38:$P$38,1,MIN(10,C499+1)),'参数'!$H$30)-MAX('参数'!$G$30,E499))*MOD(B499-1,12)/11,0)</x:f>
        <x:v>100</x:v>
      </x:c>
      <x:c r="E499" s="19" t="n">
        <x:f>INDEX('参数'!$G$38:$P$38,1,C499)</x:f>
        <x:v>100</x:v>
      </x:c>
      <x:c r="F499" s="20" t="n">
        <x:f>'参数'!$I$30</x:f>
        <x:v>1.43</x:v>
      </x:c>
      <x:c r="G499" s="19" t="n">
        <x:f>ROUND(V499*X499/'参数'!$B$56,0)</x:f>
        <x:v>459930</x:v>
      </x:c>
      <x:c r="H499" s="19" t="n">
        <x:f>ROUND((AA499+SQRT(AA499^2+4*AA499*'参数'!$B$22*U499))/2,0)</x:f>
        <x:v>16343</x:v>
      </x:c>
      <x:c r="I499" s="19" t="n">
        <x:f>ROUND(Q499*'参数'!$B$23/'参数'!$B$22,0)</x:f>
        <x:v>2126</x:v>
      </x:c>
      <x:c r="J499" s="19" t="n">
        <x:f>ROUND(G499*'参数'!$B$50,0)</x:f>
        <x:v>1379790</x:v>
      </x:c>
      <x:c r="K499" s="19" t="n">
        <x:f>ROUND(W499*Y499,0)</x:f>
        <x:v>4527738</x:v>
      </x:c>
      <x:c r="L499" s="19" t="n">
        <x:f>ROUND((AB499+SQRT(AB499^2+4*AB499*'参数'!$B$22*U499))/2,0)</x:f>
        <x:v>28062</x:v>
      </x:c>
      <x:c r="M499" s="19" t="n">
        <x:f>ROUND(I499*'参数'!$B$24,0)</x:f>
        <x:v>2658</x:v>
      </x:c>
      <x:c r="N499" s="19" t="n">
        <x:f>'参数'!$B$9*'参数'!$B$10^(D499-1)</x:f>
        <x:v>11195.319600498813</x:v>
      </x:c>
      <x:c r="O499" s="19" t="n">
        <x:f>'参数'!$B$18*'参数'!$B$19^(MIN(E499,MAX(1,5*INT(D499/5)))-1)*F499*'参数'!$J$30*P499</x:f>
        <x:v>2103.552925769118</x:v>
      </x:c>
      <x:c r="P499" s="22" t="n">
        <x:f>MIN(1,(D499-1)/19)</x:f>
        <x:v>1</x:v>
      </x:c>
      <x:c r="Q499" s="19" t="n">
        <x:f>INDEX('角色成长'!$F$6:$F$105,D499)+O499*'参数'!$K$21</x:f>
        <x:v>10629.125838441985</x:v>
      </x:c>
      <x:c r="R499" s="19" t="n">
        <x:f>INDEX('角色成长'!$I$6:$I$105,D499)+O499*'参数'!$K$21</x:f>
        <x:v>9331.125838441985</x:v>
      </x:c>
      <x:c r="S499" s="19" t="n">
        <x:f>INDEX('角色成长'!$L$6:$L$105,D499)+O499*'参数'!$K$21</x:f>
        <x:v>8590.125838441985</x:v>
      </x:c>
      <x:c r="T499" s="19" t="n">
        <x:f>(INDEX('角色成长'!$J$6:$J$105,D499)+O499*'参数'!$L$21)*(1+'参数'!$B$40*P499)</x:f>
        <x:v>118666.76244728187</x:v>
      </x:c>
      <x:c r="U499" s="19" t="n">
        <x:f>(INDEX('角色成长'!$K$6:$K$105,D499)+O499*'参数'!$M$21)*(1+'参数'!$B$41*P499)</x:f>
        <x:v>6699.239382105553</x:v>
      </x:c>
      <x:c r="V499" s="19" t="n">
        <x:f>(('参数'!$K$5*(((Q499*(1+'参数'!$B$39*P499))^2/((Q499*(1+'参数'!$B$39*P499))+'参数'!$B$22*(I499)))*(1+'参数'!$B$42*P499)/'参数'!$J$5+((Q499*'参数'!$B$43*(1+'参数'!$B$39*P499))^2/((Q499*'参数'!$B$43*(1+'参数'!$B$39*P499))+'参数'!$B$22*(I499)))/'参数'!$B$44))+(((R499*(1+'参数'!$B$39*P499))^2/((R499*(1+'参数'!$B$39*P499))+'参数'!$B$22*(I499)))*(1+'参数'!$B$42*P499)/'参数'!$J$6+((R499*'参数'!$B$45*(1+'参数'!$B$39*P499))^2/((R499*'参数'!$B$45*(1+'参数'!$B$39*P499))+'参数'!$B$22*(I499)))/'参数'!$B$46)+((S499*(1+'参数'!$B$39*P499))^2/((S499*(1+'参数'!$B$39*P499))+'参数'!$B$22*(I499)))*(1+'参数'!$B$42*P499)/'参数'!$J$7)*(1+'参数'!$B$37*('参数'!$B$38-1))*'参数'!$B$25</x:f>
        <x:v>72276.65152942482</x:v>
      </x:c>
      <x:c r="W499" s="19" t="n">
        <x:f>(('参数'!$K$5*(((Q499*(1+'参数'!$B$39*P499))^2/((Q499*(1+'参数'!$B$39*P499))+'参数'!$B$22*(M499)))*(1+'参数'!$B$42*P499)/'参数'!$J$5+((Q499*'参数'!$B$43*(1+'参数'!$B$39*P499))^2/((Q499*'参数'!$B$43*(1+'参数'!$B$39*P499))+'参数'!$B$22*(M499)))/'参数'!$B$44))+(((R499*(1+'参数'!$B$39*P499))^2/((R499*(1+'参数'!$B$39*P499))+'参数'!$B$22*(M499)))*(1+'参数'!$B$42*P499)/'参数'!$J$6+((R499*'参数'!$B$45*(1+'参数'!$B$39*P499))^2/((R499*'参数'!$B$45*(1+'参数'!$B$39*P499))+'参数'!$B$22*(M499)))/'参数'!$B$46)+((S499*(1+'参数'!$B$39*P499))^2/((S499*(1+'参数'!$B$39*P499))+'参数'!$B$22*(M499)))*(1+'参数'!$B$42*P499)/'参数'!$J$7)*(1+'参数'!$B$37*('参数'!$B$38-1))</x:f>
        <x:v>55684.2511674383</x:v>
      </x:c>
      <x:c r="X499" s="26" t="n">
        <x:f>('参数'!$B$26+'参数'!$B$27*(D499-1)/99)*'参数'!$K$30*AD499</x:f>
        <x:v>29.271932773109242</x:v>
      </x:c>
      <x:c r="Y499" s="26" t="n">
        <x:f>('参数'!$B$28+'参数'!$B$29*(D499-1)/99)*'参数'!$K$30*AD499*IF(AE499=1,'参数'!$B$51,1)</x:f>
        <x:v>81.3109243697479</x:v>
      </x:c>
      <x:c r="Z499" s="22" t="n">
        <x:f>MIN('参数'!$B$36,U499/(U499+'参数'!$B$35))</x:f>
        <x:v>0.6261416482848315</x:v>
      </x:c>
      <x:c r="AA499" s="19" t="n">
        <x:f>T499*'参数'!$B$30/('参数'!$B$32*'参数'!$B$33)/(1-Z499)*AC499</x:f>
        <x:v>10806.244993551058</x:v>
      </x:c>
      <x:c r="AB499" s="19" t="n">
        <x:f>T499*'参数'!$B$31/'参数'!$B$34/(1-Z499)*AC499</x:f>
        <x:v>21612.489987102115</x:v>
      </x:c>
      <x:c r="AC499" s="20" t="n">
        <x:f>'参数'!$L$30*(1+'参数'!$B$53*(B499-1)/119)</x:f>
        <x:v>1.3617983193277312</x:v>
      </x:c>
      <x:c r="AD499" s="20" t="n">
        <x:f>1+'参数'!$B$52*(B499-1)/119</x:f>
        <x:v>1.0163865546218487</x:v>
      </x:c>
      <x:c r="AE499" s="19" t="n">
        <x:f>IF(MOD(B499,12)=0,1,0)</x:f>
        <x:v>0</x:v>
      </x:c>
    </x:row>
    <x:row r="500" ht="22" customHeight="1">
      <x:c r="A500" s="18" t="str">
        <x:v>折磨</x:v>
      </x:c>
      <x:c r="B500" s="18" t="n">
        <x:v>15</x:v>
      </x:c>
      <x:c r="C500" s="18" t="n">
        <x:f>ROUNDUP(B500/12,0)</x:f>
        <x:v>2</x:v>
      </x:c>
      <x:c r="D500" s="18" t="n">
        <x:f>ROUND(MAX('参数'!$G$30,E500)+(IF(C500&lt;10,INDEX('参数'!$G$38:$P$38,1,MIN(10,C500+1)),'参数'!$H$30)-MAX('参数'!$G$30,E500))*MOD(B500-1,12)/11,0)</x:f>
        <x:v>100</x:v>
      </x:c>
      <x:c r="E500" s="18" t="n">
        <x:f>INDEX('参数'!$G$38:$P$38,1,C500)</x:f>
        <x:v>100</x:v>
      </x:c>
      <x:c r="F500" s="15" t="n">
        <x:f>'参数'!$I$30</x:f>
        <x:v>1.43</x:v>
      </x:c>
      <x:c r="G500" s="18" t="n">
        <x:f>ROUND(V500*X500/'参数'!$B$56,0)</x:f>
        <x:v>460500</x:v>
      </x:c>
      <x:c r="H500" s="18" t="n">
        <x:f>ROUND((AA500+SQRT(AA500^2+4*AA500*'参数'!$B$22*U500))/2,0)</x:f>
        <x:v>16351</x:v>
      </x:c>
      <x:c r="I500" s="18" t="n">
        <x:f>ROUND(Q500*'参数'!$B$23/'参数'!$B$22,0)</x:f>
        <x:v>2126</x:v>
      </x:c>
      <x:c r="J500" s="18" t="n">
        <x:f>ROUND(G500*'参数'!$B$50,0)</x:f>
        <x:v>1381500</x:v>
      </x:c>
      <x:c r="K500" s="18" t="n">
        <x:f>ROUND(W500*Y500,0)</x:f>
        <x:v>4533353</x:v>
      </x:c>
      <x:c r="L500" s="18" t="n">
        <x:f>ROUND((AB500+SQRT(AB500^2+4*AB500*'参数'!$B$22*U500))/2,0)</x:f>
        <x:v>28077</x:v>
      </x:c>
      <x:c r="M500" s="18" t="n">
        <x:f>ROUND(I500*'参数'!$B$24,0)</x:f>
        <x:v>2658</x:v>
      </x:c>
      <x:c r="N500" s="18" t="n">
        <x:f>'参数'!$B$9*'参数'!$B$10^(D500-1)</x:f>
        <x:v>11195.319600498813</x:v>
      </x:c>
      <x:c r="O500" s="18" t="n">
        <x:f>'参数'!$B$18*'参数'!$B$19^(MIN(E500,MAX(1,5*INT(D500/5)))-1)*F500*'参数'!$J$30*P500</x:f>
        <x:v>2103.552925769118</x:v>
      </x:c>
      <x:c r="P500" s="21" t="n">
        <x:f>MIN(1,(D500-1)/19)</x:f>
        <x:v>1</x:v>
      </x:c>
      <x:c r="Q500" s="18" t="n">
        <x:f>INDEX('角色成长'!$F$6:$F$105,D500)+O500*'参数'!$K$21</x:f>
        <x:v>10629.125838441985</x:v>
      </x:c>
      <x:c r="R500" s="18" t="n">
        <x:f>INDEX('角色成长'!$I$6:$I$105,D500)+O500*'参数'!$K$21</x:f>
        <x:v>9331.125838441985</x:v>
      </x:c>
      <x:c r="S500" s="18" t="n">
        <x:f>INDEX('角色成长'!$L$6:$L$105,D500)+O500*'参数'!$K$21</x:f>
        <x:v>8590.125838441985</x:v>
      </x:c>
      <x:c r="T500" s="18" t="n">
        <x:f>(INDEX('角色成长'!$J$6:$J$105,D500)+O500*'参数'!$L$21)*(1+'参数'!$B$40*P500)</x:f>
        <x:v>118666.76244728187</x:v>
      </x:c>
      <x:c r="U500" s="18" t="n">
        <x:f>(INDEX('角色成长'!$K$6:$K$105,D500)+O500*'参数'!$M$21)*(1+'参数'!$B$41*P500)</x:f>
        <x:v>6699.239382105553</x:v>
      </x:c>
      <x:c r="V500" s="18" t="n">
        <x:f>(('参数'!$K$5*(((Q500*(1+'参数'!$B$39*P500))^2/((Q500*(1+'参数'!$B$39*P500))+'参数'!$B$22*(I500)))*(1+'参数'!$B$42*P500)/'参数'!$J$5+((Q500*'参数'!$B$43*(1+'参数'!$B$39*P500))^2/((Q500*'参数'!$B$43*(1+'参数'!$B$39*P500))+'参数'!$B$22*(I500)))/'参数'!$B$44))+(((R500*(1+'参数'!$B$39*P500))^2/((R500*(1+'参数'!$B$39*P500))+'参数'!$B$22*(I500)))*(1+'参数'!$B$42*P500)/'参数'!$J$6+((R500*'参数'!$B$45*(1+'参数'!$B$39*P500))^2/((R500*'参数'!$B$45*(1+'参数'!$B$39*P500))+'参数'!$B$22*(I500)))/'参数'!$B$46)+((S500*(1+'参数'!$B$39*P500))^2/((S500*(1+'参数'!$B$39*P500))+'参数'!$B$22*(I500)))*(1+'参数'!$B$42*P500)/'参数'!$J$7)*(1+'参数'!$B$37*('参数'!$B$38-1))*'参数'!$B$25</x:f>
        <x:v>72276.65152942482</x:v>
      </x:c>
      <x:c r="W500" s="18" t="n">
        <x:f>(('参数'!$K$5*(((Q500*(1+'参数'!$B$39*P500))^2/((Q500*(1+'参数'!$B$39*P500))+'参数'!$B$22*(M500)))*(1+'参数'!$B$42*P500)/'参数'!$J$5+((Q500*'参数'!$B$43*(1+'参数'!$B$39*P500))^2/((Q500*'参数'!$B$43*(1+'参数'!$B$39*P500))+'参数'!$B$22*(M500)))/'参数'!$B$44))+(((R500*(1+'参数'!$B$39*P500))^2/((R500*(1+'参数'!$B$39*P500))+'参数'!$B$22*(M500)))*(1+'参数'!$B$42*P500)/'参数'!$J$6+((R500*'参数'!$B$45*(1+'参数'!$B$39*P500))^2/((R500*'参数'!$B$45*(1+'参数'!$B$39*P500))+'参数'!$B$22*(M500)))/'参数'!$B$46)+((S500*(1+'参数'!$B$39*P500))^2/((S500*(1+'参数'!$B$39*P500))+'参数'!$B$22*(M500)))*(1+'参数'!$B$42*P500)/'参数'!$J$7)*(1+'参数'!$B$37*('参数'!$B$38-1))</x:f>
        <x:v>55684.2511674383</x:v>
      </x:c>
      <x:c r="X500" s="25" t="n">
        <x:f>('参数'!$B$26+'参数'!$B$27*(D500-1)/99)*'参数'!$K$30*AD500</x:f>
        <x:v>29.308235294117647</x:v>
      </x:c>
      <x:c r="Y500" s="25" t="n">
        <x:f>('参数'!$B$28+'参数'!$B$29*(D500-1)/99)*'参数'!$K$30*AD500*IF(AE500=1,'参数'!$B$51,1)</x:f>
        <x:v>81.41176470588235</x:v>
      </x:c>
      <x:c r="Z500" s="21" t="n">
        <x:f>MIN('参数'!$B$36,U500/(U500+'参数'!$B$35))</x:f>
        <x:v>0.6261416482848315</x:v>
      </x:c>
      <x:c r="AA500" s="18" t="n">
        <x:f>T500*'参数'!$B$30/('参数'!$B$32*'参数'!$B$33)/(1-Z500)*AC500</x:f>
        <x:v>10813.446756292513</x:v>
      </x:c>
      <x:c r="AB500" s="18" t="n">
        <x:f>T500*'参数'!$B$31/'参数'!$B$34/(1-Z500)*AC500</x:f>
        <x:v>21626.893512585026</x:v>
      </x:c>
      <x:c r="AC500" s="15" t="n">
        <x:f>'参数'!$L$30*(1+'参数'!$B$53*(B500-1)/119)</x:f>
        <x:v>1.3627058823529414</x:v>
      </x:c>
      <x:c r="AD500" s="15" t="n">
        <x:f>1+'参数'!$B$52*(B500-1)/119</x:f>
        <x:v>1.0176470588235293</x:v>
      </x:c>
      <x:c r="AE500" s="18" t="n">
        <x:f>IF(MOD(B500,12)=0,1,0)</x:f>
        <x:v>0</x:v>
      </x:c>
    </x:row>
    <x:row r="501" ht="22" customHeight="1">
      <x:c r="A501" s="19" t="str">
        <x:v>折磨</x:v>
      </x:c>
      <x:c r="B501" s="19" t="n">
        <x:v>16</x:v>
      </x:c>
      <x:c r="C501" s="19" t="n">
        <x:f>ROUNDUP(B501/12,0)</x:f>
        <x:v>2</x:v>
      </x:c>
      <x:c r="D501" s="19" t="n">
        <x:f>ROUND(MAX('参数'!$G$30,E501)+(IF(C501&lt;10,INDEX('参数'!$G$38:$P$38,1,MIN(10,C501+1)),'参数'!$H$30)-MAX('参数'!$G$30,E501))*MOD(B501-1,12)/11,0)</x:f>
        <x:v>100</x:v>
      </x:c>
      <x:c r="E501" s="19" t="n">
        <x:f>INDEX('参数'!$G$38:$P$38,1,C501)</x:f>
        <x:v>100</x:v>
      </x:c>
      <x:c r="F501" s="20" t="n">
        <x:f>'参数'!$I$30</x:f>
        <x:v>1.43</x:v>
      </x:c>
      <x:c r="G501" s="19" t="n">
        <x:f>ROUND(V501*X501/'参数'!$B$56,0)</x:f>
        <x:v>461071</x:v>
      </x:c>
      <x:c r="H501" s="19" t="n">
        <x:f>ROUND((AA501+SQRT(AA501^2+4*AA501*'参数'!$B$22*U501))/2,0)</x:f>
        <x:v>16359</x:v>
      </x:c>
      <x:c r="I501" s="19" t="n">
        <x:f>ROUND(Q501*'参数'!$B$23/'参数'!$B$22,0)</x:f>
        <x:v>2126</x:v>
      </x:c>
      <x:c r="J501" s="19" t="n">
        <x:f>ROUND(G501*'参数'!$B$50,0)</x:f>
        <x:v>1383213</x:v>
      </x:c>
      <x:c r="K501" s="19" t="n">
        <x:f>ROUND(W501*Y501,0)</x:f>
        <x:v>4538968</x:v>
      </x:c>
      <x:c r="L501" s="19" t="n">
        <x:f>ROUND((AB501+SQRT(AB501^2+4*AB501*'参数'!$B$22*U501))/2,0)</x:f>
        <x:v>28092</x:v>
      </x:c>
      <x:c r="M501" s="19" t="n">
        <x:f>ROUND(I501*'参数'!$B$24,0)</x:f>
        <x:v>2658</x:v>
      </x:c>
      <x:c r="N501" s="19" t="n">
        <x:f>'参数'!$B$9*'参数'!$B$10^(D501-1)</x:f>
        <x:v>11195.319600498813</x:v>
      </x:c>
      <x:c r="O501" s="19" t="n">
        <x:f>'参数'!$B$18*'参数'!$B$19^(MIN(E501,MAX(1,5*INT(D501/5)))-1)*F501*'参数'!$J$30*P501</x:f>
        <x:v>2103.552925769118</x:v>
      </x:c>
      <x:c r="P501" s="22" t="n">
        <x:f>MIN(1,(D501-1)/19)</x:f>
        <x:v>1</x:v>
      </x:c>
      <x:c r="Q501" s="19" t="n">
        <x:f>INDEX('角色成长'!$F$6:$F$105,D501)+O501*'参数'!$K$21</x:f>
        <x:v>10629.125838441985</x:v>
      </x:c>
      <x:c r="R501" s="19" t="n">
        <x:f>INDEX('角色成长'!$I$6:$I$105,D501)+O501*'参数'!$K$21</x:f>
        <x:v>9331.125838441985</x:v>
      </x:c>
      <x:c r="S501" s="19" t="n">
        <x:f>INDEX('角色成长'!$L$6:$L$105,D501)+O501*'参数'!$K$21</x:f>
        <x:v>8590.125838441985</x:v>
      </x:c>
      <x:c r="T501" s="19" t="n">
        <x:f>(INDEX('角色成长'!$J$6:$J$105,D501)+O501*'参数'!$L$21)*(1+'参数'!$B$40*P501)</x:f>
        <x:v>118666.76244728187</x:v>
      </x:c>
      <x:c r="U501" s="19" t="n">
        <x:f>(INDEX('角色成长'!$K$6:$K$105,D501)+O501*'参数'!$M$21)*(1+'参数'!$B$41*P501)</x:f>
        <x:v>6699.239382105553</x:v>
      </x:c>
      <x:c r="V501" s="19" t="n">
        <x:f>(('参数'!$K$5*(((Q501*(1+'参数'!$B$39*P501))^2/((Q501*(1+'参数'!$B$39*P501))+'参数'!$B$22*(I501)))*(1+'参数'!$B$42*P501)/'参数'!$J$5+((Q501*'参数'!$B$43*(1+'参数'!$B$39*P501))^2/((Q501*'参数'!$B$43*(1+'参数'!$B$39*P501))+'参数'!$B$22*(I501)))/'参数'!$B$44))+(((R501*(1+'参数'!$B$39*P501))^2/((R501*(1+'参数'!$B$39*P501))+'参数'!$B$22*(I501)))*(1+'参数'!$B$42*P501)/'参数'!$J$6+((R501*'参数'!$B$45*(1+'参数'!$B$39*P501))^2/((R501*'参数'!$B$45*(1+'参数'!$B$39*P501))+'参数'!$B$22*(I501)))/'参数'!$B$46)+((S501*(1+'参数'!$B$39*P501))^2/((S501*(1+'参数'!$B$39*P501))+'参数'!$B$22*(I501)))*(1+'参数'!$B$42*P501)/'参数'!$J$7)*(1+'参数'!$B$37*('参数'!$B$38-1))*'参数'!$B$25</x:f>
        <x:v>72276.65152942482</x:v>
      </x:c>
      <x:c r="W501" s="19" t="n">
        <x:f>(('参数'!$K$5*(((Q501*(1+'参数'!$B$39*P501))^2/((Q501*(1+'参数'!$B$39*P501))+'参数'!$B$22*(M501)))*(1+'参数'!$B$42*P501)/'参数'!$J$5+((Q501*'参数'!$B$43*(1+'参数'!$B$39*P501))^2/((Q501*'参数'!$B$43*(1+'参数'!$B$39*P501))+'参数'!$B$22*(M501)))/'参数'!$B$44))+(((R501*(1+'参数'!$B$39*P501))^2/((R501*(1+'参数'!$B$39*P501))+'参数'!$B$22*(M501)))*(1+'参数'!$B$42*P501)/'参数'!$J$6+((R501*'参数'!$B$45*(1+'参数'!$B$39*P501))^2/((R501*'参数'!$B$45*(1+'参数'!$B$39*P501))+'参数'!$B$22*(M501)))/'参数'!$B$46)+((S501*(1+'参数'!$B$39*P501))^2/((S501*(1+'参数'!$B$39*P501))+'参数'!$B$22*(M501)))*(1+'参数'!$B$42*P501)/'参数'!$J$7)*(1+'参数'!$B$37*('参数'!$B$38-1))</x:f>
        <x:v>55684.2511674383</x:v>
      </x:c>
      <x:c r="X501" s="26" t="n">
        <x:f>('参数'!$B$26+'参数'!$B$27*(D501-1)/99)*'参数'!$K$30*AD501</x:f>
        <x:v>29.34453781512605</x:v>
      </x:c>
      <x:c r="Y501" s="26" t="n">
        <x:f>('参数'!$B$28+'参数'!$B$29*(D501-1)/99)*'参数'!$K$30*AD501*IF(AE501=1,'参数'!$B$51,1)</x:f>
        <x:v>81.5126050420168</x:v>
      </x:c>
      <x:c r="Z501" s="22" t="n">
        <x:f>MIN('参数'!$B$36,U501/(U501+'参数'!$B$35))</x:f>
        <x:v>0.6261416482848315</x:v>
      </x:c>
      <x:c r="AA501" s="19" t="n">
        <x:f>T501*'参数'!$B$30/('参数'!$B$32*'参数'!$B$33)/(1-Z501)*AC501</x:f>
        <x:v>10820.648519033963</x:v>
      </x:c>
      <x:c r="AB501" s="19" t="n">
        <x:f>T501*'参数'!$B$31/'参数'!$B$34/(1-Z501)*AC501</x:f>
        <x:v>21641.297038067925</x:v>
      </x:c>
      <x:c r="AC501" s="20" t="n">
        <x:f>'参数'!$L$30*(1+'参数'!$B$53*(B501-1)/119)</x:f>
        <x:v>1.3636134453781512</x:v>
      </x:c>
      <x:c r="AD501" s="20" t="n">
        <x:f>1+'参数'!$B$52*(B501-1)/119</x:f>
        <x:v>1.01890756302521</x:v>
      </x:c>
      <x:c r="AE501" s="19" t="n">
        <x:f>IF(MOD(B501,12)=0,1,0)</x:f>
        <x:v>0</x:v>
      </x:c>
    </x:row>
    <x:row r="502" ht="22" customHeight="1">
      <x:c r="A502" s="18" t="str">
        <x:v>折磨</x:v>
      </x:c>
      <x:c r="B502" s="18" t="n">
        <x:v>17</x:v>
      </x:c>
      <x:c r="C502" s="18" t="n">
        <x:f>ROUNDUP(B502/12,0)</x:f>
        <x:v>2</x:v>
      </x:c>
      <x:c r="D502" s="18" t="n">
        <x:f>ROUND(MAX('参数'!$G$30,E502)+(IF(C502&lt;10,INDEX('参数'!$G$38:$P$38,1,MIN(10,C502+1)),'参数'!$H$30)-MAX('参数'!$G$30,E502))*MOD(B502-1,12)/11,0)</x:f>
        <x:v>100</x:v>
      </x:c>
      <x:c r="E502" s="18" t="n">
        <x:f>INDEX('参数'!$G$38:$P$38,1,C502)</x:f>
        <x:v>100</x:v>
      </x:c>
      <x:c r="F502" s="15" t="n">
        <x:f>'参数'!$I$30</x:f>
        <x:v>1.43</x:v>
      </x:c>
      <x:c r="G502" s="18" t="n">
        <x:f>ROUND(V502*X502/'参数'!$B$56,0)</x:f>
        <x:v>461641</x:v>
      </x:c>
      <x:c r="H502" s="18" t="n">
        <x:f>ROUND((AA502+SQRT(AA502^2+4*AA502*'参数'!$B$22*U502))/2,0)</x:f>
        <x:v>16368</x:v>
      </x:c>
      <x:c r="I502" s="18" t="n">
        <x:f>ROUND(Q502*'参数'!$B$23/'参数'!$B$22,0)</x:f>
        <x:v>2126</x:v>
      </x:c>
      <x:c r="J502" s="18" t="n">
        <x:f>ROUND(G502*'参数'!$B$50,0)</x:f>
        <x:v>1384923</x:v>
      </x:c>
      <x:c r="K502" s="18" t="n">
        <x:f>ROUND(W502*Y502,0)</x:f>
        <x:v>4544584</x:v>
      </x:c>
      <x:c r="L502" s="18" t="n">
        <x:f>ROUND((AB502+SQRT(AB502^2+4*AB502*'参数'!$B$22*U502))/2,0)</x:f>
        <x:v>28108</x:v>
      </x:c>
      <x:c r="M502" s="18" t="n">
        <x:f>ROUND(I502*'参数'!$B$24,0)</x:f>
        <x:v>2658</x:v>
      </x:c>
      <x:c r="N502" s="18" t="n">
        <x:f>'参数'!$B$9*'参数'!$B$10^(D502-1)</x:f>
        <x:v>11195.319600498813</x:v>
      </x:c>
      <x:c r="O502" s="18" t="n">
        <x:f>'参数'!$B$18*'参数'!$B$19^(MIN(E502,MAX(1,5*INT(D502/5)))-1)*F502*'参数'!$J$30*P502</x:f>
        <x:v>2103.552925769118</x:v>
      </x:c>
      <x:c r="P502" s="21" t="n">
        <x:f>MIN(1,(D502-1)/19)</x:f>
        <x:v>1</x:v>
      </x:c>
      <x:c r="Q502" s="18" t="n">
        <x:f>INDEX('角色成长'!$F$6:$F$105,D502)+O502*'参数'!$K$21</x:f>
        <x:v>10629.125838441985</x:v>
      </x:c>
      <x:c r="R502" s="18" t="n">
        <x:f>INDEX('角色成长'!$I$6:$I$105,D502)+O502*'参数'!$K$21</x:f>
        <x:v>9331.125838441985</x:v>
      </x:c>
      <x:c r="S502" s="18" t="n">
        <x:f>INDEX('角色成长'!$L$6:$L$105,D502)+O502*'参数'!$K$21</x:f>
        <x:v>8590.125838441985</x:v>
      </x:c>
      <x:c r="T502" s="18" t="n">
        <x:f>(INDEX('角色成长'!$J$6:$J$105,D502)+O502*'参数'!$L$21)*(1+'参数'!$B$40*P502)</x:f>
        <x:v>118666.76244728187</x:v>
      </x:c>
      <x:c r="U502" s="18" t="n">
        <x:f>(INDEX('角色成长'!$K$6:$K$105,D502)+O502*'参数'!$M$21)*(1+'参数'!$B$41*P502)</x:f>
        <x:v>6699.239382105553</x:v>
      </x:c>
      <x:c r="V502" s="18" t="n">
        <x:f>(('参数'!$K$5*(((Q502*(1+'参数'!$B$39*P502))^2/((Q502*(1+'参数'!$B$39*P502))+'参数'!$B$22*(I502)))*(1+'参数'!$B$42*P502)/'参数'!$J$5+((Q502*'参数'!$B$43*(1+'参数'!$B$39*P502))^2/((Q502*'参数'!$B$43*(1+'参数'!$B$39*P502))+'参数'!$B$22*(I502)))/'参数'!$B$44))+(((R502*(1+'参数'!$B$39*P502))^2/((R502*(1+'参数'!$B$39*P502))+'参数'!$B$22*(I502)))*(1+'参数'!$B$42*P502)/'参数'!$J$6+((R502*'参数'!$B$45*(1+'参数'!$B$39*P502))^2/((R502*'参数'!$B$45*(1+'参数'!$B$39*P502))+'参数'!$B$22*(I502)))/'参数'!$B$46)+((S502*(1+'参数'!$B$39*P502))^2/((S502*(1+'参数'!$B$39*P502))+'参数'!$B$22*(I502)))*(1+'参数'!$B$42*P502)/'参数'!$J$7)*(1+'参数'!$B$37*('参数'!$B$38-1))*'参数'!$B$25</x:f>
        <x:v>72276.65152942482</x:v>
      </x:c>
      <x:c r="W502" s="18" t="n">
        <x:f>(('参数'!$K$5*(((Q502*(1+'参数'!$B$39*P502))^2/((Q502*(1+'参数'!$B$39*P502))+'参数'!$B$22*(M502)))*(1+'参数'!$B$42*P502)/'参数'!$J$5+((Q502*'参数'!$B$43*(1+'参数'!$B$39*P502))^2/((Q502*'参数'!$B$43*(1+'参数'!$B$39*P502))+'参数'!$B$22*(M502)))/'参数'!$B$44))+(((R502*(1+'参数'!$B$39*P502))^2/((R502*(1+'参数'!$B$39*P502))+'参数'!$B$22*(M502)))*(1+'参数'!$B$42*P502)/'参数'!$J$6+((R502*'参数'!$B$45*(1+'参数'!$B$39*P502))^2/((R502*'参数'!$B$45*(1+'参数'!$B$39*P502))+'参数'!$B$22*(M502)))/'参数'!$B$46)+((S502*(1+'参数'!$B$39*P502))^2/((S502*(1+'参数'!$B$39*P502))+'参数'!$B$22*(M502)))*(1+'参数'!$B$42*P502)/'参数'!$J$7)*(1+'参数'!$B$37*('参数'!$B$38-1))</x:f>
        <x:v>55684.2511674383</x:v>
      </x:c>
      <x:c r="X502" s="25" t="n">
        <x:f>('参数'!$B$26+'参数'!$B$27*(D502-1)/99)*'参数'!$K$30*AD502</x:f>
        <x:v>29.38084033613445</x:v>
      </x:c>
      <x:c r="Y502" s="25" t="n">
        <x:f>('参数'!$B$28+'参数'!$B$29*(D502-1)/99)*'参数'!$K$30*AD502*IF(AE502=1,'参数'!$B$51,1)</x:f>
        <x:v>81.61344537815125</x:v>
      </x:c>
      <x:c r="Z502" s="21" t="n">
        <x:f>MIN('参数'!$B$36,U502/(U502+'参数'!$B$35))</x:f>
        <x:v>0.6261416482848315</x:v>
      </x:c>
      <x:c r="AA502" s="18" t="n">
        <x:f>T502*'参数'!$B$30/('参数'!$B$32*'参数'!$B$33)/(1-Z502)*AC502</x:f>
        <x:v>10827.850281775418</x:v>
      </x:c>
      <x:c r="AB502" s="18" t="n">
        <x:f>T502*'参数'!$B$31/'参数'!$B$34/(1-Z502)*AC502</x:f>
        <x:v>21655.700563550836</x:v>
      </x:c>
      <x:c r="AC502" s="15" t="n">
        <x:f>'参数'!$L$30*(1+'参数'!$B$53*(B502-1)/119)</x:f>
        <x:v>1.3645210084033614</x:v>
      </x:c>
      <x:c r="AD502" s="15" t="n">
        <x:f>1+'参数'!$B$52*(B502-1)/119</x:f>
        <x:v>1.0201680672268907</x:v>
      </x:c>
      <x:c r="AE502" s="18" t="n">
        <x:f>IF(MOD(B502,12)=0,1,0)</x:f>
        <x:v>0</x:v>
      </x:c>
    </x:row>
    <x:row r="503" ht="22" customHeight="1">
      <x:c r="A503" s="19" t="str">
        <x:v>折磨</x:v>
      </x:c>
      <x:c r="B503" s="19" t="n">
        <x:v>18</x:v>
      </x:c>
      <x:c r="C503" s="19" t="n">
        <x:f>ROUNDUP(B503/12,0)</x:f>
        <x:v>2</x:v>
      </x:c>
      <x:c r="D503" s="19" t="n">
        <x:f>ROUND(MAX('参数'!$G$30,E503)+(IF(C503&lt;10,INDEX('参数'!$G$38:$P$38,1,MIN(10,C503+1)),'参数'!$H$30)-MAX('参数'!$G$30,E503))*MOD(B503-1,12)/11,0)</x:f>
        <x:v>100</x:v>
      </x:c>
      <x:c r="E503" s="19" t="n">
        <x:f>INDEX('参数'!$G$38:$P$38,1,C503)</x:f>
        <x:v>100</x:v>
      </x:c>
      <x:c r="F503" s="20" t="n">
        <x:f>'参数'!$I$30</x:f>
        <x:v>1.43</x:v>
      </x:c>
      <x:c r="G503" s="19" t="n">
        <x:f>ROUND(V503*X503/'参数'!$B$56,0)</x:f>
        <x:v>462211</x:v>
      </x:c>
      <x:c r="H503" s="19" t="n">
        <x:f>ROUND((AA503+SQRT(AA503^2+4*AA503*'参数'!$B$22*U503))/2,0)</x:f>
        <x:v>16376</x:v>
      </x:c>
      <x:c r="I503" s="19" t="n">
        <x:f>ROUND(Q503*'参数'!$B$23/'参数'!$B$22,0)</x:f>
        <x:v>2126</x:v>
      </x:c>
      <x:c r="J503" s="19" t="n">
        <x:f>ROUND(G503*'参数'!$B$50,0)</x:f>
        <x:v>1386633</x:v>
      </x:c>
      <x:c r="K503" s="19" t="n">
        <x:f>ROUND(W503*Y503,0)</x:f>
        <x:v>4550199</x:v>
      </x:c>
      <x:c r="L503" s="19" t="n">
        <x:f>ROUND((AB503+SQRT(AB503^2+4*AB503*'参数'!$B$22*U503))/2,0)</x:f>
        <x:v>28123</x:v>
      </x:c>
      <x:c r="M503" s="19" t="n">
        <x:f>ROUND(I503*'参数'!$B$24,0)</x:f>
        <x:v>2658</x:v>
      </x:c>
      <x:c r="N503" s="19" t="n">
        <x:f>'参数'!$B$9*'参数'!$B$10^(D503-1)</x:f>
        <x:v>11195.319600498813</x:v>
      </x:c>
      <x:c r="O503" s="19" t="n">
        <x:f>'参数'!$B$18*'参数'!$B$19^(MIN(E503,MAX(1,5*INT(D503/5)))-1)*F503*'参数'!$J$30*P503</x:f>
        <x:v>2103.552925769118</x:v>
      </x:c>
      <x:c r="P503" s="22" t="n">
        <x:f>MIN(1,(D503-1)/19)</x:f>
        <x:v>1</x:v>
      </x:c>
      <x:c r="Q503" s="19" t="n">
        <x:f>INDEX('角色成长'!$F$6:$F$105,D503)+O503*'参数'!$K$21</x:f>
        <x:v>10629.125838441985</x:v>
      </x:c>
      <x:c r="R503" s="19" t="n">
        <x:f>INDEX('角色成长'!$I$6:$I$105,D503)+O503*'参数'!$K$21</x:f>
        <x:v>9331.125838441985</x:v>
      </x:c>
      <x:c r="S503" s="19" t="n">
        <x:f>INDEX('角色成长'!$L$6:$L$105,D503)+O503*'参数'!$K$21</x:f>
        <x:v>8590.125838441985</x:v>
      </x:c>
      <x:c r="T503" s="19" t="n">
        <x:f>(INDEX('角色成长'!$J$6:$J$105,D503)+O503*'参数'!$L$21)*(1+'参数'!$B$40*P503)</x:f>
        <x:v>118666.76244728187</x:v>
      </x:c>
      <x:c r="U503" s="19" t="n">
        <x:f>(INDEX('角色成长'!$K$6:$K$105,D503)+O503*'参数'!$M$21)*(1+'参数'!$B$41*P503)</x:f>
        <x:v>6699.239382105553</x:v>
      </x:c>
      <x:c r="V503" s="19" t="n">
        <x:f>(('参数'!$K$5*(((Q503*(1+'参数'!$B$39*P503))^2/((Q503*(1+'参数'!$B$39*P503))+'参数'!$B$22*(I503)))*(1+'参数'!$B$42*P503)/'参数'!$J$5+((Q503*'参数'!$B$43*(1+'参数'!$B$39*P503))^2/((Q503*'参数'!$B$43*(1+'参数'!$B$39*P503))+'参数'!$B$22*(I503)))/'参数'!$B$44))+(((R503*(1+'参数'!$B$39*P503))^2/((R503*(1+'参数'!$B$39*P503))+'参数'!$B$22*(I503)))*(1+'参数'!$B$42*P503)/'参数'!$J$6+((R503*'参数'!$B$45*(1+'参数'!$B$39*P503))^2/((R503*'参数'!$B$45*(1+'参数'!$B$39*P503))+'参数'!$B$22*(I503)))/'参数'!$B$46)+((S503*(1+'参数'!$B$39*P503))^2/((S503*(1+'参数'!$B$39*P503))+'参数'!$B$22*(I503)))*(1+'参数'!$B$42*P503)/'参数'!$J$7)*(1+'参数'!$B$37*('参数'!$B$38-1))*'参数'!$B$25</x:f>
        <x:v>72276.65152942482</x:v>
      </x:c>
      <x:c r="W503" s="19" t="n">
        <x:f>(('参数'!$K$5*(((Q503*(1+'参数'!$B$39*P503))^2/((Q503*(1+'参数'!$B$39*P503))+'参数'!$B$22*(M503)))*(1+'参数'!$B$42*P503)/'参数'!$J$5+((Q503*'参数'!$B$43*(1+'参数'!$B$39*P503))^2/((Q503*'参数'!$B$43*(1+'参数'!$B$39*P503))+'参数'!$B$22*(M503)))/'参数'!$B$44))+(((R503*(1+'参数'!$B$39*P503))^2/((R503*(1+'参数'!$B$39*P503))+'参数'!$B$22*(M503)))*(1+'参数'!$B$42*P503)/'参数'!$J$6+((R503*'参数'!$B$45*(1+'参数'!$B$39*P503))^2/((R503*'参数'!$B$45*(1+'参数'!$B$39*P503))+'参数'!$B$22*(M503)))/'参数'!$B$46)+((S503*(1+'参数'!$B$39*P503))^2/((S503*(1+'参数'!$B$39*P503))+'参数'!$B$22*(M503)))*(1+'参数'!$B$42*P503)/'参数'!$J$7)*(1+'参数'!$B$37*('参数'!$B$38-1))</x:f>
        <x:v>55684.2511674383</x:v>
      </x:c>
      <x:c r="X503" s="26" t="n">
        <x:f>('参数'!$B$26+'参数'!$B$27*(D503-1)/99)*'参数'!$K$30*AD503</x:f>
        <x:v>29.417142857142856</x:v>
      </x:c>
      <x:c r="Y503" s="26" t="n">
        <x:f>('参数'!$B$28+'参数'!$B$29*(D503-1)/99)*'参数'!$K$30*AD503*IF(AE503=1,'参数'!$B$51,1)</x:f>
        <x:v>81.71428571428571</x:v>
      </x:c>
      <x:c r="Z503" s="22" t="n">
        <x:f>MIN('参数'!$B$36,U503/(U503+'参数'!$B$35))</x:f>
        <x:v>0.6261416482848315</x:v>
      </x:c>
      <x:c r="AA503" s="19" t="n">
        <x:f>T503*'参数'!$B$30/('参数'!$B$32*'参数'!$B$33)/(1-Z503)*AC503</x:f>
        <x:v>10835.052044516871</x:v>
      </x:c>
      <x:c r="AB503" s="19" t="n">
        <x:f>T503*'参数'!$B$31/'参数'!$B$34/(1-Z503)*AC503</x:f>
        <x:v>21670.104089033743</x:v>
      </x:c>
      <x:c r="AC503" s="20" t="n">
        <x:f>'参数'!$L$30*(1+'参数'!$B$53*(B503-1)/119)</x:f>
        <x:v>1.3654285714285714</x:v>
      </x:c>
      <x:c r="AD503" s="20" t="n">
        <x:f>1+'参数'!$B$52*(B503-1)/119</x:f>
        <x:v>1.0214285714285714</x:v>
      </x:c>
      <x:c r="AE503" s="19" t="n">
        <x:f>IF(MOD(B503,12)=0,1,0)</x:f>
        <x:v>0</x:v>
      </x:c>
    </x:row>
    <x:row r="504" ht="22" customHeight="1">
      <x:c r="A504" s="18" t="str">
        <x:v>折磨</x:v>
      </x:c>
      <x:c r="B504" s="18" t="n">
        <x:v>19</x:v>
      </x:c>
      <x:c r="C504" s="18" t="n">
        <x:f>ROUNDUP(B504/12,0)</x:f>
        <x:v>2</x:v>
      </x:c>
      <x:c r="D504" s="18" t="n">
        <x:f>ROUND(MAX('参数'!$G$30,E504)+(IF(C504&lt;10,INDEX('参数'!$G$38:$P$38,1,MIN(10,C504+1)),'参数'!$H$30)-MAX('参数'!$G$30,E504))*MOD(B504-1,12)/11,0)</x:f>
        <x:v>100</x:v>
      </x:c>
      <x:c r="E504" s="18" t="n">
        <x:f>INDEX('参数'!$G$38:$P$38,1,C504)</x:f>
        <x:v>100</x:v>
      </x:c>
      <x:c r="F504" s="15" t="n">
        <x:f>'参数'!$I$30</x:f>
        <x:v>1.43</x:v>
      </x:c>
      <x:c r="G504" s="18" t="n">
        <x:f>ROUND(V504*X504/'参数'!$B$56,0)</x:f>
        <x:v>462782</x:v>
      </x:c>
      <x:c r="H504" s="18" t="n">
        <x:f>ROUND((AA504+SQRT(AA504^2+4*AA504*'参数'!$B$22*U504))/2,0)</x:f>
        <x:v>16384</x:v>
      </x:c>
      <x:c r="I504" s="18" t="n">
        <x:f>ROUND(Q504*'参数'!$B$23/'参数'!$B$22,0)</x:f>
        <x:v>2126</x:v>
      </x:c>
      <x:c r="J504" s="18" t="n">
        <x:f>ROUND(G504*'参数'!$B$50,0)</x:f>
        <x:v>1388346</x:v>
      </x:c>
      <x:c r="K504" s="18" t="n">
        <x:f>ROUND(W504*Y504,0)</x:f>
        <x:v>4555814</x:v>
      </x:c>
      <x:c r="L504" s="18" t="n">
        <x:f>ROUND((AB504+SQRT(AB504^2+4*AB504*'参数'!$B$22*U504))/2,0)</x:f>
        <x:v>28138</x:v>
      </x:c>
      <x:c r="M504" s="18" t="n">
        <x:f>ROUND(I504*'参数'!$B$24,0)</x:f>
        <x:v>2658</x:v>
      </x:c>
      <x:c r="N504" s="18" t="n">
        <x:f>'参数'!$B$9*'参数'!$B$10^(D504-1)</x:f>
        <x:v>11195.319600498813</x:v>
      </x:c>
      <x:c r="O504" s="18" t="n">
        <x:f>'参数'!$B$18*'参数'!$B$19^(MIN(E504,MAX(1,5*INT(D504/5)))-1)*F504*'参数'!$J$30*P504</x:f>
        <x:v>2103.552925769118</x:v>
      </x:c>
      <x:c r="P504" s="21" t="n">
        <x:f>MIN(1,(D504-1)/19)</x:f>
        <x:v>1</x:v>
      </x:c>
      <x:c r="Q504" s="18" t="n">
        <x:f>INDEX('角色成长'!$F$6:$F$105,D504)+O504*'参数'!$K$21</x:f>
        <x:v>10629.125838441985</x:v>
      </x:c>
      <x:c r="R504" s="18" t="n">
        <x:f>INDEX('角色成长'!$I$6:$I$105,D504)+O504*'参数'!$K$21</x:f>
        <x:v>9331.125838441985</x:v>
      </x:c>
      <x:c r="S504" s="18" t="n">
        <x:f>INDEX('角色成长'!$L$6:$L$105,D504)+O504*'参数'!$K$21</x:f>
        <x:v>8590.125838441985</x:v>
      </x:c>
      <x:c r="T504" s="18" t="n">
        <x:f>(INDEX('角色成长'!$J$6:$J$105,D504)+O504*'参数'!$L$21)*(1+'参数'!$B$40*P504)</x:f>
        <x:v>118666.76244728187</x:v>
      </x:c>
      <x:c r="U504" s="18" t="n">
        <x:f>(INDEX('角色成长'!$K$6:$K$105,D504)+O504*'参数'!$M$21)*(1+'参数'!$B$41*P504)</x:f>
        <x:v>6699.239382105553</x:v>
      </x:c>
      <x:c r="V504" s="18" t="n">
        <x:f>(('参数'!$K$5*(((Q504*(1+'参数'!$B$39*P504))^2/((Q504*(1+'参数'!$B$39*P504))+'参数'!$B$22*(I504)))*(1+'参数'!$B$42*P504)/'参数'!$J$5+((Q504*'参数'!$B$43*(1+'参数'!$B$39*P504))^2/((Q504*'参数'!$B$43*(1+'参数'!$B$39*P504))+'参数'!$B$22*(I504)))/'参数'!$B$44))+(((R504*(1+'参数'!$B$39*P504))^2/((R504*(1+'参数'!$B$39*P504))+'参数'!$B$22*(I504)))*(1+'参数'!$B$42*P504)/'参数'!$J$6+((R504*'参数'!$B$45*(1+'参数'!$B$39*P504))^2/((R504*'参数'!$B$45*(1+'参数'!$B$39*P504))+'参数'!$B$22*(I504)))/'参数'!$B$46)+((S504*(1+'参数'!$B$39*P504))^2/((S504*(1+'参数'!$B$39*P504))+'参数'!$B$22*(I504)))*(1+'参数'!$B$42*P504)/'参数'!$J$7)*(1+'参数'!$B$37*('参数'!$B$38-1))*'参数'!$B$25</x:f>
        <x:v>72276.65152942482</x:v>
      </x:c>
      <x:c r="W504" s="18" t="n">
        <x:f>(('参数'!$K$5*(((Q504*(1+'参数'!$B$39*P504))^2/((Q504*(1+'参数'!$B$39*P504))+'参数'!$B$22*(M504)))*(1+'参数'!$B$42*P504)/'参数'!$J$5+((Q504*'参数'!$B$43*(1+'参数'!$B$39*P504))^2/((Q504*'参数'!$B$43*(1+'参数'!$B$39*P504))+'参数'!$B$22*(M504)))/'参数'!$B$44))+(((R504*(1+'参数'!$B$39*P504))^2/((R504*(1+'参数'!$B$39*P504))+'参数'!$B$22*(M504)))*(1+'参数'!$B$42*P504)/'参数'!$J$6+((R504*'参数'!$B$45*(1+'参数'!$B$39*P504))^2/((R504*'参数'!$B$45*(1+'参数'!$B$39*P504))+'参数'!$B$22*(M504)))/'参数'!$B$46)+((S504*(1+'参数'!$B$39*P504))^2/((S504*(1+'参数'!$B$39*P504))+'参数'!$B$22*(M504)))*(1+'参数'!$B$42*P504)/'参数'!$J$7)*(1+'参数'!$B$37*('参数'!$B$38-1))</x:f>
        <x:v>55684.2511674383</x:v>
      </x:c>
      <x:c r="X504" s="25" t="n">
        <x:f>('参数'!$B$26+'参数'!$B$27*(D504-1)/99)*'参数'!$K$30*AD504</x:f>
        <x:v>29.453445378151258</x:v>
      </x:c>
      <x:c r="Y504" s="25" t="n">
        <x:f>('参数'!$B$28+'参数'!$B$29*(D504-1)/99)*'参数'!$K$30*AD504*IF(AE504=1,'参数'!$B$51,1)</x:f>
        <x:v>81.81512605042016</x:v>
      </x:c>
      <x:c r="Z504" s="21" t="n">
        <x:f>MIN('参数'!$B$36,U504/(U504+'参数'!$B$35))</x:f>
        <x:v>0.6261416482848315</x:v>
      </x:c>
      <x:c r="AA504" s="18" t="n">
        <x:f>T504*'参数'!$B$30/('参数'!$B$32*'参数'!$B$33)/(1-Z504)*AC504</x:f>
        <x:v>10842.253807258327</x:v>
      </x:c>
      <x:c r="AB504" s="18" t="n">
        <x:f>T504*'参数'!$B$31/'参数'!$B$34/(1-Z504)*AC504</x:f>
        <x:v>21684.507614516653</x:v>
      </x:c>
      <x:c r="AC504" s="15" t="n">
        <x:f>'参数'!$L$30*(1+'参数'!$B$53*(B504-1)/119)</x:f>
        <x:v>1.3663361344537817</x:v>
      </x:c>
      <x:c r="AD504" s="15" t="n">
        <x:f>1+'参数'!$B$52*(B504-1)/119</x:f>
        <x:v>1.022689075630252</x:v>
      </x:c>
      <x:c r="AE504" s="18" t="n">
        <x:f>IF(MOD(B504,12)=0,1,0)</x:f>
        <x:v>0</x:v>
      </x:c>
    </x:row>
    <x:row r="505" ht="22" customHeight="1">
      <x:c r="A505" s="19" t="str">
        <x:v>折磨</x:v>
      </x:c>
      <x:c r="B505" s="19" t="n">
        <x:v>20</x:v>
      </x:c>
      <x:c r="C505" s="19" t="n">
        <x:f>ROUNDUP(B505/12,0)</x:f>
        <x:v>2</x:v>
      </x:c>
      <x:c r="D505" s="19" t="n">
        <x:f>ROUND(MAX('参数'!$G$30,E505)+(IF(C505&lt;10,INDEX('参数'!$G$38:$P$38,1,MIN(10,C505+1)),'参数'!$H$30)-MAX('参数'!$G$30,E505))*MOD(B505-1,12)/11,0)</x:f>
        <x:v>100</x:v>
      </x:c>
      <x:c r="E505" s="19" t="n">
        <x:f>INDEX('参数'!$G$38:$P$38,1,C505)</x:f>
        <x:v>100</x:v>
      </x:c>
      <x:c r="F505" s="20" t="n">
        <x:f>'参数'!$I$30</x:f>
        <x:v>1.43</x:v>
      </x:c>
      <x:c r="G505" s="19" t="n">
        <x:f>ROUND(V505*X505/'参数'!$B$56,0)</x:f>
        <x:v>463352</x:v>
      </x:c>
      <x:c r="H505" s="19" t="n">
        <x:f>ROUND((AA505+SQRT(AA505^2+4*AA505*'参数'!$B$22*U505))/2,0)</x:f>
        <x:v>16392</x:v>
      </x:c>
      <x:c r="I505" s="19" t="n">
        <x:f>ROUND(Q505*'参数'!$B$23/'参数'!$B$22,0)</x:f>
        <x:v>2126</x:v>
      </x:c>
      <x:c r="J505" s="19" t="n">
        <x:f>ROUND(G505*'参数'!$B$50,0)</x:f>
        <x:v>1390056</x:v>
      </x:c>
      <x:c r="K505" s="19" t="n">
        <x:f>ROUND(W505*Y505,0)</x:f>
        <x:v>4561429</x:v>
      </x:c>
      <x:c r="L505" s="19" t="n">
        <x:f>ROUND((AB505+SQRT(AB505^2+4*AB505*'参数'!$B$22*U505))/2,0)</x:f>
        <x:v>28153</x:v>
      </x:c>
      <x:c r="M505" s="19" t="n">
        <x:f>ROUND(I505*'参数'!$B$24,0)</x:f>
        <x:v>2658</x:v>
      </x:c>
      <x:c r="N505" s="19" t="n">
        <x:f>'参数'!$B$9*'参数'!$B$10^(D505-1)</x:f>
        <x:v>11195.319600498813</x:v>
      </x:c>
      <x:c r="O505" s="19" t="n">
        <x:f>'参数'!$B$18*'参数'!$B$19^(MIN(E505,MAX(1,5*INT(D505/5)))-1)*F505*'参数'!$J$30*P505</x:f>
        <x:v>2103.552925769118</x:v>
      </x:c>
      <x:c r="P505" s="22" t="n">
        <x:f>MIN(1,(D505-1)/19)</x:f>
        <x:v>1</x:v>
      </x:c>
      <x:c r="Q505" s="19" t="n">
        <x:f>INDEX('角色成长'!$F$6:$F$105,D505)+O505*'参数'!$K$21</x:f>
        <x:v>10629.125838441985</x:v>
      </x:c>
      <x:c r="R505" s="19" t="n">
        <x:f>INDEX('角色成长'!$I$6:$I$105,D505)+O505*'参数'!$K$21</x:f>
        <x:v>9331.125838441985</x:v>
      </x:c>
      <x:c r="S505" s="19" t="n">
        <x:f>INDEX('角色成长'!$L$6:$L$105,D505)+O505*'参数'!$K$21</x:f>
        <x:v>8590.125838441985</x:v>
      </x:c>
      <x:c r="T505" s="19" t="n">
        <x:f>(INDEX('角色成长'!$J$6:$J$105,D505)+O505*'参数'!$L$21)*(1+'参数'!$B$40*P505)</x:f>
        <x:v>118666.76244728187</x:v>
      </x:c>
      <x:c r="U505" s="19" t="n">
        <x:f>(INDEX('角色成长'!$K$6:$K$105,D505)+O505*'参数'!$M$21)*(1+'参数'!$B$41*P505)</x:f>
        <x:v>6699.239382105553</x:v>
      </x:c>
      <x:c r="V505" s="19" t="n">
        <x:f>(('参数'!$K$5*(((Q505*(1+'参数'!$B$39*P505))^2/((Q505*(1+'参数'!$B$39*P505))+'参数'!$B$22*(I505)))*(1+'参数'!$B$42*P505)/'参数'!$J$5+((Q505*'参数'!$B$43*(1+'参数'!$B$39*P505))^2/((Q505*'参数'!$B$43*(1+'参数'!$B$39*P505))+'参数'!$B$22*(I505)))/'参数'!$B$44))+(((R505*(1+'参数'!$B$39*P505))^2/((R505*(1+'参数'!$B$39*P505))+'参数'!$B$22*(I505)))*(1+'参数'!$B$42*P505)/'参数'!$J$6+((R505*'参数'!$B$45*(1+'参数'!$B$39*P505))^2/((R505*'参数'!$B$45*(1+'参数'!$B$39*P505))+'参数'!$B$22*(I505)))/'参数'!$B$46)+((S505*(1+'参数'!$B$39*P505))^2/((S505*(1+'参数'!$B$39*P505))+'参数'!$B$22*(I505)))*(1+'参数'!$B$42*P505)/'参数'!$J$7)*(1+'参数'!$B$37*('参数'!$B$38-1))*'参数'!$B$25</x:f>
        <x:v>72276.65152942482</x:v>
      </x:c>
      <x:c r="W505" s="19" t="n">
        <x:f>(('参数'!$K$5*(((Q505*(1+'参数'!$B$39*P505))^2/((Q505*(1+'参数'!$B$39*P505))+'参数'!$B$22*(M505)))*(1+'参数'!$B$42*P505)/'参数'!$J$5+((Q505*'参数'!$B$43*(1+'参数'!$B$39*P505))^2/((Q505*'参数'!$B$43*(1+'参数'!$B$39*P505))+'参数'!$B$22*(M505)))/'参数'!$B$44))+(((R505*(1+'参数'!$B$39*P505))^2/((R505*(1+'参数'!$B$39*P505))+'参数'!$B$22*(M505)))*(1+'参数'!$B$42*P505)/'参数'!$J$6+((R505*'参数'!$B$45*(1+'参数'!$B$39*P505))^2/((R505*'参数'!$B$45*(1+'参数'!$B$39*P505))+'参数'!$B$22*(M505)))/'参数'!$B$46)+((S505*(1+'参数'!$B$39*P505))^2/((S505*(1+'参数'!$B$39*P505))+'参数'!$B$22*(M505)))*(1+'参数'!$B$42*P505)/'参数'!$J$7)*(1+'参数'!$B$37*('参数'!$B$38-1))</x:f>
        <x:v>55684.2511674383</x:v>
      </x:c>
      <x:c r="X505" s="26" t="n">
        <x:f>('参数'!$B$26+'参数'!$B$27*(D505-1)/99)*'参数'!$K$30*AD505</x:f>
        <x:v>29.489747899159664</x:v>
      </x:c>
      <x:c r="Y505" s="26" t="n">
        <x:f>('参数'!$B$28+'参数'!$B$29*(D505-1)/99)*'参数'!$K$30*AD505*IF(AE505=1,'参数'!$B$51,1)</x:f>
        <x:v>81.91596638655462</x:v>
      </x:c>
      <x:c r="Z505" s="22" t="n">
        <x:f>MIN('参数'!$B$36,U505/(U505+'参数'!$B$35))</x:f>
        <x:v>0.6261416482848315</x:v>
      </x:c>
      <x:c r="AA505" s="19" t="n">
        <x:f>T505*'参数'!$B$30/('参数'!$B$32*'参数'!$B$33)/(1-Z505)*AC505</x:f>
        <x:v>10849.45556999978</x:v>
      </x:c>
      <x:c r="AB505" s="19" t="n">
        <x:f>T505*'参数'!$B$31/'参数'!$B$34/(1-Z505)*AC505</x:f>
        <x:v>21698.91113999956</x:v>
      </x:c>
      <x:c r="AC505" s="20" t="n">
        <x:f>'参数'!$L$30*(1+'参数'!$B$53*(B505-1)/119)</x:f>
        <x:v>1.3672436974789919</x:v>
      </x:c>
      <x:c r="AD505" s="20" t="n">
        <x:f>1+'参数'!$B$52*(B505-1)/119</x:f>
        <x:v>1.0239495798319327</x:v>
      </x:c>
      <x:c r="AE505" s="19" t="n">
        <x:f>IF(MOD(B505,12)=0,1,0)</x:f>
        <x:v>0</x:v>
      </x:c>
    </x:row>
    <x:row r="506" ht="22" customHeight="1">
      <x:c r="A506" s="18" t="str">
        <x:v>折磨</x:v>
      </x:c>
      <x:c r="B506" s="18" t="n">
        <x:v>21</x:v>
      </x:c>
      <x:c r="C506" s="18" t="n">
        <x:f>ROUNDUP(B506/12,0)</x:f>
        <x:v>2</x:v>
      </x:c>
      <x:c r="D506" s="18" t="n">
        <x:f>ROUND(MAX('参数'!$G$30,E506)+(IF(C506&lt;10,INDEX('参数'!$G$38:$P$38,1,MIN(10,C506+1)),'参数'!$H$30)-MAX('参数'!$G$30,E506))*MOD(B506-1,12)/11,0)</x:f>
        <x:v>100</x:v>
      </x:c>
      <x:c r="E506" s="18" t="n">
        <x:f>INDEX('参数'!$G$38:$P$38,1,C506)</x:f>
        <x:v>100</x:v>
      </x:c>
      <x:c r="F506" s="15" t="n">
        <x:f>'参数'!$I$30</x:f>
        <x:v>1.43</x:v>
      </x:c>
      <x:c r="G506" s="18" t="n">
        <x:f>ROUND(V506*X506/'参数'!$B$56,0)</x:f>
        <x:v>463923</x:v>
      </x:c>
      <x:c r="H506" s="18" t="n">
        <x:f>ROUND((AA506+SQRT(AA506^2+4*AA506*'参数'!$B$22*U506))/2,0)</x:f>
        <x:v>16400</x:v>
      </x:c>
      <x:c r="I506" s="18" t="n">
        <x:f>ROUND(Q506*'参数'!$B$23/'参数'!$B$22,0)</x:f>
        <x:v>2126</x:v>
      </x:c>
      <x:c r="J506" s="18" t="n">
        <x:f>ROUND(G506*'参数'!$B$50,0)</x:f>
        <x:v>1391769</x:v>
      </x:c>
      <x:c r="K506" s="18" t="n">
        <x:f>ROUND(W506*Y506,0)</x:f>
        <x:v>4567044</x:v>
      </x:c>
      <x:c r="L506" s="18" t="n">
        <x:f>ROUND((AB506+SQRT(AB506^2+4*AB506*'参数'!$B$22*U506))/2,0)</x:f>
        <x:v>28168</x:v>
      </x:c>
      <x:c r="M506" s="18" t="n">
        <x:f>ROUND(I506*'参数'!$B$24,0)</x:f>
        <x:v>2658</x:v>
      </x:c>
      <x:c r="N506" s="18" t="n">
        <x:f>'参数'!$B$9*'参数'!$B$10^(D506-1)</x:f>
        <x:v>11195.319600498813</x:v>
      </x:c>
      <x:c r="O506" s="18" t="n">
        <x:f>'参数'!$B$18*'参数'!$B$19^(MIN(E506,MAX(1,5*INT(D506/5)))-1)*F506*'参数'!$J$30*P506</x:f>
        <x:v>2103.552925769118</x:v>
      </x:c>
      <x:c r="P506" s="21" t="n">
        <x:f>MIN(1,(D506-1)/19)</x:f>
        <x:v>1</x:v>
      </x:c>
      <x:c r="Q506" s="18" t="n">
        <x:f>INDEX('角色成长'!$F$6:$F$105,D506)+O506*'参数'!$K$21</x:f>
        <x:v>10629.125838441985</x:v>
      </x:c>
      <x:c r="R506" s="18" t="n">
        <x:f>INDEX('角色成长'!$I$6:$I$105,D506)+O506*'参数'!$K$21</x:f>
        <x:v>9331.125838441985</x:v>
      </x:c>
      <x:c r="S506" s="18" t="n">
        <x:f>INDEX('角色成长'!$L$6:$L$105,D506)+O506*'参数'!$K$21</x:f>
        <x:v>8590.125838441985</x:v>
      </x:c>
      <x:c r="T506" s="18" t="n">
        <x:f>(INDEX('角色成长'!$J$6:$J$105,D506)+O506*'参数'!$L$21)*(1+'参数'!$B$40*P506)</x:f>
        <x:v>118666.76244728187</x:v>
      </x:c>
      <x:c r="U506" s="18" t="n">
        <x:f>(INDEX('角色成长'!$K$6:$K$105,D506)+O506*'参数'!$M$21)*(1+'参数'!$B$41*P506)</x:f>
        <x:v>6699.239382105553</x:v>
      </x:c>
      <x:c r="V506" s="18" t="n">
        <x:f>(('参数'!$K$5*(((Q506*(1+'参数'!$B$39*P506))^2/((Q506*(1+'参数'!$B$39*P506))+'参数'!$B$22*(I506)))*(1+'参数'!$B$42*P506)/'参数'!$J$5+((Q506*'参数'!$B$43*(1+'参数'!$B$39*P506))^2/((Q506*'参数'!$B$43*(1+'参数'!$B$39*P506))+'参数'!$B$22*(I506)))/'参数'!$B$44))+(((R506*(1+'参数'!$B$39*P506))^2/((R506*(1+'参数'!$B$39*P506))+'参数'!$B$22*(I506)))*(1+'参数'!$B$42*P506)/'参数'!$J$6+((R506*'参数'!$B$45*(1+'参数'!$B$39*P506))^2/((R506*'参数'!$B$45*(1+'参数'!$B$39*P506))+'参数'!$B$22*(I506)))/'参数'!$B$46)+((S506*(1+'参数'!$B$39*P506))^2/((S506*(1+'参数'!$B$39*P506))+'参数'!$B$22*(I506)))*(1+'参数'!$B$42*P506)/'参数'!$J$7)*(1+'参数'!$B$37*('参数'!$B$38-1))*'参数'!$B$25</x:f>
        <x:v>72276.65152942482</x:v>
      </x:c>
      <x:c r="W506" s="18" t="n">
        <x:f>(('参数'!$K$5*(((Q506*(1+'参数'!$B$39*P506))^2/((Q506*(1+'参数'!$B$39*P506))+'参数'!$B$22*(M506)))*(1+'参数'!$B$42*P506)/'参数'!$J$5+((Q506*'参数'!$B$43*(1+'参数'!$B$39*P506))^2/((Q506*'参数'!$B$43*(1+'参数'!$B$39*P506))+'参数'!$B$22*(M506)))/'参数'!$B$44))+(((R506*(1+'参数'!$B$39*P506))^2/((R506*(1+'参数'!$B$39*P506))+'参数'!$B$22*(M506)))*(1+'参数'!$B$42*P506)/'参数'!$J$6+((R506*'参数'!$B$45*(1+'参数'!$B$39*P506))^2/((R506*'参数'!$B$45*(1+'参数'!$B$39*P506))+'参数'!$B$22*(M506)))/'参数'!$B$46)+((S506*(1+'参数'!$B$39*P506))^2/((S506*(1+'参数'!$B$39*P506))+'参数'!$B$22*(M506)))*(1+'参数'!$B$42*P506)/'参数'!$J$7)*(1+'参数'!$B$37*('参数'!$B$38-1))</x:f>
        <x:v>55684.2511674383</x:v>
      </x:c>
      <x:c r="X506" s="25" t="n">
        <x:f>('参数'!$B$26+'参数'!$B$27*(D506-1)/99)*'参数'!$K$30*AD506</x:f>
        <x:v>29.526050420168065</x:v>
      </x:c>
      <x:c r="Y506" s="25" t="n">
        <x:f>('参数'!$B$28+'参数'!$B$29*(D506-1)/99)*'参数'!$K$30*AD506*IF(AE506=1,'参数'!$B$51,1)</x:f>
        <x:v>82.01680672268907</x:v>
      </x:c>
      <x:c r="Z506" s="21" t="n">
        <x:f>MIN('参数'!$B$36,U506/(U506+'参数'!$B$35))</x:f>
        <x:v>0.6261416482848315</x:v>
      </x:c>
      <x:c r="AA506" s="18" t="n">
        <x:f>T506*'参数'!$B$30/('参数'!$B$32*'参数'!$B$33)/(1-Z506)*AC506</x:f>
        <x:v>10856.657332741232</x:v>
      </x:c>
      <x:c r="AB506" s="18" t="n">
        <x:f>T506*'参数'!$B$31/'参数'!$B$34/(1-Z506)*AC506</x:f>
        <x:v>21713.314665482463</x:v>
      </x:c>
      <x:c r="AC506" s="15" t="n">
        <x:f>'参数'!$L$30*(1+'参数'!$B$53*(B506-1)/119)</x:f>
        <x:v>1.3681512605042017</x:v>
      </x:c>
      <x:c r="AD506" s="15" t="n">
        <x:f>1+'参数'!$B$52*(B506-1)/119</x:f>
        <x:v>1.0252100840336134</x:v>
      </x:c>
      <x:c r="AE506" s="18" t="n">
        <x:f>IF(MOD(B506,12)=0,1,0)</x:f>
        <x:v>0</x:v>
      </x:c>
    </x:row>
    <x:row r="507" ht="22" customHeight="1">
      <x:c r="A507" s="19" t="str">
        <x:v>折磨</x:v>
      </x:c>
      <x:c r="B507" s="19" t="n">
        <x:v>22</x:v>
      </x:c>
      <x:c r="C507" s="19" t="n">
        <x:f>ROUNDUP(B507/12,0)</x:f>
        <x:v>2</x:v>
      </x:c>
      <x:c r="D507" s="19" t="n">
        <x:f>ROUND(MAX('参数'!$G$30,E507)+(IF(C507&lt;10,INDEX('参数'!$G$38:$P$38,1,MIN(10,C507+1)),'参数'!$H$30)-MAX('参数'!$G$30,E507))*MOD(B507-1,12)/11,0)</x:f>
        <x:v>100</x:v>
      </x:c>
      <x:c r="E507" s="19" t="n">
        <x:f>INDEX('参数'!$G$38:$P$38,1,C507)</x:f>
        <x:v>100</x:v>
      </x:c>
      <x:c r="F507" s="20" t="n">
        <x:f>'参数'!$I$30</x:f>
        <x:v>1.43</x:v>
      </x:c>
      <x:c r="G507" s="19" t="n">
        <x:f>ROUND(V507*X507/'参数'!$B$56,0)</x:f>
        <x:v>464493</x:v>
      </x:c>
      <x:c r="H507" s="19" t="n">
        <x:f>ROUND((AA507+SQRT(AA507^2+4*AA507*'参数'!$B$22*U507))/2,0)</x:f>
        <x:v>16408</x:v>
      </x:c>
      <x:c r="I507" s="19" t="n">
        <x:f>ROUND(Q507*'参数'!$B$23/'参数'!$B$22,0)</x:f>
        <x:v>2126</x:v>
      </x:c>
      <x:c r="J507" s="19" t="n">
        <x:f>ROUND(G507*'参数'!$B$50,0)</x:f>
        <x:v>1393479</x:v>
      </x:c>
      <x:c r="K507" s="19" t="n">
        <x:f>ROUND(W507*Y507,0)</x:f>
        <x:v>4572660</x:v>
      </x:c>
      <x:c r="L507" s="19" t="n">
        <x:f>ROUND((AB507+SQRT(AB507^2+4*AB507*'参数'!$B$22*U507))/2,0)</x:f>
        <x:v>28184</x:v>
      </x:c>
      <x:c r="M507" s="19" t="n">
        <x:f>ROUND(I507*'参数'!$B$24,0)</x:f>
        <x:v>2658</x:v>
      </x:c>
      <x:c r="N507" s="19" t="n">
        <x:f>'参数'!$B$9*'参数'!$B$10^(D507-1)</x:f>
        <x:v>11195.319600498813</x:v>
      </x:c>
      <x:c r="O507" s="19" t="n">
        <x:f>'参数'!$B$18*'参数'!$B$19^(MIN(E507,MAX(1,5*INT(D507/5)))-1)*F507*'参数'!$J$30*P507</x:f>
        <x:v>2103.552925769118</x:v>
      </x:c>
      <x:c r="P507" s="22" t="n">
        <x:f>MIN(1,(D507-1)/19)</x:f>
        <x:v>1</x:v>
      </x:c>
      <x:c r="Q507" s="19" t="n">
        <x:f>INDEX('角色成长'!$F$6:$F$105,D507)+O507*'参数'!$K$21</x:f>
        <x:v>10629.125838441985</x:v>
      </x:c>
      <x:c r="R507" s="19" t="n">
        <x:f>INDEX('角色成长'!$I$6:$I$105,D507)+O507*'参数'!$K$21</x:f>
        <x:v>9331.125838441985</x:v>
      </x:c>
      <x:c r="S507" s="19" t="n">
        <x:f>INDEX('角色成长'!$L$6:$L$105,D507)+O507*'参数'!$K$21</x:f>
        <x:v>8590.125838441985</x:v>
      </x:c>
      <x:c r="T507" s="19" t="n">
        <x:f>(INDEX('角色成长'!$J$6:$J$105,D507)+O507*'参数'!$L$21)*(1+'参数'!$B$40*P507)</x:f>
        <x:v>118666.76244728187</x:v>
      </x:c>
      <x:c r="U507" s="19" t="n">
        <x:f>(INDEX('角色成长'!$K$6:$K$105,D507)+O507*'参数'!$M$21)*(1+'参数'!$B$41*P507)</x:f>
        <x:v>6699.239382105553</x:v>
      </x:c>
      <x:c r="V507" s="19" t="n">
        <x:f>(('参数'!$K$5*(((Q507*(1+'参数'!$B$39*P507))^2/((Q507*(1+'参数'!$B$39*P507))+'参数'!$B$22*(I507)))*(1+'参数'!$B$42*P507)/'参数'!$J$5+((Q507*'参数'!$B$43*(1+'参数'!$B$39*P507))^2/((Q507*'参数'!$B$43*(1+'参数'!$B$39*P507))+'参数'!$B$22*(I507)))/'参数'!$B$44))+(((R507*(1+'参数'!$B$39*P507))^2/((R507*(1+'参数'!$B$39*P507))+'参数'!$B$22*(I507)))*(1+'参数'!$B$42*P507)/'参数'!$J$6+((R507*'参数'!$B$45*(1+'参数'!$B$39*P507))^2/((R507*'参数'!$B$45*(1+'参数'!$B$39*P507))+'参数'!$B$22*(I507)))/'参数'!$B$46)+((S507*(1+'参数'!$B$39*P507))^2/((S507*(1+'参数'!$B$39*P507))+'参数'!$B$22*(I507)))*(1+'参数'!$B$42*P507)/'参数'!$J$7)*(1+'参数'!$B$37*('参数'!$B$38-1))*'参数'!$B$25</x:f>
        <x:v>72276.65152942482</x:v>
      </x:c>
      <x:c r="W507" s="19" t="n">
        <x:f>(('参数'!$K$5*(((Q507*(1+'参数'!$B$39*P507))^2/((Q507*(1+'参数'!$B$39*P507))+'参数'!$B$22*(M507)))*(1+'参数'!$B$42*P507)/'参数'!$J$5+((Q507*'参数'!$B$43*(1+'参数'!$B$39*P507))^2/((Q507*'参数'!$B$43*(1+'参数'!$B$39*P507))+'参数'!$B$22*(M507)))/'参数'!$B$44))+(((R507*(1+'参数'!$B$39*P507))^2/((R507*(1+'参数'!$B$39*P507))+'参数'!$B$22*(M507)))*(1+'参数'!$B$42*P507)/'参数'!$J$6+((R507*'参数'!$B$45*(1+'参数'!$B$39*P507))^2/((R507*'参数'!$B$45*(1+'参数'!$B$39*P507))+'参数'!$B$22*(M507)))/'参数'!$B$46)+((S507*(1+'参数'!$B$39*P507))^2/((S507*(1+'参数'!$B$39*P507))+'参数'!$B$22*(M507)))*(1+'参数'!$B$42*P507)/'参数'!$J$7)*(1+'参数'!$B$37*('参数'!$B$38-1))</x:f>
        <x:v>55684.2511674383</x:v>
      </x:c>
      <x:c r="X507" s="26" t="n">
        <x:f>('参数'!$B$26+'参数'!$B$27*(D507-1)/99)*'参数'!$K$30*AD507</x:f>
        <x:v>29.562352941176467</x:v>
      </x:c>
      <x:c r="Y507" s="26" t="n">
        <x:f>('参数'!$B$28+'参数'!$B$29*(D507-1)/99)*'参数'!$K$30*AD507*IF(AE507=1,'参数'!$B$51,1)</x:f>
        <x:v>82.11764705882352</x:v>
      </x:c>
      <x:c r="Z507" s="22" t="n">
        <x:f>MIN('参数'!$B$36,U507/(U507+'参数'!$B$35))</x:f>
        <x:v>0.6261416482848315</x:v>
      </x:c>
      <x:c r="AA507" s="19" t="n">
        <x:f>T507*'参数'!$B$30/('参数'!$B$32*'参数'!$B$33)/(1-Z507)*AC507</x:f>
        <x:v>10863.859095482687</x:v>
      </x:c>
      <x:c r="AB507" s="19" t="n">
        <x:f>T507*'参数'!$B$31/'参数'!$B$34/(1-Z507)*AC507</x:f>
        <x:v>21727.718190965374</x:v>
      </x:c>
      <x:c r="AC507" s="20" t="n">
        <x:f>'参数'!$L$30*(1+'参数'!$B$53*(B507-1)/119)</x:f>
        <x:v>1.3690588235294119</x:v>
      </x:c>
      <x:c r="AD507" s="20" t="n">
        <x:f>1+'参数'!$B$52*(B507-1)/119</x:f>
        <x:v>1.026470588235294</x:v>
      </x:c>
      <x:c r="AE507" s="19" t="n">
        <x:f>IF(MOD(B507,12)=0,1,0)</x:f>
        <x:v>0</x:v>
      </x:c>
    </x:row>
    <x:row r="508" ht="22" customHeight="1">
      <x:c r="A508" s="18" t="str">
        <x:v>折磨</x:v>
      </x:c>
      <x:c r="B508" s="18" t="n">
        <x:v>23</x:v>
      </x:c>
      <x:c r="C508" s="18" t="n">
        <x:f>ROUNDUP(B508/12,0)</x:f>
        <x:v>2</x:v>
      </x:c>
      <x:c r="D508" s="18" t="n">
        <x:f>ROUND(MAX('参数'!$G$30,E508)+(IF(C508&lt;10,INDEX('参数'!$G$38:$P$38,1,MIN(10,C508+1)),'参数'!$H$30)-MAX('参数'!$G$30,E508))*MOD(B508-1,12)/11,0)</x:f>
        <x:v>100</x:v>
      </x:c>
      <x:c r="E508" s="18" t="n">
        <x:f>INDEX('参数'!$G$38:$P$38,1,C508)</x:f>
        <x:v>100</x:v>
      </x:c>
      <x:c r="F508" s="15" t="n">
        <x:f>'参数'!$I$30</x:f>
        <x:v>1.43</x:v>
      </x:c>
      <x:c r="G508" s="18" t="n">
        <x:f>ROUND(V508*X508/'参数'!$B$56,0)</x:f>
        <x:v>465063</x:v>
      </x:c>
      <x:c r="H508" s="18" t="n">
        <x:f>ROUND((AA508+SQRT(AA508^2+4*AA508*'参数'!$B$22*U508))/2,0)</x:f>
        <x:v>16416</x:v>
      </x:c>
      <x:c r="I508" s="18" t="n">
        <x:f>ROUND(Q508*'参数'!$B$23/'参数'!$B$22,0)</x:f>
        <x:v>2126</x:v>
      </x:c>
      <x:c r="J508" s="18" t="n">
        <x:f>ROUND(G508*'参数'!$B$50,0)</x:f>
        <x:v>1395189</x:v>
      </x:c>
      <x:c r="K508" s="18" t="n">
        <x:f>ROUND(W508*Y508,0)</x:f>
        <x:v>4578275</x:v>
      </x:c>
      <x:c r="L508" s="18" t="n">
        <x:f>ROUND((AB508+SQRT(AB508^2+4*AB508*'参数'!$B$22*U508))/2,0)</x:f>
        <x:v>28199</x:v>
      </x:c>
      <x:c r="M508" s="18" t="n">
        <x:f>ROUND(I508*'参数'!$B$24,0)</x:f>
        <x:v>2658</x:v>
      </x:c>
      <x:c r="N508" s="18" t="n">
        <x:f>'参数'!$B$9*'参数'!$B$10^(D508-1)</x:f>
        <x:v>11195.319600498813</x:v>
      </x:c>
      <x:c r="O508" s="18" t="n">
        <x:f>'参数'!$B$18*'参数'!$B$19^(MIN(E508,MAX(1,5*INT(D508/5)))-1)*F508*'参数'!$J$30*P508</x:f>
        <x:v>2103.552925769118</x:v>
      </x:c>
      <x:c r="P508" s="21" t="n">
        <x:f>MIN(1,(D508-1)/19)</x:f>
        <x:v>1</x:v>
      </x:c>
      <x:c r="Q508" s="18" t="n">
        <x:f>INDEX('角色成长'!$F$6:$F$105,D508)+O508*'参数'!$K$21</x:f>
        <x:v>10629.125838441985</x:v>
      </x:c>
      <x:c r="R508" s="18" t="n">
        <x:f>INDEX('角色成长'!$I$6:$I$105,D508)+O508*'参数'!$K$21</x:f>
        <x:v>9331.125838441985</x:v>
      </x:c>
      <x:c r="S508" s="18" t="n">
        <x:f>INDEX('角色成长'!$L$6:$L$105,D508)+O508*'参数'!$K$21</x:f>
        <x:v>8590.125838441985</x:v>
      </x:c>
      <x:c r="T508" s="18" t="n">
        <x:f>(INDEX('角色成长'!$J$6:$J$105,D508)+O508*'参数'!$L$21)*(1+'参数'!$B$40*P508)</x:f>
        <x:v>118666.76244728187</x:v>
      </x:c>
      <x:c r="U508" s="18" t="n">
        <x:f>(INDEX('角色成长'!$K$6:$K$105,D508)+O508*'参数'!$M$21)*(1+'参数'!$B$41*P508)</x:f>
        <x:v>6699.239382105553</x:v>
      </x:c>
      <x:c r="V508" s="18" t="n">
        <x:f>(('参数'!$K$5*(((Q508*(1+'参数'!$B$39*P508))^2/((Q508*(1+'参数'!$B$39*P508))+'参数'!$B$22*(I508)))*(1+'参数'!$B$42*P508)/'参数'!$J$5+((Q508*'参数'!$B$43*(1+'参数'!$B$39*P508))^2/((Q508*'参数'!$B$43*(1+'参数'!$B$39*P508))+'参数'!$B$22*(I508)))/'参数'!$B$44))+(((R508*(1+'参数'!$B$39*P508))^2/((R508*(1+'参数'!$B$39*P508))+'参数'!$B$22*(I508)))*(1+'参数'!$B$42*P508)/'参数'!$J$6+((R508*'参数'!$B$45*(1+'参数'!$B$39*P508))^2/((R508*'参数'!$B$45*(1+'参数'!$B$39*P508))+'参数'!$B$22*(I508)))/'参数'!$B$46)+((S508*(1+'参数'!$B$39*P508))^2/((S508*(1+'参数'!$B$39*P508))+'参数'!$B$22*(I508)))*(1+'参数'!$B$42*P508)/'参数'!$J$7)*(1+'参数'!$B$37*('参数'!$B$38-1))*'参数'!$B$25</x:f>
        <x:v>72276.65152942482</x:v>
      </x:c>
      <x:c r="W508" s="18" t="n">
        <x:f>(('参数'!$K$5*(((Q508*(1+'参数'!$B$39*P508))^2/((Q508*(1+'参数'!$B$39*P508))+'参数'!$B$22*(M508)))*(1+'参数'!$B$42*P508)/'参数'!$J$5+((Q508*'参数'!$B$43*(1+'参数'!$B$39*P508))^2/((Q508*'参数'!$B$43*(1+'参数'!$B$39*P508))+'参数'!$B$22*(M508)))/'参数'!$B$44))+(((R508*(1+'参数'!$B$39*P508))^2/((R508*(1+'参数'!$B$39*P508))+'参数'!$B$22*(M508)))*(1+'参数'!$B$42*P508)/'参数'!$J$6+((R508*'参数'!$B$45*(1+'参数'!$B$39*P508))^2/((R508*'参数'!$B$45*(1+'参数'!$B$39*P508))+'参数'!$B$22*(M508)))/'参数'!$B$46)+((S508*(1+'参数'!$B$39*P508))^2/((S508*(1+'参数'!$B$39*P508))+'参数'!$B$22*(M508)))*(1+'参数'!$B$42*P508)/'参数'!$J$7)*(1+'参数'!$B$37*('参数'!$B$38-1))</x:f>
        <x:v>55684.2511674383</x:v>
      </x:c>
      <x:c r="X508" s="25" t="n">
        <x:f>('参数'!$B$26+'参数'!$B$27*(D508-1)/99)*'参数'!$K$30*AD508</x:f>
        <x:v>29.598655462184873</x:v>
      </x:c>
      <x:c r="Y508" s="25" t="n">
        <x:f>('参数'!$B$28+'参数'!$B$29*(D508-1)/99)*'参数'!$K$30*AD508*IF(AE508=1,'参数'!$B$51,1)</x:f>
        <x:v>82.21848739495798</x:v>
      </x:c>
      <x:c r="Z508" s="21" t="n">
        <x:f>MIN('参数'!$B$36,U508/(U508+'参数'!$B$35))</x:f>
        <x:v>0.6261416482848315</x:v>
      </x:c>
      <x:c r="AA508" s="18" t="n">
        <x:f>T508*'参数'!$B$30/('参数'!$B$32*'参数'!$B$33)/(1-Z508)*AC508</x:f>
        <x:v>10871.060858224138</x:v>
      </x:c>
      <x:c r="AB508" s="18" t="n">
        <x:f>T508*'参数'!$B$31/'参数'!$B$34/(1-Z508)*AC508</x:f>
        <x:v>21742.121716448277</x:v>
      </x:c>
      <x:c r="AC508" s="15" t="n">
        <x:f>'参数'!$L$30*(1+'参数'!$B$53*(B508-1)/119)</x:f>
        <x:v>1.3699663865546219</x:v>
      </x:c>
      <x:c r="AD508" s="15" t="n">
        <x:f>1+'参数'!$B$52*(B508-1)/119</x:f>
        <x:v>1.0277310924369747</x:v>
      </x:c>
      <x:c r="AE508" s="18" t="n">
        <x:f>IF(MOD(B508,12)=0,1,0)</x:f>
        <x:v>0</x:v>
      </x:c>
    </x:row>
    <x:row r="509" ht="22" customHeight="1">
      <x:c r="A509" s="19" t="str">
        <x:v>折磨</x:v>
      </x:c>
      <x:c r="B509" s="19" t="n">
        <x:v>24</x:v>
      </x:c>
      <x:c r="C509" s="19" t="n">
        <x:f>ROUNDUP(B509/12,0)</x:f>
        <x:v>2</x:v>
      </x:c>
      <x:c r="D509" s="19" t="n">
        <x:f>ROUND(MAX('参数'!$G$30,E509)+(IF(C509&lt;10,INDEX('参数'!$G$38:$P$38,1,MIN(10,C509+1)),'参数'!$H$30)-MAX('参数'!$G$30,E509))*MOD(B509-1,12)/11,0)</x:f>
        <x:v>100</x:v>
      </x:c>
      <x:c r="E509" s="19" t="n">
        <x:f>INDEX('参数'!$G$38:$P$38,1,C509)</x:f>
        <x:v>100</x:v>
      </x:c>
      <x:c r="F509" s="20" t="n">
        <x:f>'参数'!$I$30</x:f>
        <x:v>1.43</x:v>
      </x:c>
      <x:c r="G509" s="19" t="n">
        <x:f>ROUND(V509*X509/'参数'!$B$56,0)</x:f>
        <x:v>465634</x:v>
      </x:c>
      <x:c r="H509" s="19" t="n">
        <x:f>ROUND((AA509+SQRT(AA509^2+4*AA509*'参数'!$B$22*U509))/2,0)</x:f>
        <x:v>16425</x:v>
      </x:c>
      <x:c r="I509" s="19" t="n">
        <x:f>ROUND(Q509*'参数'!$B$23/'参数'!$B$22,0)</x:f>
        <x:v>2126</x:v>
      </x:c>
      <x:c r="J509" s="19" t="n">
        <x:f>ROUND(G509*'参数'!$B$50,0)</x:f>
        <x:v>1396902</x:v>
      </x:c>
      <x:c r="K509" s="19" t="n">
        <x:f>ROUND(W509*Y509,0)</x:f>
        <x:v>5271474</x:v>
      </x:c>
      <x:c r="L509" s="19" t="n">
        <x:f>ROUND((AB509+SQRT(AB509^2+4*AB509*'参数'!$B$22*U509))/2,0)</x:f>
        <x:v>28214</x:v>
      </x:c>
      <x:c r="M509" s="19" t="n">
        <x:f>ROUND(I509*'参数'!$B$24,0)</x:f>
        <x:v>2658</x:v>
      </x:c>
      <x:c r="N509" s="19" t="n">
        <x:f>'参数'!$B$9*'参数'!$B$10^(D509-1)</x:f>
        <x:v>11195.319600498813</x:v>
      </x:c>
      <x:c r="O509" s="19" t="n">
        <x:f>'参数'!$B$18*'参数'!$B$19^(MIN(E509,MAX(1,5*INT(D509/5)))-1)*F509*'参数'!$J$30*P509</x:f>
        <x:v>2103.552925769118</x:v>
      </x:c>
      <x:c r="P509" s="22" t="n">
        <x:f>MIN(1,(D509-1)/19)</x:f>
        <x:v>1</x:v>
      </x:c>
      <x:c r="Q509" s="19" t="n">
        <x:f>INDEX('角色成长'!$F$6:$F$105,D509)+O509*'参数'!$K$21</x:f>
        <x:v>10629.125838441985</x:v>
      </x:c>
      <x:c r="R509" s="19" t="n">
        <x:f>INDEX('角色成长'!$I$6:$I$105,D509)+O509*'参数'!$K$21</x:f>
        <x:v>9331.125838441985</x:v>
      </x:c>
      <x:c r="S509" s="19" t="n">
        <x:f>INDEX('角色成长'!$L$6:$L$105,D509)+O509*'参数'!$K$21</x:f>
        <x:v>8590.125838441985</x:v>
      </x:c>
      <x:c r="T509" s="19" t="n">
        <x:f>(INDEX('角色成长'!$J$6:$J$105,D509)+O509*'参数'!$L$21)*(1+'参数'!$B$40*P509)</x:f>
        <x:v>118666.76244728187</x:v>
      </x:c>
      <x:c r="U509" s="19" t="n">
        <x:f>(INDEX('角色成长'!$K$6:$K$105,D509)+O509*'参数'!$M$21)*(1+'参数'!$B$41*P509)</x:f>
        <x:v>6699.239382105553</x:v>
      </x:c>
      <x:c r="V509" s="19" t="n">
        <x:f>(('参数'!$K$5*(((Q509*(1+'参数'!$B$39*P509))^2/((Q509*(1+'参数'!$B$39*P509))+'参数'!$B$22*(I509)))*(1+'参数'!$B$42*P509)/'参数'!$J$5+((Q509*'参数'!$B$43*(1+'参数'!$B$39*P509))^2/((Q509*'参数'!$B$43*(1+'参数'!$B$39*P509))+'参数'!$B$22*(I509)))/'参数'!$B$44))+(((R509*(1+'参数'!$B$39*P509))^2/((R509*(1+'参数'!$B$39*P509))+'参数'!$B$22*(I509)))*(1+'参数'!$B$42*P509)/'参数'!$J$6+((R509*'参数'!$B$45*(1+'参数'!$B$39*P509))^2/((R509*'参数'!$B$45*(1+'参数'!$B$39*P509))+'参数'!$B$22*(I509)))/'参数'!$B$46)+((S509*(1+'参数'!$B$39*P509))^2/((S509*(1+'参数'!$B$39*P509))+'参数'!$B$22*(I509)))*(1+'参数'!$B$42*P509)/'参数'!$J$7)*(1+'参数'!$B$37*('参数'!$B$38-1))*'参数'!$B$25</x:f>
        <x:v>72276.65152942482</x:v>
      </x:c>
      <x:c r="W509" s="19" t="n">
        <x:f>(('参数'!$K$5*(((Q509*(1+'参数'!$B$39*P509))^2/((Q509*(1+'参数'!$B$39*P509))+'参数'!$B$22*(M509)))*(1+'参数'!$B$42*P509)/'参数'!$J$5+((Q509*'参数'!$B$43*(1+'参数'!$B$39*P509))^2/((Q509*'参数'!$B$43*(1+'参数'!$B$39*P509))+'参数'!$B$22*(M509)))/'参数'!$B$44))+(((R509*(1+'参数'!$B$39*P509))^2/((R509*(1+'参数'!$B$39*P509))+'参数'!$B$22*(M509)))*(1+'参数'!$B$42*P509)/'参数'!$J$6+((R509*'参数'!$B$45*(1+'参数'!$B$39*P509))^2/((R509*'参数'!$B$45*(1+'参数'!$B$39*P509))+'参数'!$B$22*(M509)))/'参数'!$B$46)+((S509*(1+'参数'!$B$39*P509))^2/((S509*(1+'参数'!$B$39*P509))+'参数'!$B$22*(M509)))*(1+'参数'!$B$42*P509)/'参数'!$J$7)*(1+'参数'!$B$37*('参数'!$B$38-1))</x:f>
        <x:v>55684.2511674383</x:v>
      </x:c>
      <x:c r="X509" s="26" t="n">
        <x:f>('参数'!$B$26+'参数'!$B$27*(D509-1)/99)*'参数'!$K$30*AD509</x:f>
        <x:v>29.634957983193274</x:v>
      </x:c>
      <x:c r="Y509" s="26" t="n">
        <x:f>('参数'!$B$28+'参数'!$B$29*(D509-1)/99)*'参数'!$K$30*AD509*IF(AE509=1,'参数'!$B$51,1)</x:f>
        <x:v>94.66722689075628</x:v>
      </x:c>
      <x:c r="Z509" s="22" t="n">
        <x:f>MIN('参数'!$B$36,U509/(U509+'参数'!$B$35))</x:f>
        <x:v>0.6261416482848315</x:v>
      </x:c>
      <x:c r="AA509" s="19" t="n">
        <x:f>T509*'参数'!$B$30/('参数'!$B$32*'参数'!$B$33)/(1-Z509)*AC509</x:f>
        <x:v>10878.262620965594</x:v>
      </x:c>
      <x:c r="AB509" s="19" t="n">
        <x:f>T509*'参数'!$B$31/'参数'!$B$34/(1-Z509)*AC509</x:f>
        <x:v>21756.525241931187</x:v>
      </x:c>
      <x:c r="AC509" s="20" t="n">
        <x:f>'参数'!$L$30*(1+'参数'!$B$53*(B509-1)/119)</x:f>
        <x:v>1.370873949579832</x:v>
      </x:c>
      <x:c r="AD509" s="20" t="n">
        <x:f>1+'参数'!$B$52*(B509-1)/119</x:f>
        <x:v>1.0289915966386554</x:v>
      </x:c>
      <x:c r="AE509" s="19" t="n">
        <x:f>IF(MOD(B509,12)=0,1,0)</x:f>
        <x:v>1</x:v>
      </x:c>
    </x:row>
    <x:row r="510" ht="22" customHeight="1">
      <x:c r="A510" s="18" t="str">
        <x:v>折磨</x:v>
      </x:c>
      <x:c r="B510" s="18" t="n">
        <x:v>25</x:v>
      </x:c>
      <x:c r="C510" s="18" t="n">
        <x:f>ROUNDUP(B510/12,0)</x:f>
        <x:v>3</x:v>
      </x:c>
      <x:c r="D510" s="18" t="n">
        <x:f>ROUND(MAX('参数'!$G$30,E510)+(IF(C510&lt;10,INDEX('参数'!$G$38:$P$38,1,MIN(10,C510+1)),'参数'!$H$30)-MAX('参数'!$G$30,E510))*MOD(B510-1,12)/11,0)</x:f>
        <x:v>100</x:v>
      </x:c>
      <x:c r="E510" s="18" t="n">
        <x:f>INDEX('参数'!$G$38:$P$38,1,C510)</x:f>
        <x:v>100</x:v>
      </x:c>
      <x:c r="F510" s="15" t="n">
        <x:f>'参数'!$I$30</x:f>
        <x:v>1.43</x:v>
      </x:c>
      <x:c r="G510" s="18" t="n">
        <x:f>ROUND(V510*X510/'参数'!$B$56,0)</x:f>
        <x:v>466204</x:v>
      </x:c>
      <x:c r="H510" s="18" t="n">
        <x:f>ROUND((AA510+SQRT(AA510^2+4*AA510*'参数'!$B$22*U510))/2,0)</x:f>
        <x:v>16433</x:v>
      </x:c>
      <x:c r="I510" s="18" t="n">
        <x:f>ROUND(Q510*'参数'!$B$23/'参数'!$B$22,0)</x:f>
        <x:v>2126</x:v>
      </x:c>
      <x:c r="J510" s="18" t="n">
        <x:f>ROUND(G510*'参数'!$B$50,0)</x:f>
        <x:v>1398612</x:v>
      </x:c>
      <x:c r="K510" s="18" t="n">
        <x:f>ROUND(W510*Y510,0)</x:f>
        <x:v>4589505</x:v>
      </x:c>
      <x:c r="L510" s="18" t="n">
        <x:f>ROUND((AB510+SQRT(AB510^2+4*AB510*'参数'!$B$22*U510))/2,0)</x:f>
        <x:v>28229</x:v>
      </x:c>
      <x:c r="M510" s="18" t="n">
        <x:f>ROUND(I510*'参数'!$B$24,0)</x:f>
        <x:v>2658</x:v>
      </x:c>
      <x:c r="N510" s="18" t="n">
        <x:f>'参数'!$B$9*'参数'!$B$10^(D510-1)</x:f>
        <x:v>11195.319600498813</x:v>
      </x:c>
      <x:c r="O510" s="18" t="n">
        <x:f>'参数'!$B$18*'参数'!$B$19^(MIN(E510,MAX(1,5*INT(D510/5)))-1)*F510*'参数'!$J$30*P510</x:f>
        <x:v>2103.552925769118</x:v>
      </x:c>
      <x:c r="P510" s="21" t="n">
        <x:f>MIN(1,(D510-1)/19)</x:f>
        <x:v>1</x:v>
      </x:c>
      <x:c r="Q510" s="18" t="n">
        <x:f>INDEX('角色成长'!$F$6:$F$105,D510)+O510*'参数'!$K$21</x:f>
        <x:v>10629.125838441985</x:v>
      </x:c>
      <x:c r="R510" s="18" t="n">
        <x:f>INDEX('角色成长'!$I$6:$I$105,D510)+O510*'参数'!$K$21</x:f>
        <x:v>9331.125838441985</x:v>
      </x:c>
      <x:c r="S510" s="18" t="n">
        <x:f>INDEX('角色成长'!$L$6:$L$105,D510)+O510*'参数'!$K$21</x:f>
        <x:v>8590.125838441985</x:v>
      </x:c>
      <x:c r="T510" s="18" t="n">
        <x:f>(INDEX('角色成长'!$J$6:$J$105,D510)+O510*'参数'!$L$21)*(1+'参数'!$B$40*P510)</x:f>
        <x:v>118666.76244728187</x:v>
      </x:c>
      <x:c r="U510" s="18" t="n">
        <x:f>(INDEX('角色成长'!$K$6:$K$105,D510)+O510*'参数'!$M$21)*(1+'参数'!$B$41*P510)</x:f>
        <x:v>6699.239382105553</x:v>
      </x:c>
      <x:c r="V510" s="18" t="n">
        <x:f>(('参数'!$K$5*(((Q510*(1+'参数'!$B$39*P510))^2/((Q510*(1+'参数'!$B$39*P510))+'参数'!$B$22*(I510)))*(1+'参数'!$B$42*P510)/'参数'!$J$5+((Q510*'参数'!$B$43*(1+'参数'!$B$39*P510))^2/((Q510*'参数'!$B$43*(1+'参数'!$B$39*P510))+'参数'!$B$22*(I510)))/'参数'!$B$44))+(((R510*(1+'参数'!$B$39*P510))^2/((R510*(1+'参数'!$B$39*P510))+'参数'!$B$22*(I510)))*(1+'参数'!$B$42*P510)/'参数'!$J$6+((R510*'参数'!$B$45*(1+'参数'!$B$39*P510))^2/((R510*'参数'!$B$45*(1+'参数'!$B$39*P510))+'参数'!$B$22*(I510)))/'参数'!$B$46)+((S510*(1+'参数'!$B$39*P510))^2/((S510*(1+'参数'!$B$39*P510))+'参数'!$B$22*(I510)))*(1+'参数'!$B$42*P510)/'参数'!$J$7)*(1+'参数'!$B$37*('参数'!$B$38-1))*'参数'!$B$25</x:f>
        <x:v>72276.65152942482</x:v>
      </x:c>
      <x:c r="W510" s="18" t="n">
        <x:f>(('参数'!$K$5*(((Q510*(1+'参数'!$B$39*P510))^2/((Q510*(1+'参数'!$B$39*P510))+'参数'!$B$22*(M510)))*(1+'参数'!$B$42*P510)/'参数'!$J$5+((Q510*'参数'!$B$43*(1+'参数'!$B$39*P510))^2/((Q510*'参数'!$B$43*(1+'参数'!$B$39*P510))+'参数'!$B$22*(M510)))/'参数'!$B$44))+(((R510*(1+'参数'!$B$39*P510))^2/((R510*(1+'参数'!$B$39*P510))+'参数'!$B$22*(M510)))*(1+'参数'!$B$42*P510)/'参数'!$J$6+((R510*'参数'!$B$45*(1+'参数'!$B$39*P510))^2/((R510*'参数'!$B$45*(1+'参数'!$B$39*P510))+'参数'!$B$22*(M510)))/'参数'!$B$46)+((S510*(1+'参数'!$B$39*P510))^2/((S510*(1+'参数'!$B$39*P510))+'参数'!$B$22*(M510)))*(1+'参数'!$B$42*P510)/'参数'!$J$7)*(1+'参数'!$B$37*('参数'!$B$38-1))</x:f>
        <x:v>55684.2511674383</x:v>
      </x:c>
      <x:c r="X510" s="25" t="n">
        <x:f>('参数'!$B$26+'参数'!$B$27*(D510-1)/99)*'参数'!$K$30*AD510</x:f>
        <x:v>29.67126050420168</x:v>
      </x:c>
      <x:c r="Y510" s="25" t="n">
        <x:f>('参数'!$B$28+'参数'!$B$29*(D510-1)/99)*'参数'!$K$30*AD510*IF(AE510=1,'参数'!$B$51,1)</x:f>
        <x:v>82.42016806722688</x:v>
      </x:c>
      <x:c r="Z510" s="21" t="n">
        <x:f>MIN('参数'!$B$36,U510/(U510+'参数'!$B$35))</x:f>
        <x:v>0.6261416482848315</x:v>
      </x:c>
      <x:c r="AA510" s="18" t="n">
        <x:f>T510*'参数'!$B$30/('参数'!$B$32*'参数'!$B$33)/(1-Z510)*AC510</x:f>
        <x:v>10885.464383707047</x:v>
      </x:c>
      <x:c r="AB510" s="18" t="n">
        <x:f>T510*'参数'!$B$31/'参数'!$B$34/(1-Z510)*AC510</x:f>
        <x:v>21770.928767414094</x:v>
      </x:c>
      <x:c r="AC510" s="15" t="n">
        <x:f>'参数'!$L$30*(1+'参数'!$B$53*(B510-1)/119)</x:f>
        <x:v>1.371781512605042</x:v>
      </x:c>
      <x:c r="AD510" s="15" t="n">
        <x:f>1+'参数'!$B$52*(B510-1)/119</x:f>
        <x:v>1.030252100840336</x:v>
      </x:c>
      <x:c r="AE510" s="18" t="n">
        <x:f>IF(MOD(B510,12)=0,1,0)</x:f>
        <x:v>0</x:v>
      </x:c>
    </x:row>
    <x:row r="511" ht="22" customHeight="1">
      <x:c r="A511" s="19" t="str">
        <x:v>折磨</x:v>
      </x:c>
      <x:c r="B511" s="19" t="n">
        <x:v>26</x:v>
      </x:c>
      <x:c r="C511" s="19" t="n">
        <x:f>ROUNDUP(B511/12,0)</x:f>
        <x:v>3</x:v>
      </x:c>
      <x:c r="D511" s="19" t="n">
        <x:f>ROUND(MAX('参数'!$G$30,E511)+(IF(C511&lt;10,INDEX('参数'!$G$38:$P$38,1,MIN(10,C511+1)),'参数'!$H$30)-MAX('参数'!$G$30,E511))*MOD(B511-1,12)/11,0)</x:f>
        <x:v>100</x:v>
      </x:c>
      <x:c r="E511" s="19" t="n">
        <x:f>INDEX('参数'!$G$38:$P$38,1,C511)</x:f>
        <x:v>100</x:v>
      </x:c>
      <x:c r="F511" s="20" t="n">
        <x:f>'参数'!$I$30</x:f>
        <x:v>1.43</x:v>
      </x:c>
      <x:c r="G511" s="19" t="n">
        <x:f>ROUND(V511*X511/'参数'!$B$56,0)</x:f>
        <x:v>466775</x:v>
      </x:c>
      <x:c r="H511" s="19" t="n">
        <x:f>ROUND((AA511+SQRT(AA511^2+4*AA511*'参数'!$B$22*U511))/2,0)</x:f>
        <x:v>16441</x:v>
      </x:c>
      <x:c r="I511" s="19" t="n">
        <x:f>ROUND(Q511*'参数'!$B$23/'参数'!$B$22,0)</x:f>
        <x:v>2126</x:v>
      </x:c>
      <x:c r="J511" s="19" t="n">
        <x:f>ROUND(G511*'参数'!$B$50,0)</x:f>
        <x:v>1400325</x:v>
      </x:c>
      <x:c r="K511" s="19" t="n">
        <x:f>ROUND(W511*Y511,0)</x:f>
        <x:v>4595121</x:v>
      </x:c>
      <x:c r="L511" s="19" t="n">
        <x:f>ROUND((AB511+SQRT(AB511^2+4*AB511*'参数'!$B$22*U511))/2,0)</x:f>
        <x:v>28244</x:v>
      </x:c>
      <x:c r="M511" s="19" t="n">
        <x:f>ROUND(I511*'参数'!$B$24,0)</x:f>
        <x:v>2658</x:v>
      </x:c>
      <x:c r="N511" s="19" t="n">
        <x:f>'参数'!$B$9*'参数'!$B$10^(D511-1)</x:f>
        <x:v>11195.319600498813</x:v>
      </x:c>
      <x:c r="O511" s="19" t="n">
        <x:f>'参数'!$B$18*'参数'!$B$19^(MIN(E511,MAX(1,5*INT(D511/5)))-1)*F511*'参数'!$J$30*P511</x:f>
        <x:v>2103.552925769118</x:v>
      </x:c>
      <x:c r="P511" s="22" t="n">
        <x:f>MIN(1,(D511-1)/19)</x:f>
        <x:v>1</x:v>
      </x:c>
      <x:c r="Q511" s="19" t="n">
        <x:f>INDEX('角色成长'!$F$6:$F$105,D511)+O511*'参数'!$K$21</x:f>
        <x:v>10629.125838441985</x:v>
      </x:c>
      <x:c r="R511" s="19" t="n">
        <x:f>INDEX('角色成长'!$I$6:$I$105,D511)+O511*'参数'!$K$21</x:f>
        <x:v>9331.125838441985</x:v>
      </x:c>
      <x:c r="S511" s="19" t="n">
        <x:f>INDEX('角色成长'!$L$6:$L$105,D511)+O511*'参数'!$K$21</x:f>
        <x:v>8590.125838441985</x:v>
      </x:c>
      <x:c r="T511" s="19" t="n">
        <x:f>(INDEX('角色成长'!$J$6:$J$105,D511)+O511*'参数'!$L$21)*(1+'参数'!$B$40*P511)</x:f>
        <x:v>118666.76244728187</x:v>
      </x:c>
      <x:c r="U511" s="19" t="n">
        <x:f>(INDEX('角色成长'!$K$6:$K$105,D511)+O511*'参数'!$M$21)*(1+'参数'!$B$41*P511)</x:f>
        <x:v>6699.239382105553</x:v>
      </x:c>
      <x:c r="V511" s="19" t="n">
        <x:f>(('参数'!$K$5*(((Q511*(1+'参数'!$B$39*P511))^2/((Q511*(1+'参数'!$B$39*P511))+'参数'!$B$22*(I511)))*(1+'参数'!$B$42*P511)/'参数'!$J$5+((Q511*'参数'!$B$43*(1+'参数'!$B$39*P511))^2/((Q511*'参数'!$B$43*(1+'参数'!$B$39*P511))+'参数'!$B$22*(I511)))/'参数'!$B$44))+(((R511*(1+'参数'!$B$39*P511))^2/((R511*(1+'参数'!$B$39*P511))+'参数'!$B$22*(I511)))*(1+'参数'!$B$42*P511)/'参数'!$J$6+((R511*'参数'!$B$45*(1+'参数'!$B$39*P511))^2/((R511*'参数'!$B$45*(1+'参数'!$B$39*P511))+'参数'!$B$22*(I511)))/'参数'!$B$46)+((S511*(1+'参数'!$B$39*P511))^2/((S511*(1+'参数'!$B$39*P511))+'参数'!$B$22*(I511)))*(1+'参数'!$B$42*P511)/'参数'!$J$7)*(1+'参数'!$B$37*('参数'!$B$38-1))*'参数'!$B$25</x:f>
        <x:v>72276.65152942482</x:v>
      </x:c>
      <x:c r="W511" s="19" t="n">
        <x:f>(('参数'!$K$5*(((Q511*(1+'参数'!$B$39*P511))^2/((Q511*(1+'参数'!$B$39*P511))+'参数'!$B$22*(M511)))*(1+'参数'!$B$42*P511)/'参数'!$J$5+((Q511*'参数'!$B$43*(1+'参数'!$B$39*P511))^2/((Q511*'参数'!$B$43*(1+'参数'!$B$39*P511))+'参数'!$B$22*(M511)))/'参数'!$B$44))+(((R511*(1+'参数'!$B$39*P511))^2/((R511*(1+'参数'!$B$39*P511))+'参数'!$B$22*(M511)))*(1+'参数'!$B$42*P511)/'参数'!$J$6+((R511*'参数'!$B$45*(1+'参数'!$B$39*P511))^2/((R511*'参数'!$B$45*(1+'参数'!$B$39*P511))+'参数'!$B$22*(M511)))/'参数'!$B$46)+((S511*(1+'参数'!$B$39*P511))^2/((S511*(1+'参数'!$B$39*P511))+'参数'!$B$22*(M511)))*(1+'参数'!$B$42*P511)/'参数'!$J$7)*(1+'参数'!$B$37*('参数'!$B$38-1))</x:f>
        <x:v>55684.2511674383</x:v>
      </x:c>
      <x:c r="X511" s="26" t="n">
        <x:f>('参数'!$B$26+'参数'!$B$27*(D511-1)/99)*'参数'!$K$30*AD511</x:f>
        <x:v>29.70756302521008</x:v>
      </x:c>
      <x:c r="Y511" s="26" t="n">
        <x:f>('参数'!$B$28+'参数'!$B$29*(D511-1)/99)*'参数'!$K$30*AD511*IF(AE511=1,'参数'!$B$51,1)</x:f>
        <x:v>82.52100840336134</x:v>
      </x:c>
      <x:c r="Z511" s="22" t="n">
        <x:f>MIN('参数'!$B$36,U511/(U511+'参数'!$B$35))</x:f>
        <x:v>0.6261416482848315</x:v>
      </x:c>
      <x:c r="AA511" s="19" t="n">
        <x:f>T511*'参数'!$B$30/('参数'!$B$32*'参数'!$B$33)/(1-Z511)*AC511</x:f>
        <x:v>10892.666146448499</x:v>
      </x:c>
      <x:c r="AB511" s="19" t="n">
        <x:f>T511*'参数'!$B$31/'参数'!$B$34/(1-Z511)*AC511</x:f>
        <x:v>21785.332292896997</x:v>
      </x:c>
      <x:c r="AC511" s="20" t="n">
        <x:f>'参数'!$L$30*(1+'参数'!$B$53*(B511-1)/119)</x:f>
        <x:v>1.372689075630252</x:v>
      </x:c>
      <x:c r="AD511" s="20" t="n">
        <x:f>1+'参数'!$B$52*(B511-1)/119</x:f>
        <x:v>1.0315126050420167</x:v>
      </x:c>
      <x:c r="AE511" s="19" t="n">
        <x:f>IF(MOD(B511,12)=0,1,0)</x:f>
        <x:v>0</x:v>
      </x:c>
    </x:row>
    <x:row r="512" ht="22" customHeight="1">
      <x:c r="A512" s="18" t="str">
        <x:v>折磨</x:v>
      </x:c>
      <x:c r="B512" s="18" t="n">
        <x:v>27</x:v>
      </x:c>
      <x:c r="C512" s="18" t="n">
        <x:f>ROUNDUP(B512/12,0)</x:f>
        <x:v>3</x:v>
      </x:c>
      <x:c r="D512" s="18" t="n">
        <x:f>ROUND(MAX('参数'!$G$30,E512)+(IF(C512&lt;10,INDEX('参数'!$G$38:$P$38,1,MIN(10,C512+1)),'参数'!$H$30)-MAX('参数'!$G$30,E512))*MOD(B512-1,12)/11,0)</x:f>
        <x:v>100</x:v>
      </x:c>
      <x:c r="E512" s="18" t="n">
        <x:f>INDEX('参数'!$G$38:$P$38,1,C512)</x:f>
        <x:v>100</x:v>
      </x:c>
      <x:c r="F512" s="15" t="n">
        <x:f>'参数'!$I$30</x:f>
        <x:v>1.43</x:v>
      </x:c>
      <x:c r="G512" s="18" t="n">
        <x:f>ROUND(V512*X512/'参数'!$B$56,0)</x:f>
        <x:v>467345</x:v>
      </x:c>
      <x:c r="H512" s="18" t="n">
        <x:f>ROUND((AA512+SQRT(AA512^2+4*AA512*'参数'!$B$22*U512))/2,0)</x:f>
        <x:v>16449</x:v>
      </x:c>
      <x:c r="I512" s="18" t="n">
        <x:f>ROUND(Q512*'参数'!$B$23/'参数'!$B$22,0)</x:f>
        <x:v>2126</x:v>
      </x:c>
      <x:c r="J512" s="18" t="n">
        <x:f>ROUND(G512*'参数'!$B$50,0)</x:f>
        <x:v>1402035</x:v>
      </x:c>
      <x:c r="K512" s="18" t="n">
        <x:f>ROUND(W512*Y512,0)</x:f>
        <x:v>4600736</x:v>
      </x:c>
      <x:c r="L512" s="18" t="n">
        <x:f>ROUND((AB512+SQRT(AB512^2+4*AB512*'参数'!$B$22*U512))/2,0)</x:f>
        <x:v>28260</x:v>
      </x:c>
      <x:c r="M512" s="18" t="n">
        <x:f>ROUND(I512*'参数'!$B$24,0)</x:f>
        <x:v>2658</x:v>
      </x:c>
      <x:c r="N512" s="18" t="n">
        <x:f>'参数'!$B$9*'参数'!$B$10^(D512-1)</x:f>
        <x:v>11195.319600498813</x:v>
      </x:c>
      <x:c r="O512" s="18" t="n">
        <x:f>'参数'!$B$18*'参数'!$B$19^(MIN(E512,MAX(1,5*INT(D512/5)))-1)*F512*'参数'!$J$30*P512</x:f>
        <x:v>2103.552925769118</x:v>
      </x:c>
      <x:c r="P512" s="21" t="n">
        <x:f>MIN(1,(D512-1)/19)</x:f>
        <x:v>1</x:v>
      </x:c>
      <x:c r="Q512" s="18" t="n">
        <x:f>INDEX('角色成长'!$F$6:$F$105,D512)+O512*'参数'!$K$21</x:f>
        <x:v>10629.125838441985</x:v>
      </x:c>
      <x:c r="R512" s="18" t="n">
        <x:f>INDEX('角色成长'!$I$6:$I$105,D512)+O512*'参数'!$K$21</x:f>
        <x:v>9331.125838441985</x:v>
      </x:c>
      <x:c r="S512" s="18" t="n">
        <x:f>INDEX('角色成长'!$L$6:$L$105,D512)+O512*'参数'!$K$21</x:f>
        <x:v>8590.125838441985</x:v>
      </x:c>
      <x:c r="T512" s="18" t="n">
        <x:f>(INDEX('角色成长'!$J$6:$J$105,D512)+O512*'参数'!$L$21)*(1+'参数'!$B$40*P512)</x:f>
        <x:v>118666.76244728187</x:v>
      </x:c>
      <x:c r="U512" s="18" t="n">
        <x:f>(INDEX('角色成长'!$K$6:$K$105,D512)+O512*'参数'!$M$21)*(1+'参数'!$B$41*P512)</x:f>
        <x:v>6699.239382105553</x:v>
      </x:c>
      <x:c r="V512" s="18" t="n">
        <x:f>(('参数'!$K$5*(((Q512*(1+'参数'!$B$39*P512))^2/((Q512*(1+'参数'!$B$39*P512))+'参数'!$B$22*(I512)))*(1+'参数'!$B$42*P512)/'参数'!$J$5+((Q512*'参数'!$B$43*(1+'参数'!$B$39*P512))^2/((Q512*'参数'!$B$43*(1+'参数'!$B$39*P512))+'参数'!$B$22*(I512)))/'参数'!$B$44))+(((R512*(1+'参数'!$B$39*P512))^2/((R512*(1+'参数'!$B$39*P512))+'参数'!$B$22*(I512)))*(1+'参数'!$B$42*P512)/'参数'!$J$6+((R512*'参数'!$B$45*(1+'参数'!$B$39*P512))^2/((R512*'参数'!$B$45*(1+'参数'!$B$39*P512))+'参数'!$B$22*(I512)))/'参数'!$B$46)+((S512*(1+'参数'!$B$39*P512))^2/((S512*(1+'参数'!$B$39*P512))+'参数'!$B$22*(I512)))*(1+'参数'!$B$42*P512)/'参数'!$J$7)*(1+'参数'!$B$37*('参数'!$B$38-1))*'参数'!$B$25</x:f>
        <x:v>72276.65152942482</x:v>
      </x:c>
      <x:c r="W512" s="18" t="n">
        <x:f>(('参数'!$K$5*(((Q512*(1+'参数'!$B$39*P512))^2/((Q512*(1+'参数'!$B$39*P512))+'参数'!$B$22*(M512)))*(1+'参数'!$B$42*P512)/'参数'!$J$5+((Q512*'参数'!$B$43*(1+'参数'!$B$39*P512))^2/((Q512*'参数'!$B$43*(1+'参数'!$B$39*P512))+'参数'!$B$22*(M512)))/'参数'!$B$44))+(((R512*(1+'参数'!$B$39*P512))^2/((R512*(1+'参数'!$B$39*P512))+'参数'!$B$22*(M512)))*(1+'参数'!$B$42*P512)/'参数'!$J$6+((R512*'参数'!$B$45*(1+'参数'!$B$39*P512))^2/((R512*'参数'!$B$45*(1+'参数'!$B$39*P512))+'参数'!$B$22*(M512)))/'参数'!$B$46)+((S512*(1+'参数'!$B$39*P512))^2/((S512*(1+'参数'!$B$39*P512))+'参数'!$B$22*(M512)))*(1+'参数'!$B$42*P512)/'参数'!$J$7)*(1+'参数'!$B$37*('参数'!$B$38-1))</x:f>
        <x:v>55684.2511674383</x:v>
      </x:c>
      <x:c r="X512" s="25" t="n">
        <x:f>('参数'!$B$26+'参数'!$B$27*(D512-1)/99)*'参数'!$K$30*AD512</x:f>
        <x:v>29.74386554621849</x:v>
      </x:c>
      <x:c r="Y512" s="25" t="n">
        <x:f>('参数'!$B$28+'参数'!$B$29*(D512-1)/99)*'参数'!$K$30*AD512*IF(AE512=1,'参数'!$B$51,1)</x:f>
        <x:v>82.6218487394958</x:v>
      </x:c>
      <x:c r="Z512" s="21" t="n">
        <x:f>MIN('参数'!$B$36,U512/(U512+'参数'!$B$35))</x:f>
        <x:v>0.6261416482848315</x:v>
      </x:c>
      <x:c r="AA512" s="18" t="n">
        <x:f>T512*'参数'!$B$30/('参数'!$B$32*'参数'!$B$33)/(1-Z512)*AC512</x:f>
        <x:v>10899.867909189954</x:v>
      </x:c>
      <x:c r="AB512" s="18" t="n">
        <x:f>T512*'参数'!$B$31/'参数'!$B$34/(1-Z512)*AC512</x:f>
        <x:v>21799.735818379908</x:v>
      </x:c>
      <x:c r="AC512" s="15" t="n">
        <x:f>'参数'!$L$30*(1+'参数'!$B$53*(B512-1)/119)</x:f>
        <x:v>1.3735966386554623</x:v>
      </x:c>
      <x:c r="AD512" s="15" t="n">
        <x:f>1+'参数'!$B$52*(B512-1)/119</x:f>
        <x:v>1.0327731092436976</x:v>
      </x:c>
      <x:c r="AE512" s="18" t="n">
        <x:f>IF(MOD(B512,12)=0,1,0)</x:f>
        <x:v>0</x:v>
      </x:c>
    </x:row>
    <x:row r="513" ht="22" customHeight="1">
      <x:c r="A513" s="19" t="str">
        <x:v>折磨</x:v>
      </x:c>
      <x:c r="B513" s="19" t="n">
        <x:v>28</x:v>
      </x:c>
      <x:c r="C513" s="19" t="n">
        <x:f>ROUNDUP(B513/12,0)</x:f>
        <x:v>3</x:v>
      </x:c>
      <x:c r="D513" s="19" t="n">
        <x:f>ROUND(MAX('参数'!$G$30,E513)+(IF(C513&lt;10,INDEX('参数'!$G$38:$P$38,1,MIN(10,C513+1)),'参数'!$H$30)-MAX('参数'!$G$30,E513))*MOD(B513-1,12)/11,0)</x:f>
        <x:v>100</x:v>
      </x:c>
      <x:c r="E513" s="19" t="n">
        <x:f>INDEX('参数'!$G$38:$P$38,1,C513)</x:f>
        <x:v>100</x:v>
      </x:c>
      <x:c r="F513" s="20" t="n">
        <x:f>'参数'!$I$30</x:f>
        <x:v>1.43</x:v>
      </x:c>
      <x:c r="G513" s="19" t="n">
        <x:f>ROUND(V513*X513/'参数'!$B$56,0)</x:f>
        <x:v>467915</x:v>
      </x:c>
      <x:c r="H513" s="19" t="n">
        <x:f>ROUND((AA513+SQRT(AA513^2+4*AA513*'参数'!$B$22*U513))/2,0)</x:f>
        <x:v>16457</x:v>
      </x:c>
      <x:c r="I513" s="19" t="n">
        <x:f>ROUND(Q513*'参数'!$B$23/'参数'!$B$22,0)</x:f>
        <x:v>2126</x:v>
      </x:c>
      <x:c r="J513" s="19" t="n">
        <x:f>ROUND(G513*'参数'!$B$50,0)</x:f>
        <x:v>1403745</x:v>
      </x:c>
      <x:c r="K513" s="19" t="n">
        <x:f>ROUND(W513*Y513,0)</x:f>
        <x:v>4606351</x:v>
      </x:c>
      <x:c r="L513" s="19" t="n">
        <x:f>ROUND((AB513+SQRT(AB513^2+4*AB513*'参数'!$B$22*U513))/2,0)</x:f>
        <x:v>28275</x:v>
      </x:c>
      <x:c r="M513" s="19" t="n">
        <x:f>ROUND(I513*'参数'!$B$24,0)</x:f>
        <x:v>2658</x:v>
      </x:c>
      <x:c r="N513" s="19" t="n">
        <x:f>'参数'!$B$9*'参数'!$B$10^(D513-1)</x:f>
        <x:v>11195.319600498813</x:v>
      </x:c>
      <x:c r="O513" s="19" t="n">
        <x:f>'参数'!$B$18*'参数'!$B$19^(MIN(E513,MAX(1,5*INT(D513/5)))-1)*F513*'参数'!$J$30*P513</x:f>
        <x:v>2103.552925769118</x:v>
      </x:c>
      <x:c r="P513" s="22" t="n">
        <x:f>MIN(1,(D513-1)/19)</x:f>
        <x:v>1</x:v>
      </x:c>
      <x:c r="Q513" s="19" t="n">
        <x:f>INDEX('角色成长'!$F$6:$F$105,D513)+O513*'参数'!$K$21</x:f>
        <x:v>10629.125838441985</x:v>
      </x:c>
      <x:c r="R513" s="19" t="n">
        <x:f>INDEX('角色成长'!$I$6:$I$105,D513)+O513*'参数'!$K$21</x:f>
        <x:v>9331.125838441985</x:v>
      </x:c>
      <x:c r="S513" s="19" t="n">
        <x:f>INDEX('角色成长'!$L$6:$L$105,D513)+O513*'参数'!$K$21</x:f>
        <x:v>8590.125838441985</x:v>
      </x:c>
      <x:c r="T513" s="19" t="n">
        <x:f>(INDEX('角色成长'!$J$6:$J$105,D513)+O513*'参数'!$L$21)*(1+'参数'!$B$40*P513)</x:f>
        <x:v>118666.76244728187</x:v>
      </x:c>
      <x:c r="U513" s="19" t="n">
        <x:f>(INDEX('角色成长'!$K$6:$K$105,D513)+O513*'参数'!$M$21)*(1+'参数'!$B$41*P513)</x:f>
        <x:v>6699.239382105553</x:v>
      </x:c>
      <x:c r="V513" s="19" t="n">
        <x:f>(('参数'!$K$5*(((Q513*(1+'参数'!$B$39*P513))^2/((Q513*(1+'参数'!$B$39*P513))+'参数'!$B$22*(I513)))*(1+'参数'!$B$42*P513)/'参数'!$J$5+((Q513*'参数'!$B$43*(1+'参数'!$B$39*P513))^2/((Q513*'参数'!$B$43*(1+'参数'!$B$39*P513))+'参数'!$B$22*(I513)))/'参数'!$B$44))+(((R513*(1+'参数'!$B$39*P513))^2/((R513*(1+'参数'!$B$39*P513))+'参数'!$B$22*(I513)))*(1+'参数'!$B$42*P513)/'参数'!$J$6+((R513*'参数'!$B$45*(1+'参数'!$B$39*P513))^2/((R513*'参数'!$B$45*(1+'参数'!$B$39*P513))+'参数'!$B$22*(I513)))/'参数'!$B$46)+((S513*(1+'参数'!$B$39*P513))^2/((S513*(1+'参数'!$B$39*P513))+'参数'!$B$22*(I513)))*(1+'参数'!$B$42*P513)/'参数'!$J$7)*(1+'参数'!$B$37*('参数'!$B$38-1))*'参数'!$B$25</x:f>
        <x:v>72276.65152942482</x:v>
      </x:c>
      <x:c r="W513" s="19" t="n">
        <x:f>(('参数'!$K$5*(((Q513*(1+'参数'!$B$39*P513))^2/((Q513*(1+'参数'!$B$39*P513))+'参数'!$B$22*(M513)))*(1+'参数'!$B$42*P513)/'参数'!$J$5+((Q513*'参数'!$B$43*(1+'参数'!$B$39*P513))^2/((Q513*'参数'!$B$43*(1+'参数'!$B$39*P513))+'参数'!$B$22*(M513)))/'参数'!$B$44))+(((R513*(1+'参数'!$B$39*P513))^2/((R513*(1+'参数'!$B$39*P513))+'参数'!$B$22*(M513)))*(1+'参数'!$B$42*P513)/'参数'!$J$6+((R513*'参数'!$B$45*(1+'参数'!$B$39*P513))^2/((R513*'参数'!$B$45*(1+'参数'!$B$39*P513))+'参数'!$B$22*(M513)))/'参数'!$B$46)+((S513*(1+'参数'!$B$39*P513))^2/((S513*(1+'参数'!$B$39*P513))+'参数'!$B$22*(M513)))*(1+'参数'!$B$42*P513)/'参数'!$J$7)*(1+'参数'!$B$37*('参数'!$B$38-1))</x:f>
        <x:v>55684.2511674383</x:v>
      </x:c>
      <x:c r="X513" s="26" t="n">
        <x:f>('参数'!$B$26+'参数'!$B$27*(D513-1)/99)*'参数'!$K$30*AD513</x:f>
        <x:v>29.780168067226896</x:v>
      </x:c>
      <x:c r="Y513" s="26" t="n">
        <x:f>('参数'!$B$28+'参数'!$B$29*(D513-1)/99)*'参数'!$K$30*AD513*IF(AE513=1,'参数'!$B$51,1)</x:f>
        <x:v>82.72268907563026</x:v>
      </x:c>
      <x:c r="Z513" s="22" t="n">
        <x:f>MIN('参数'!$B$36,U513/(U513+'参数'!$B$35))</x:f>
        <x:v>0.6261416482848315</x:v>
      </x:c>
      <x:c r="AA513" s="19" t="n">
        <x:f>T513*'参数'!$B$30/('参数'!$B$32*'参数'!$B$33)/(1-Z513)*AC513</x:f>
        <x:v>10907.06967193141</x:v>
      </x:c>
      <x:c r="AB513" s="19" t="n">
        <x:f>T513*'参数'!$B$31/'参数'!$B$34/(1-Z513)*AC513</x:f>
        <x:v>21814.13934386282</x:v>
      </x:c>
      <x:c r="AC513" s="20" t="n">
        <x:f>'参数'!$L$30*(1+'参数'!$B$53*(B513-1)/119)</x:f>
        <x:v>1.3745042016806726</x:v>
      </x:c>
      <x:c r="AD513" s="20" t="n">
        <x:f>1+'参数'!$B$52*(B513-1)/119</x:f>
        <x:v>1.0340336134453783</x:v>
      </x:c>
      <x:c r="AE513" s="19" t="n">
        <x:f>IF(MOD(B513,12)=0,1,0)</x:f>
        <x:v>0</x:v>
      </x:c>
    </x:row>
    <x:row r="514" ht="22" customHeight="1">
      <x:c r="A514" s="18" t="str">
        <x:v>折磨</x:v>
      </x:c>
      <x:c r="B514" s="18" t="n">
        <x:v>29</x:v>
      </x:c>
      <x:c r="C514" s="18" t="n">
        <x:f>ROUNDUP(B514/12,0)</x:f>
        <x:v>3</x:v>
      </x:c>
      <x:c r="D514" s="18" t="n">
        <x:f>ROUND(MAX('参数'!$G$30,E514)+(IF(C514&lt;10,INDEX('参数'!$G$38:$P$38,1,MIN(10,C514+1)),'参数'!$H$30)-MAX('参数'!$G$30,E514))*MOD(B514-1,12)/11,0)</x:f>
        <x:v>100</x:v>
      </x:c>
      <x:c r="E514" s="18" t="n">
        <x:f>INDEX('参数'!$G$38:$P$38,1,C514)</x:f>
        <x:v>100</x:v>
      </x:c>
      <x:c r="F514" s="15" t="n">
        <x:f>'参数'!$I$30</x:f>
        <x:v>1.43</x:v>
      </x:c>
      <x:c r="G514" s="18" t="n">
        <x:f>ROUND(V514*X514/'参数'!$B$56,0)</x:f>
        <x:v>468486</x:v>
      </x:c>
      <x:c r="H514" s="18" t="n">
        <x:f>ROUND((AA514+SQRT(AA514^2+4*AA514*'参数'!$B$22*U514))/2,0)</x:f>
        <x:v>16465</x:v>
      </x:c>
      <x:c r="I514" s="18" t="n">
        <x:f>ROUND(Q514*'参数'!$B$23/'参数'!$B$22,0)</x:f>
        <x:v>2126</x:v>
      </x:c>
      <x:c r="J514" s="18" t="n">
        <x:f>ROUND(G514*'参数'!$B$50,0)</x:f>
        <x:v>1405458</x:v>
      </x:c>
      <x:c r="K514" s="18" t="n">
        <x:f>ROUND(W514*Y514,0)</x:f>
        <x:v>4611966</x:v>
      </x:c>
      <x:c r="L514" s="18" t="n">
        <x:f>ROUND((AB514+SQRT(AB514^2+4*AB514*'参数'!$B$22*U514))/2,0)</x:f>
        <x:v>28290</x:v>
      </x:c>
      <x:c r="M514" s="18" t="n">
        <x:f>ROUND(I514*'参数'!$B$24,0)</x:f>
        <x:v>2658</x:v>
      </x:c>
      <x:c r="N514" s="18" t="n">
        <x:f>'参数'!$B$9*'参数'!$B$10^(D514-1)</x:f>
        <x:v>11195.319600498813</x:v>
      </x:c>
      <x:c r="O514" s="18" t="n">
        <x:f>'参数'!$B$18*'参数'!$B$19^(MIN(E514,MAX(1,5*INT(D514/5)))-1)*F514*'参数'!$J$30*P514</x:f>
        <x:v>2103.552925769118</x:v>
      </x:c>
      <x:c r="P514" s="21" t="n">
        <x:f>MIN(1,(D514-1)/19)</x:f>
        <x:v>1</x:v>
      </x:c>
      <x:c r="Q514" s="18" t="n">
        <x:f>INDEX('角色成长'!$F$6:$F$105,D514)+O514*'参数'!$K$21</x:f>
        <x:v>10629.125838441985</x:v>
      </x:c>
      <x:c r="R514" s="18" t="n">
        <x:f>INDEX('角色成长'!$I$6:$I$105,D514)+O514*'参数'!$K$21</x:f>
        <x:v>9331.125838441985</x:v>
      </x:c>
      <x:c r="S514" s="18" t="n">
        <x:f>INDEX('角色成长'!$L$6:$L$105,D514)+O514*'参数'!$K$21</x:f>
        <x:v>8590.125838441985</x:v>
      </x:c>
      <x:c r="T514" s="18" t="n">
        <x:f>(INDEX('角色成长'!$J$6:$J$105,D514)+O514*'参数'!$L$21)*(1+'参数'!$B$40*P514)</x:f>
        <x:v>118666.76244728187</x:v>
      </x:c>
      <x:c r="U514" s="18" t="n">
        <x:f>(INDEX('角色成长'!$K$6:$K$105,D514)+O514*'参数'!$M$21)*(1+'参数'!$B$41*P514)</x:f>
        <x:v>6699.239382105553</x:v>
      </x:c>
      <x:c r="V514" s="18" t="n">
        <x:f>(('参数'!$K$5*(((Q514*(1+'参数'!$B$39*P514))^2/((Q514*(1+'参数'!$B$39*P514))+'参数'!$B$22*(I514)))*(1+'参数'!$B$42*P514)/'参数'!$J$5+((Q514*'参数'!$B$43*(1+'参数'!$B$39*P514))^2/((Q514*'参数'!$B$43*(1+'参数'!$B$39*P514))+'参数'!$B$22*(I514)))/'参数'!$B$44))+(((R514*(1+'参数'!$B$39*P514))^2/((R514*(1+'参数'!$B$39*P514))+'参数'!$B$22*(I514)))*(1+'参数'!$B$42*P514)/'参数'!$J$6+((R514*'参数'!$B$45*(1+'参数'!$B$39*P514))^2/((R514*'参数'!$B$45*(1+'参数'!$B$39*P514))+'参数'!$B$22*(I514)))/'参数'!$B$46)+((S514*(1+'参数'!$B$39*P514))^2/((S514*(1+'参数'!$B$39*P514))+'参数'!$B$22*(I514)))*(1+'参数'!$B$42*P514)/'参数'!$J$7)*(1+'参数'!$B$37*('参数'!$B$38-1))*'参数'!$B$25</x:f>
        <x:v>72276.65152942482</x:v>
      </x:c>
      <x:c r="W514" s="18" t="n">
        <x:f>(('参数'!$K$5*(((Q514*(1+'参数'!$B$39*P514))^2/((Q514*(1+'参数'!$B$39*P514))+'参数'!$B$22*(M514)))*(1+'参数'!$B$42*P514)/'参数'!$J$5+((Q514*'参数'!$B$43*(1+'参数'!$B$39*P514))^2/((Q514*'参数'!$B$43*(1+'参数'!$B$39*P514))+'参数'!$B$22*(M514)))/'参数'!$B$44))+(((R514*(1+'参数'!$B$39*P514))^2/((R514*(1+'参数'!$B$39*P514))+'参数'!$B$22*(M514)))*(1+'参数'!$B$42*P514)/'参数'!$J$6+((R514*'参数'!$B$45*(1+'参数'!$B$39*P514))^2/((R514*'参数'!$B$45*(1+'参数'!$B$39*P514))+'参数'!$B$22*(M514)))/'参数'!$B$46)+((S514*(1+'参数'!$B$39*P514))^2/((S514*(1+'参数'!$B$39*P514))+'参数'!$B$22*(M514)))*(1+'参数'!$B$42*P514)/'参数'!$J$7)*(1+'参数'!$B$37*('参数'!$B$38-1))</x:f>
        <x:v>55684.2511674383</x:v>
      </x:c>
      <x:c r="X514" s="25" t="n">
        <x:f>('参数'!$B$26+'参数'!$B$27*(D514-1)/99)*'参数'!$K$30*AD514</x:f>
        <x:v>29.816470588235298</x:v>
      </x:c>
      <x:c r="Y514" s="25" t="n">
        <x:f>('参数'!$B$28+'参数'!$B$29*(D514-1)/99)*'参数'!$K$30*AD514*IF(AE514=1,'参数'!$B$51,1)</x:f>
        <x:v>82.82352941176471</x:v>
      </x:c>
      <x:c r="Z514" s="21" t="n">
        <x:f>MIN('参数'!$B$36,U514/(U514+'参数'!$B$35))</x:f>
        <x:v>0.6261416482848315</x:v>
      </x:c>
      <x:c r="AA514" s="18" t="n">
        <x:f>T514*'参数'!$B$30/('参数'!$B$32*'参数'!$B$33)/(1-Z514)*AC514</x:f>
        <x:v>10914.27143467286</x:v>
      </x:c>
      <x:c r="AB514" s="18" t="n">
        <x:f>T514*'参数'!$B$31/'参数'!$B$34/(1-Z514)*AC514</x:f>
        <x:v>21828.54286934572</x:v>
      </x:c>
      <x:c r="AC514" s="15" t="n">
        <x:f>'参数'!$L$30*(1+'参数'!$B$53*(B514-1)/119)</x:f>
        <x:v>1.3754117647058823</x:v>
      </x:c>
      <x:c r="AD514" s="15" t="n">
        <x:f>1+'参数'!$B$52*(B514-1)/119</x:f>
        <x:v>1.035294117647059</x:v>
      </x:c>
      <x:c r="AE514" s="18" t="n">
        <x:f>IF(MOD(B514,12)=0,1,0)</x:f>
        <x:v>0</x:v>
      </x:c>
    </x:row>
    <x:row r="515" ht="22" customHeight="1">
      <x:c r="A515" s="19" t="str">
        <x:v>折磨</x:v>
      </x:c>
      <x:c r="B515" s="19" t="n">
        <x:v>30</x:v>
      </x:c>
      <x:c r="C515" s="19" t="n">
        <x:f>ROUNDUP(B515/12,0)</x:f>
        <x:v>3</x:v>
      </x:c>
      <x:c r="D515" s="19" t="n">
        <x:f>ROUND(MAX('参数'!$G$30,E515)+(IF(C515&lt;10,INDEX('参数'!$G$38:$P$38,1,MIN(10,C515+1)),'参数'!$H$30)-MAX('参数'!$G$30,E515))*MOD(B515-1,12)/11,0)</x:f>
        <x:v>100</x:v>
      </x:c>
      <x:c r="E515" s="19" t="n">
        <x:f>INDEX('参数'!$G$38:$P$38,1,C515)</x:f>
        <x:v>100</x:v>
      </x:c>
      <x:c r="F515" s="20" t="n">
        <x:f>'参数'!$I$30</x:f>
        <x:v>1.43</x:v>
      </x:c>
      <x:c r="G515" s="19" t="n">
        <x:f>ROUND(V515*X515/'参数'!$B$56,0)</x:f>
        <x:v>469056</x:v>
      </x:c>
      <x:c r="H515" s="19" t="n">
        <x:f>ROUND((AA515+SQRT(AA515^2+4*AA515*'参数'!$B$22*U515))/2,0)</x:f>
        <x:v>16473</x:v>
      </x:c>
      <x:c r="I515" s="19" t="n">
        <x:f>ROUND(Q515*'参数'!$B$23/'参数'!$B$22,0)</x:f>
        <x:v>2126</x:v>
      </x:c>
      <x:c r="J515" s="19" t="n">
        <x:f>ROUND(G515*'参数'!$B$50,0)</x:f>
        <x:v>1407168</x:v>
      </x:c>
      <x:c r="K515" s="19" t="n">
        <x:f>ROUND(W515*Y515,0)</x:f>
        <x:v>4617581</x:v>
      </x:c>
      <x:c r="L515" s="19" t="n">
        <x:f>ROUND((AB515+SQRT(AB515^2+4*AB515*'参数'!$B$22*U515))/2,0)</x:f>
        <x:v>28305</x:v>
      </x:c>
      <x:c r="M515" s="19" t="n">
        <x:f>ROUND(I515*'参数'!$B$24,0)</x:f>
        <x:v>2658</x:v>
      </x:c>
      <x:c r="N515" s="19" t="n">
        <x:f>'参数'!$B$9*'参数'!$B$10^(D515-1)</x:f>
        <x:v>11195.319600498813</x:v>
      </x:c>
      <x:c r="O515" s="19" t="n">
        <x:f>'参数'!$B$18*'参数'!$B$19^(MIN(E515,MAX(1,5*INT(D515/5)))-1)*F515*'参数'!$J$30*P515</x:f>
        <x:v>2103.552925769118</x:v>
      </x:c>
      <x:c r="P515" s="22" t="n">
        <x:f>MIN(1,(D515-1)/19)</x:f>
        <x:v>1</x:v>
      </x:c>
      <x:c r="Q515" s="19" t="n">
        <x:f>INDEX('角色成长'!$F$6:$F$105,D515)+O515*'参数'!$K$21</x:f>
        <x:v>10629.125838441985</x:v>
      </x:c>
      <x:c r="R515" s="19" t="n">
        <x:f>INDEX('角色成长'!$I$6:$I$105,D515)+O515*'参数'!$K$21</x:f>
        <x:v>9331.125838441985</x:v>
      </x:c>
      <x:c r="S515" s="19" t="n">
        <x:f>INDEX('角色成长'!$L$6:$L$105,D515)+O515*'参数'!$K$21</x:f>
        <x:v>8590.125838441985</x:v>
      </x:c>
      <x:c r="T515" s="19" t="n">
        <x:f>(INDEX('角色成长'!$J$6:$J$105,D515)+O515*'参数'!$L$21)*(1+'参数'!$B$40*P515)</x:f>
        <x:v>118666.76244728187</x:v>
      </x:c>
      <x:c r="U515" s="19" t="n">
        <x:f>(INDEX('角色成长'!$K$6:$K$105,D515)+O515*'参数'!$M$21)*(1+'参数'!$B$41*P515)</x:f>
        <x:v>6699.239382105553</x:v>
      </x:c>
      <x:c r="V515" s="19" t="n">
        <x:f>(('参数'!$K$5*(((Q515*(1+'参数'!$B$39*P515))^2/((Q515*(1+'参数'!$B$39*P515))+'参数'!$B$22*(I515)))*(1+'参数'!$B$42*P515)/'参数'!$J$5+((Q515*'参数'!$B$43*(1+'参数'!$B$39*P515))^2/((Q515*'参数'!$B$43*(1+'参数'!$B$39*P515))+'参数'!$B$22*(I515)))/'参数'!$B$44))+(((R515*(1+'参数'!$B$39*P515))^2/((R515*(1+'参数'!$B$39*P515))+'参数'!$B$22*(I515)))*(1+'参数'!$B$42*P515)/'参数'!$J$6+((R515*'参数'!$B$45*(1+'参数'!$B$39*P515))^2/((R515*'参数'!$B$45*(1+'参数'!$B$39*P515))+'参数'!$B$22*(I515)))/'参数'!$B$46)+((S515*(1+'参数'!$B$39*P515))^2/((S515*(1+'参数'!$B$39*P515))+'参数'!$B$22*(I515)))*(1+'参数'!$B$42*P515)/'参数'!$J$7)*(1+'参数'!$B$37*('参数'!$B$38-1))*'参数'!$B$25</x:f>
        <x:v>72276.65152942482</x:v>
      </x:c>
      <x:c r="W515" s="19" t="n">
        <x:f>(('参数'!$K$5*(((Q515*(1+'参数'!$B$39*P515))^2/((Q515*(1+'参数'!$B$39*P515))+'参数'!$B$22*(M515)))*(1+'参数'!$B$42*P515)/'参数'!$J$5+((Q515*'参数'!$B$43*(1+'参数'!$B$39*P515))^2/((Q515*'参数'!$B$43*(1+'参数'!$B$39*P515))+'参数'!$B$22*(M515)))/'参数'!$B$44))+(((R515*(1+'参数'!$B$39*P515))^2/((R515*(1+'参数'!$B$39*P515))+'参数'!$B$22*(M515)))*(1+'参数'!$B$42*P515)/'参数'!$J$6+((R515*'参数'!$B$45*(1+'参数'!$B$39*P515))^2/((R515*'参数'!$B$45*(1+'参数'!$B$39*P515))+'参数'!$B$22*(M515)))/'参数'!$B$46)+((S515*(1+'参数'!$B$39*P515))^2/((S515*(1+'参数'!$B$39*P515))+'参数'!$B$22*(M515)))*(1+'参数'!$B$42*P515)/'参数'!$J$7)*(1+'参数'!$B$37*('参数'!$B$38-1))</x:f>
        <x:v>55684.2511674383</x:v>
      </x:c>
      <x:c r="X515" s="26" t="n">
        <x:f>('参数'!$B$26+'参数'!$B$27*(D515-1)/99)*'参数'!$K$30*AD515</x:f>
        <x:v>29.8527731092437</x:v>
      </x:c>
      <x:c r="Y515" s="26" t="n">
        <x:f>('参数'!$B$28+'参数'!$B$29*(D515-1)/99)*'参数'!$K$30*AD515*IF(AE515=1,'参数'!$B$51,1)</x:f>
        <x:v>82.92436974789916</x:v>
      </x:c>
      <x:c r="Z515" s="22" t="n">
        <x:f>MIN('参数'!$B$36,U515/(U515+'参数'!$B$35))</x:f>
        <x:v>0.6261416482848315</x:v>
      </x:c>
      <x:c r="AA515" s="19" t="n">
        <x:f>T515*'参数'!$B$30/('参数'!$B$32*'参数'!$B$33)/(1-Z515)*AC515</x:f>
        <x:v>10921.473197414314</x:v>
      </x:c>
      <x:c r="AB515" s="19" t="n">
        <x:f>T515*'参数'!$B$31/'参数'!$B$34/(1-Z515)*AC515</x:f>
        <x:v>21842.94639482863</x:v>
      </x:c>
      <x:c r="AC515" s="20" t="n">
        <x:f>'参数'!$L$30*(1+'参数'!$B$53*(B515-1)/119)</x:f>
        <x:v>1.3763193277310926</x:v>
      </x:c>
      <x:c r="AD515" s="20" t="n">
        <x:f>1+'参数'!$B$52*(B515-1)/119</x:f>
        <x:v>1.0365546218487396</x:v>
      </x:c>
      <x:c r="AE515" s="19" t="n">
        <x:f>IF(MOD(B515,12)=0,1,0)</x:f>
        <x:v>0</x:v>
      </x:c>
    </x:row>
    <x:row r="516" ht="22" customHeight="1">
      <x:c r="A516" s="18" t="str">
        <x:v>折磨</x:v>
      </x:c>
      <x:c r="B516" s="18" t="n">
        <x:v>31</x:v>
      </x:c>
      <x:c r="C516" s="18" t="n">
        <x:f>ROUNDUP(B516/12,0)</x:f>
        <x:v>3</x:v>
      </x:c>
      <x:c r="D516" s="18" t="n">
        <x:f>ROUND(MAX('参数'!$G$30,E516)+(IF(C516&lt;10,INDEX('参数'!$G$38:$P$38,1,MIN(10,C516+1)),'参数'!$H$30)-MAX('参数'!$G$30,E516))*MOD(B516-1,12)/11,0)</x:f>
        <x:v>100</x:v>
      </x:c>
      <x:c r="E516" s="18" t="n">
        <x:f>INDEX('参数'!$G$38:$P$38,1,C516)</x:f>
        <x:v>100</x:v>
      </x:c>
      <x:c r="F516" s="15" t="n">
        <x:f>'参数'!$I$30</x:f>
        <x:v>1.43</x:v>
      </x:c>
      <x:c r="G516" s="18" t="n">
        <x:f>ROUND(V516*X516/'参数'!$B$56,0)</x:f>
        <x:v>469627</x:v>
      </x:c>
      <x:c r="H516" s="18" t="n">
        <x:f>ROUND((AA516+SQRT(AA516^2+4*AA516*'参数'!$B$22*U516))/2,0)</x:f>
        <x:v>16481</x:v>
      </x:c>
      <x:c r="I516" s="18" t="n">
        <x:f>ROUND(Q516*'参数'!$B$23/'参数'!$B$22,0)</x:f>
        <x:v>2126</x:v>
      </x:c>
      <x:c r="J516" s="18" t="n">
        <x:f>ROUND(G516*'参数'!$B$50,0)</x:f>
        <x:v>1408881</x:v>
      </x:c>
      <x:c r="K516" s="18" t="n">
        <x:f>ROUND(W516*Y516,0)</x:f>
        <x:v>4623197</x:v>
      </x:c>
      <x:c r="L516" s="18" t="n">
        <x:f>ROUND((AB516+SQRT(AB516^2+4*AB516*'参数'!$B$22*U516))/2,0)</x:f>
        <x:v>28320</x:v>
      </x:c>
      <x:c r="M516" s="18" t="n">
        <x:f>ROUND(I516*'参数'!$B$24,0)</x:f>
        <x:v>2658</x:v>
      </x:c>
      <x:c r="N516" s="18" t="n">
        <x:f>'参数'!$B$9*'参数'!$B$10^(D516-1)</x:f>
        <x:v>11195.319600498813</x:v>
      </x:c>
      <x:c r="O516" s="18" t="n">
        <x:f>'参数'!$B$18*'参数'!$B$19^(MIN(E516,MAX(1,5*INT(D516/5)))-1)*F516*'参数'!$J$30*P516</x:f>
        <x:v>2103.552925769118</x:v>
      </x:c>
      <x:c r="P516" s="21" t="n">
        <x:f>MIN(1,(D516-1)/19)</x:f>
        <x:v>1</x:v>
      </x:c>
      <x:c r="Q516" s="18" t="n">
        <x:f>INDEX('角色成长'!$F$6:$F$105,D516)+O516*'参数'!$K$21</x:f>
        <x:v>10629.125838441985</x:v>
      </x:c>
      <x:c r="R516" s="18" t="n">
        <x:f>INDEX('角色成长'!$I$6:$I$105,D516)+O516*'参数'!$K$21</x:f>
        <x:v>9331.125838441985</x:v>
      </x:c>
      <x:c r="S516" s="18" t="n">
        <x:f>INDEX('角色成长'!$L$6:$L$105,D516)+O516*'参数'!$K$21</x:f>
        <x:v>8590.125838441985</x:v>
      </x:c>
      <x:c r="T516" s="18" t="n">
        <x:f>(INDEX('角色成长'!$J$6:$J$105,D516)+O516*'参数'!$L$21)*(1+'参数'!$B$40*P516)</x:f>
        <x:v>118666.76244728187</x:v>
      </x:c>
      <x:c r="U516" s="18" t="n">
        <x:f>(INDEX('角色成长'!$K$6:$K$105,D516)+O516*'参数'!$M$21)*(1+'参数'!$B$41*P516)</x:f>
        <x:v>6699.239382105553</x:v>
      </x:c>
      <x:c r="V516" s="18" t="n">
        <x:f>(('参数'!$K$5*(((Q516*(1+'参数'!$B$39*P516))^2/((Q516*(1+'参数'!$B$39*P516))+'参数'!$B$22*(I516)))*(1+'参数'!$B$42*P516)/'参数'!$J$5+((Q516*'参数'!$B$43*(1+'参数'!$B$39*P516))^2/((Q516*'参数'!$B$43*(1+'参数'!$B$39*P516))+'参数'!$B$22*(I516)))/'参数'!$B$44))+(((R516*(1+'参数'!$B$39*P516))^2/((R516*(1+'参数'!$B$39*P516))+'参数'!$B$22*(I516)))*(1+'参数'!$B$42*P516)/'参数'!$J$6+((R516*'参数'!$B$45*(1+'参数'!$B$39*P516))^2/((R516*'参数'!$B$45*(1+'参数'!$B$39*P516))+'参数'!$B$22*(I516)))/'参数'!$B$46)+((S516*(1+'参数'!$B$39*P516))^2/((S516*(1+'参数'!$B$39*P516))+'参数'!$B$22*(I516)))*(1+'参数'!$B$42*P516)/'参数'!$J$7)*(1+'参数'!$B$37*('参数'!$B$38-1))*'参数'!$B$25</x:f>
        <x:v>72276.65152942482</x:v>
      </x:c>
      <x:c r="W516" s="18" t="n">
        <x:f>(('参数'!$K$5*(((Q516*(1+'参数'!$B$39*P516))^2/((Q516*(1+'参数'!$B$39*P516))+'参数'!$B$22*(M516)))*(1+'参数'!$B$42*P516)/'参数'!$J$5+((Q516*'参数'!$B$43*(1+'参数'!$B$39*P516))^2/((Q516*'参数'!$B$43*(1+'参数'!$B$39*P516))+'参数'!$B$22*(M516)))/'参数'!$B$44))+(((R516*(1+'参数'!$B$39*P516))^2/((R516*(1+'参数'!$B$39*P516))+'参数'!$B$22*(M516)))*(1+'参数'!$B$42*P516)/'参数'!$J$6+((R516*'参数'!$B$45*(1+'参数'!$B$39*P516))^2/((R516*'参数'!$B$45*(1+'参数'!$B$39*P516))+'参数'!$B$22*(M516)))/'参数'!$B$46)+((S516*(1+'参数'!$B$39*P516))^2/((S516*(1+'参数'!$B$39*P516))+'参数'!$B$22*(M516)))*(1+'参数'!$B$42*P516)/'参数'!$J$7)*(1+'参数'!$B$37*('参数'!$B$38-1))</x:f>
        <x:v>55684.2511674383</x:v>
      </x:c>
      <x:c r="X516" s="25" t="n">
        <x:f>('参数'!$B$26+'参数'!$B$27*(D516-1)/99)*'参数'!$K$30*AD516</x:f>
        <x:v>29.889075630252105</x:v>
      </x:c>
      <x:c r="Y516" s="25" t="n">
        <x:f>('参数'!$B$28+'参数'!$B$29*(D516-1)/99)*'参数'!$K$30*AD516*IF(AE516=1,'参数'!$B$51,1)</x:f>
        <x:v>83.02521008403362</x:v>
      </x:c>
      <x:c r="Z516" s="21" t="n">
        <x:f>MIN('参数'!$B$36,U516/(U516+'参数'!$B$35))</x:f>
        <x:v>0.6261416482848315</x:v>
      </x:c>
      <x:c r="AA516" s="18" t="n">
        <x:f>T516*'参数'!$B$30/('参数'!$B$32*'参数'!$B$33)/(1-Z516)*AC516</x:f>
        <x:v>10928.674960155768</x:v>
      </x:c>
      <x:c r="AB516" s="18" t="n">
        <x:f>T516*'参数'!$B$31/'参数'!$B$34/(1-Z516)*AC516</x:f>
        <x:v>21857.349920311535</x:v>
      </x:c>
      <x:c r="AC516" s="15" t="n">
        <x:f>'参数'!$L$30*(1+'参数'!$B$53*(B516-1)/119)</x:f>
        <x:v>1.3772268907563026</x:v>
      </x:c>
      <x:c r="AD516" s="15" t="n">
        <x:f>1+'参数'!$B$52*(B516-1)/119</x:f>
        <x:v>1.0378151260504203</x:v>
      </x:c>
      <x:c r="AE516" s="18" t="n">
        <x:f>IF(MOD(B516,12)=0,1,0)</x:f>
        <x:v>0</x:v>
      </x:c>
    </x:row>
    <x:row r="517" ht="22" customHeight="1">
      <x:c r="A517" s="19" t="str">
        <x:v>折磨</x:v>
      </x:c>
      <x:c r="B517" s="19" t="n">
        <x:v>32</x:v>
      </x:c>
      <x:c r="C517" s="19" t="n">
        <x:f>ROUNDUP(B517/12,0)</x:f>
        <x:v>3</x:v>
      </x:c>
      <x:c r="D517" s="19" t="n">
        <x:f>ROUND(MAX('参数'!$G$30,E517)+(IF(C517&lt;10,INDEX('参数'!$G$38:$P$38,1,MIN(10,C517+1)),'参数'!$H$30)-MAX('参数'!$G$30,E517))*MOD(B517-1,12)/11,0)</x:f>
        <x:v>100</x:v>
      </x:c>
      <x:c r="E517" s="19" t="n">
        <x:f>INDEX('参数'!$G$38:$P$38,1,C517)</x:f>
        <x:v>100</x:v>
      </x:c>
      <x:c r="F517" s="20" t="n">
        <x:f>'参数'!$I$30</x:f>
        <x:v>1.43</x:v>
      </x:c>
      <x:c r="G517" s="19" t="n">
        <x:f>ROUND(V517*X517/'参数'!$B$56,0)</x:f>
        <x:v>470197</x:v>
      </x:c>
      <x:c r="H517" s="19" t="n">
        <x:f>ROUND((AA517+SQRT(AA517^2+4*AA517*'参数'!$B$22*U517))/2,0)</x:f>
        <x:v>16490</x:v>
      </x:c>
      <x:c r="I517" s="19" t="n">
        <x:f>ROUND(Q517*'参数'!$B$23/'参数'!$B$22,0)</x:f>
        <x:v>2126</x:v>
      </x:c>
      <x:c r="J517" s="19" t="n">
        <x:f>ROUND(G517*'参数'!$B$50,0)</x:f>
        <x:v>1410591</x:v>
      </x:c>
      <x:c r="K517" s="19" t="n">
        <x:f>ROUND(W517*Y517,0)</x:f>
        <x:v>4628812</x:v>
      </x:c>
      <x:c r="L517" s="19" t="n">
        <x:f>ROUND((AB517+SQRT(AB517^2+4*AB517*'参数'!$B$22*U517))/2,0)</x:f>
        <x:v>28336</x:v>
      </x:c>
      <x:c r="M517" s="19" t="n">
        <x:f>ROUND(I517*'参数'!$B$24,0)</x:f>
        <x:v>2658</x:v>
      </x:c>
      <x:c r="N517" s="19" t="n">
        <x:f>'参数'!$B$9*'参数'!$B$10^(D517-1)</x:f>
        <x:v>11195.319600498813</x:v>
      </x:c>
      <x:c r="O517" s="19" t="n">
        <x:f>'参数'!$B$18*'参数'!$B$19^(MIN(E517,MAX(1,5*INT(D517/5)))-1)*F517*'参数'!$J$30*P517</x:f>
        <x:v>2103.552925769118</x:v>
      </x:c>
      <x:c r="P517" s="22" t="n">
        <x:f>MIN(1,(D517-1)/19)</x:f>
        <x:v>1</x:v>
      </x:c>
      <x:c r="Q517" s="19" t="n">
        <x:f>INDEX('角色成长'!$F$6:$F$105,D517)+O517*'参数'!$K$21</x:f>
        <x:v>10629.125838441985</x:v>
      </x:c>
      <x:c r="R517" s="19" t="n">
        <x:f>INDEX('角色成长'!$I$6:$I$105,D517)+O517*'参数'!$K$21</x:f>
        <x:v>9331.125838441985</x:v>
      </x:c>
      <x:c r="S517" s="19" t="n">
        <x:f>INDEX('角色成长'!$L$6:$L$105,D517)+O517*'参数'!$K$21</x:f>
        <x:v>8590.125838441985</x:v>
      </x:c>
      <x:c r="T517" s="19" t="n">
        <x:f>(INDEX('角色成长'!$J$6:$J$105,D517)+O517*'参数'!$L$21)*(1+'参数'!$B$40*P517)</x:f>
        <x:v>118666.76244728187</x:v>
      </x:c>
      <x:c r="U517" s="19" t="n">
        <x:f>(INDEX('角色成长'!$K$6:$K$105,D517)+O517*'参数'!$M$21)*(1+'参数'!$B$41*P517)</x:f>
        <x:v>6699.239382105553</x:v>
      </x:c>
      <x:c r="V517" s="19" t="n">
        <x:f>(('参数'!$K$5*(((Q517*(1+'参数'!$B$39*P517))^2/((Q517*(1+'参数'!$B$39*P517))+'参数'!$B$22*(I517)))*(1+'参数'!$B$42*P517)/'参数'!$J$5+((Q517*'参数'!$B$43*(1+'参数'!$B$39*P517))^2/((Q517*'参数'!$B$43*(1+'参数'!$B$39*P517))+'参数'!$B$22*(I517)))/'参数'!$B$44))+(((R517*(1+'参数'!$B$39*P517))^2/((R517*(1+'参数'!$B$39*P517))+'参数'!$B$22*(I517)))*(1+'参数'!$B$42*P517)/'参数'!$J$6+((R517*'参数'!$B$45*(1+'参数'!$B$39*P517))^2/((R517*'参数'!$B$45*(1+'参数'!$B$39*P517))+'参数'!$B$22*(I517)))/'参数'!$B$46)+((S517*(1+'参数'!$B$39*P517))^2/((S517*(1+'参数'!$B$39*P517))+'参数'!$B$22*(I517)))*(1+'参数'!$B$42*P517)/'参数'!$J$7)*(1+'参数'!$B$37*('参数'!$B$38-1))*'参数'!$B$25</x:f>
        <x:v>72276.65152942482</x:v>
      </x:c>
      <x:c r="W517" s="19" t="n">
        <x:f>(('参数'!$K$5*(((Q517*(1+'参数'!$B$39*P517))^2/((Q517*(1+'参数'!$B$39*P517))+'参数'!$B$22*(M517)))*(1+'参数'!$B$42*P517)/'参数'!$J$5+((Q517*'参数'!$B$43*(1+'参数'!$B$39*P517))^2/((Q517*'参数'!$B$43*(1+'参数'!$B$39*P517))+'参数'!$B$22*(M517)))/'参数'!$B$44))+(((R517*(1+'参数'!$B$39*P517))^2/((R517*(1+'参数'!$B$39*P517))+'参数'!$B$22*(M517)))*(1+'参数'!$B$42*P517)/'参数'!$J$6+((R517*'参数'!$B$45*(1+'参数'!$B$39*P517))^2/((R517*'参数'!$B$45*(1+'参数'!$B$39*P517))+'参数'!$B$22*(M517)))/'参数'!$B$46)+((S517*(1+'参数'!$B$39*P517))^2/((S517*(1+'参数'!$B$39*P517))+'参数'!$B$22*(M517)))*(1+'参数'!$B$42*P517)/'参数'!$J$7)*(1+'参数'!$B$37*('参数'!$B$38-1))</x:f>
        <x:v>55684.2511674383</x:v>
      </x:c>
      <x:c r="X517" s="26" t="n">
        <x:f>('参数'!$B$26+'参数'!$B$27*(D517-1)/99)*'参数'!$K$30*AD517</x:f>
        <x:v>29.925378151260507</x:v>
      </x:c>
      <x:c r="Y517" s="26" t="n">
        <x:f>('参数'!$B$28+'参数'!$B$29*(D517-1)/99)*'参数'!$K$30*AD517*IF(AE517=1,'参数'!$B$51,1)</x:f>
        <x:v>83.12605042016807</x:v>
      </x:c>
      <x:c r="Z517" s="22" t="n">
        <x:f>MIN('参数'!$B$36,U517/(U517+'参数'!$B$35))</x:f>
        <x:v>0.6261416482848315</x:v>
      </x:c>
      <x:c r="AA517" s="19" t="n">
        <x:f>T517*'参数'!$B$30/('参数'!$B$32*'参数'!$B$33)/(1-Z517)*AC517</x:f>
        <x:v>10935.876722897223</x:v>
      </x:c>
      <x:c r="AB517" s="19" t="n">
        <x:f>T517*'参数'!$B$31/'参数'!$B$34/(1-Z517)*AC517</x:f>
        <x:v>21871.753445794446</x:v>
      </x:c>
      <x:c r="AC517" s="20" t="n">
        <x:f>'参数'!$L$30*(1+'参数'!$B$53*(B517-1)/119)</x:f>
        <x:v>1.3781344537815128</x:v>
      </x:c>
      <x:c r="AD517" s="20" t="n">
        <x:f>1+'参数'!$B$52*(B517-1)/119</x:f>
        <x:v>1.039075630252101</x:v>
      </x:c>
      <x:c r="AE517" s="19" t="n">
        <x:f>IF(MOD(B517,12)=0,1,0)</x:f>
        <x:v>0</x:v>
      </x:c>
    </x:row>
    <x:row r="518" ht="22" customHeight="1">
      <x:c r="A518" s="18" t="str">
        <x:v>折磨</x:v>
      </x:c>
      <x:c r="B518" s="18" t="n">
        <x:v>33</x:v>
      </x:c>
      <x:c r="C518" s="18" t="n">
        <x:f>ROUNDUP(B518/12,0)</x:f>
        <x:v>3</x:v>
      </x:c>
      <x:c r="D518" s="18" t="n">
        <x:f>ROUND(MAX('参数'!$G$30,E518)+(IF(C518&lt;10,INDEX('参数'!$G$38:$P$38,1,MIN(10,C518+1)),'参数'!$H$30)-MAX('参数'!$G$30,E518))*MOD(B518-1,12)/11,0)</x:f>
        <x:v>100</x:v>
      </x:c>
      <x:c r="E518" s="18" t="n">
        <x:f>INDEX('参数'!$G$38:$P$38,1,C518)</x:f>
        <x:v>100</x:v>
      </x:c>
      <x:c r="F518" s="15" t="n">
        <x:f>'参数'!$I$30</x:f>
        <x:v>1.43</x:v>
      </x:c>
      <x:c r="G518" s="18" t="n">
        <x:f>ROUND(V518*X518/'参数'!$B$56,0)</x:f>
        <x:v>470767</x:v>
      </x:c>
      <x:c r="H518" s="18" t="n">
        <x:f>ROUND((AA518+SQRT(AA518^2+4*AA518*'参数'!$B$22*U518))/2,0)</x:f>
        <x:v>16498</x:v>
      </x:c>
      <x:c r="I518" s="18" t="n">
        <x:f>ROUND(Q518*'参数'!$B$23/'参数'!$B$22,0)</x:f>
        <x:v>2126</x:v>
      </x:c>
      <x:c r="J518" s="18" t="n">
        <x:f>ROUND(G518*'参数'!$B$50,0)</x:f>
        <x:v>1412301</x:v>
      </x:c>
      <x:c r="K518" s="18" t="n">
        <x:f>ROUND(W518*Y518,0)</x:f>
        <x:v>4634427</x:v>
      </x:c>
      <x:c r="L518" s="18" t="n">
        <x:f>ROUND((AB518+SQRT(AB518^2+4*AB518*'参数'!$B$22*U518))/2,0)</x:f>
        <x:v>28351</x:v>
      </x:c>
      <x:c r="M518" s="18" t="n">
        <x:f>ROUND(I518*'参数'!$B$24,0)</x:f>
        <x:v>2658</x:v>
      </x:c>
      <x:c r="N518" s="18" t="n">
        <x:f>'参数'!$B$9*'参数'!$B$10^(D518-1)</x:f>
        <x:v>11195.319600498813</x:v>
      </x:c>
      <x:c r="O518" s="18" t="n">
        <x:f>'参数'!$B$18*'参数'!$B$19^(MIN(E518,MAX(1,5*INT(D518/5)))-1)*F518*'参数'!$J$30*P518</x:f>
        <x:v>2103.552925769118</x:v>
      </x:c>
      <x:c r="P518" s="21" t="n">
        <x:f>MIN(1,(D518-1)/19)</x:f>
        <x:v>1</x:v>
      </x:c>
      <x:c r="Q518" s="18" t="n">
        <x:f>INDEX('角色成长'!$F$6:$F$105,D518)+O518*'参数'!$K$21</x:f>
        <x:v>10629.125838441985</x:v>
      </x:c>
      <x:c r="R518" s="18" t="n">
        <x:f>INDEX('角色成长'!$I$6:$I$105,D518)+O518*'参数'!$K$21</x:f>
        <x:v>9331.125838441985</x:v>
      </x:c>
      <x:c r="S518" s="18" t="n">
        <x:f>INDEX('角色成长'!$L$6:$L$105,D518)+O518*'参数'!$K$21</x:f>
        <x:v>8590.125838441985</x:v>
      </x:c>
      <x:c r="T518" s="18" t="n">
        <x:f>(INDEX('角色成长'!$J$6:$J$105,D518)+O518*'参数'!$L$21)*(1+'参数'!$B$40*P518)</x:f>
        <x:v>118666.76244728187</x:v>
      </x:c>
      <x:c r="U518" s="18" t="n">
        <x:f>(INDEX('角色成长'!$K$6:$K$105,D518)+O518*'参数'!$M$21)*(1+'参数'!$B$41*P518)</x:f>
        <x:v>6699.239382105553</x:v>
      </x:c>
      <x:c r="V518" s="18" t="n">
        <x:f>(('参数'!$K$5*(((Q518*(1+'参数'!$B$39*P518))^2/((Q518*(1+'参数'!$B$39*P518))+'参数'!$B$22*(I518)))*(1+'参数'!$B$42*P518)/'参数'!$J$5+((Q518*'参数'!$B$43*(1+'参数'!$B$39*P518))^2/((Q518*'参数'!$B$43*(1+'参数'!$B$39*P518))+'参数'!$B$22*(I518)))/'参数'!$B$44))+(((R518*(1+'参数'!$B$39*P518))^2/((R518*(1+'参数'!$B$39*P518))+'参数'!$B$22*(I518)))*(1+'参数'!$B$42*P518)/'参数'!$J$6+((R518*'参数'!$B$45*(1+'参数'!$B$39*P518))^2/((R518*'参数'!$B$45*(1+'参数'!$B$39*P518))+'参数'!$B$22*(I518)))/'参数'!$B$46)+((S518*(1+'参数'!$B$39*P518))^2/((S518*(1+'参数'!$B$39*P518))+'参数'!$B$22*(I518)))*(1+'参数'!$B$42*P518)/'参数'!$J$7)*(1+'参数'!$B$37*('参数'!$B$38-1))*'参数'!$B$25</x:f>
        <x:v>72276.65152942482</x:v>
      </x:c>
      <x:c r="W518" s="18" t="n">
        <x:f>(('参数'!$K$5*(((Q518*(1+'参数'!$B$39*P518))^2/((Q518*(1+'参数'!$B$39*P518))+'参数'!$B$22*(M518)))*(1+'参数'!$B$42*P518)/'参数'!$J$5+((Q518*'参数'!$B$43*(1+'参数'!$B$39*P518))^2/((Q518*'参数'!$B$43*(1+'参数'!$B$39*P518))+'参数'!$B$22*(M518)))/'参数'!$B$44))+(((R518*(1+'参数'!$B$39*P518))^2/((R518*(1+'参数'!$B$39*P518))+'参数'!$B$22*(M518)))*(1+'参数'!$B$42*P518)/'参数'!$J$6+((R518*'参数'!$B$45*(1+'参数'!$B$39*P518))^2/((R518*'参数'!$B$45*(1+'参数'!$B$39*P518))+'参数'!$B$22*(M518)))/'参数'!$B$46)+((S518*(1+'参数'!$B$39*P518))^2/((S518*(1+'参数'!$B$39*P518))+'参数'!$B$22*(M518)))*(1+'参数'!$B$42*P518)/'参数'!$J$7)*(1+'参数'!$B$37*('参数'!$B$38-1))</x:f>
        <x:v>55684.2511674383</x:v>
      </x:c>
      <x:c r="X518" s="25" t="n">
        <x:f>('参数'!$B$26+'参数'!$B$27*(D518-1)/99)*'参数'!$K$30*AD518</x:f>
        <x:v>29.961680672268912</x:v>
      </x:c>
      <x:c r="Y518" s="25" t="n">
        <x:f>('参数'!$B$28+'参数'!$B$29*(D518-1)/99)*'参数'!$K$30*AD518*IF(AE518=1,'参数'!$B$51,1)</x:f>
        <x:v>83.22689075630252</x:v>
      </x:c>
      <x:c r="Z518" s="21" t="n">
        <x:f>MIN('参数'!$B$36,U518/(U518+'参数'!$B$35))</x:f>
        <x:v>0.6261416482848315</x:v>
      </x:c>
      <x:c r="AA518" s="18" t="n">
        <x:f>T518*'参数'!$B$30/('参数'!$B$32*'参数'!$B$33)/(1-Z518)*AC518</x:f>
        <x:v>10943.078485638676</x:v>
      </x:c>
      <x:c r="AB518" s="18" t="n">
        <x:f>T518*'参数'!$B$31/'参数'!$B$34/(1-Z518)*AC518</x:f>
        <x:v>21886.156971277353</x:v>
      </x:c>
      <x:c r="AC518" s="15" t="n">
        <x:f>'参数'!$L$30*(1+'参数'!$B$53*(B518-1)/119)</x:f>
        <x:v>1.379042016806723</x:v>
      </x:c>
      <x:c r="AD518" s="15" t="n">
        <x:f>1+'参数'!$B$52*(B518-1)/119</x:f>
        <x:v>1.0403361344537816</x:v>
      </x:c>
      <x:c r="AE518" s="18" t="n">
        <x:f>IF(MOD(B518,12)=0,1,0)</x:f>
        <x:v>0</x:v>
      </x:c>
    </x:row>
    <x:row r="519" ht="22" customHeight="1">
      <x:c r="A519" s="19" t="str">
        <x:v>折磨</x:v>
      </x:c>
      <x:c r="B519" s="19" t="n">
        <x:v>34</x:v>
      </x:c>
      <x:c r="C519" s="19" t="n">
        <x:f>ROUNDUP(B519/12,0)</x:f>
        <x:v>3</x:v>
      </x:c>
      <x:c r="D519" s="19" t="n">
        <x:f>ROUND(MAX('参数'!$G$30,E519)+(IF(C519&lt;10,INDEX('参数'!$G$38:$P$38,1,MIN(10,C519+1)),'参数'!$H$30)-MAX('参数'!$G$30,E519))*MOD(B519-1,12)/11,0)</x:f>
        <x:v>100</x:v>
      </x:c>
      <x:c r="E519" s="19" t="n">
        <x:f>INDEX('参数'!$G$38:$P$38,1,C519)</x:f>
        <x:v>100</x:v>
      </x:c>
      <x:c r="F519" s="20" t="n">
        <x:f>'参数'!$I$30</x:f>
        <x:v>1.43</x:v>
      </x:c>
      <x:c r="G519" s="19" t="n">
        <x:f>ROUND(V519*X519/'参数'!$B$56,0)</x:f>
        <x:v>471338</x:v>
      </x:c>
      <x:c r="H519" s="19" t="n">
        <x:f>ROUND((AA519+SQRT(AA519^2+4*AA519*'参数'!$B$22*U519))/2,0)</x:f>
        <x:v>16506</x:v>
      </x:c>
      <x:c r="I519" s="19" t="n">
        <x:f>ROUND(Q519*'参数'!$B$23/'参数'!$B$22,0)</x:f>
        <x:v>2126</x:v>
      </x:c>
      <x:c r="J519" s="19" t="n">
        <x:f>ROUND(G519*'参数'!$B$50,0)</x:f>
        <x:v>1414014</x:v>
      </x:c>
      <x:c r="K519" s="19" t="n">
        <x:f>ROUND(W519*Y519,0)</x:f>
        <x:v>4640042</x:v>
      </x:c>
      <x:c r="L519" s="19" t="n">
        <x:f>ROUND((AB519+SQRT(AB519^2+4*AB519*'参数'!$B$22*U519))/2,0)</x:f>
        <x:v>28366</x:v>
      </x:c>
      <x:c r="M519" s="19" t="n">
        <x:f>ROUND(I519*'参数'!$B$24,0)</x:f>
        <x:v>2658</x:v>
      </x:c>
      <x:c r="N519" s="19" t="n">
        <x:f>'参数'!$B$9*'参数'!$B$10^(D519-1)</x:f>
        <x:v>11195.319600498813</x:v>
      </x:c>
      <x:c r="O519" s="19" t="n">
        <x:f>'参数'!$B$18*'参数'!$B$19^(MIN(E519,MAX(1,5*INT(D519/5)))-1)*F519*'参数'!$J$30*P519</x:f>
        <x:v>2103.552925769118</x:v>
      </x:c>
      <x:c r="P519" s="22" t="n">
        <x:f>MIN(1,(D519-1)/19)</x:f>
        <x:v>1</x:v>
      </x:c>
      <x:c r="Q519" s="19" t="n">
        <x:f>INDEX('角色成长'!$F$6:$F$105,D519)+O519*'参数'!$K$21</x:f>
        <x:v>10629.125838441985</x:v>
      </x:c>
      <x:c r="R519" s="19" t="n">
        <x:f>INDEX('角色成长'!$I$6:$I$105,D519)+O519*'参数'!$K$21</x:f>
        <x:v>9331.125838441985</x:v>
      </x:c>
      <x:c r="S519" s="19" t="n">
        <x:f>INDEX('角色成长'!$L$6:$L$105,D519)+O519*'参数'!$K$21</x:f>
        <x:v>8590.125838441985</x:v>
      </x:c>
      <x:c r="T519" s="19" t="n">
        <x:f>(INDEX('角色成长'!$J$6:$J$105,D519)+O519*'参数'!$L$21)*(1+'参数'!$B$40*P519)</x:f>
        <x:v>118666.76244728187</x:v>
      </x:c>
      <x:c r="U519" s="19" t="n">
        <x:f>(INDEX('角色成长'!$K$6:$K$105,D519)+O519*'参数'!$M$21)*(1+'参数'!$B$41*P519)</x:f>
        <x:v>6699.239382105553</x:v>
      </x:c>
      <x:c r="V519" s="19" t="n">
        <x:f>(('参数'!$K$5*(((Q519*(1+'参数'!$B$39*P519))^2/((Q519*(1+'参数'!$B$39*P519))+'参数'!$B$22*(I519)))*(1+'参数'!$B$42*P519)/'参数'!$J$5+((Q519*'参数'!$B$43*(1+'参数'!$B$39*P519))^2/((Q519*'参数'!$B$43*(1+'参数'!$B$39*P519))+'参数'!$B$22*(I519)))/'参数'!$B$44))+(((R519*(1+'参数'!$B$39*P519))^2/((R519*(1+'参数'!$B$39*P519))+'参数'!$B$22*(I519)))*(1+'参数'!$B$42*P519)/'参数'!$J$6+((R519*'参数'!$B$45*(1+'参数'!$B$39*P519))^2/((R519*'参数'!$B$45*(1+'参数'!$B$39*P519))+'参数'!$B$22*(I519)))/'参数'!$B$46)+((S519*(1+'参数'!$B$39*P519))^2/((S519*(1+'参数'!$B$39*P519))+'参数'!$B$22*(I519)))*(1+'参数'!$B$42*P519)/'参数'!$J$7)*(1+'参数'!$B$37*('参数'!$B$38-1))*'参数'!$B$25</x:f>
        <x:v>72276.65152942482</x:v>
      </x:c>
      <x:c r="W519" s="19" t="n">
        <x:f>(('参数'!$K$5*(((Q519*(1+'参数'!$B$39*P519))^2/((Q519*(1+'参数'!$B$39*P519))+'参数'!$B$22*(M519)))*(1+'参数'!$B$42*P519)/'参数'!$J$5+((Q519*'参数'!$B$43*(1+'参数'!$B$39*P519))^2/((Q519*'参数'!$B$43*(1+'参数'!$B$39*P519))+'参数'!$B$22*(M519)))/'参数'!$B$44))+(((R519*(1+'参数'!$B$39*P519))^2/((R519*(1+'参数'!$B$39*P519))+'参数'!$B$22*(M519)))*(1+'参数'!$B$42*P519)/'参数'!$J$6+((R519*'参数'!$B$45*(1+'参数'!$B$39*P519))^2/((R519*'参数'!$B$45*(1+'参数'!$B$39*P519))+'参数'!$B$22*(M519)))/'参数'!$B$46)+((S519*(1+'参数'!$B$39*P519))^2/((S519*(1+'参数'!$B$39*P519))+'参数'!$B$22*(M519)))*(1+'参数'!$B$42*P519)/'参数'!$J$7)*(1+'参数'!$B$37*('参数'!$B$38-1))</x:f>
        <x:v>55684.2511674383</x:v>
      </x:c>
      <x:c r="X519" s="26" t="n">
        <x:f>('参数'!$B$26+'参数'!$B$27*(D519-1)/99)*'参数'!$K$30*AD519</x:f>
        <x:v>29.997983193277314</x:v>
      </x:c>
      <x:c r="Y519" s="26" t="n">
        <x:f>('参数'!$B$28+'参数'!$B$29*(D519-1)/99)*'参数'!$K$30*AD519*IF(AE519=1,'参数'!$B$51,1)</x:f>
        <x:v>83.32773109243698</x:v>
      </x:c>
      <x:c r="Z519" s="22" t="n">
        <x:f>MIN('参数'!$B$36,U519/(U519+'参数'!$B$35))</x:f>
        <x:v>0.6261416482848315</x:v>
      </x:c>
      <x:c r="AA519" s="19" t="n">
        <x:f>T519*'参数'!$B$30/('参数'!$B$32*'参数'!$B$33)/(1-Z519)*AC519</x:f>
        <x:v>10950.280248380128</x:v>
      </x:c>
      <x:c r="AB519" s="19" t="n">
        <x:f>T519*'参数'!$B$31/'参数'!$B$34/(1-Z519)*AC519</x:f>
        <x:v>21900.560496760256</x:v>
      </x:c>
      <x:c r="AC519" s="20" t="n">
        <x:f>'参数'!$L$30*(1+'参数'!$B$53*(B519-1)/119)</x:f>
        <x:v>1.3799495798319328</x:v>
      </x:c>
      <x:c r="AD519" s="20" t="n">
        <x:f>1+'参数'!$B$52*(B519-1)/119</x:f>
        <x:v>1.0415966386554623</x:v>
      </x:c>
      <x:c r="AE519" s="19" t="n">
        <x:f>IF(MOD(B519,12)=0,1,0)</x:f>
        <x:v>0</x:v>
      </x:c>
    </x:row>
    <x:row r="520" ht="22" customHeight="1">
      <x:c r="A520" s="18" t="str">
        <x:v>折磨</x:v>
      </x:c>
      <x:c r="B520" s="18" t="n">
        <x:v>35</x:v>
      </x:c>
      <x:c r="C520" s="18" t="n">
        <x:f>ROUNDUP(B520/12,0)</x:f>
        <x:v>3</x:v>
      </x:c>
      <x:c r="D520" s="18" t="n">
        <x:f>ROUND(MAX('参数'!$G$30,E520)+(IF(C520&lt;10,INDEX('参数'!$G$38:$P$38,1,MIN(10,C520+1)),'参数'!$H$30)-MAX('参数'!$G$30,E520))*MOD(B520-1,12)/11,0)</x:f>
        <x:v>100</x:v>
      </x:c>
      <x:c r="E520" s="18" t="n">
        <x:f>INDEX('参数'!$G$38:$P$38,1,C520)</x:f>
        <x:v>100</x:v>
      </x:c>
      <x:c r="F520" s="15" t="n">
        <x:f>'参数'!$I$30</x:f>
        <x:v>1.43</x:v>
      </x:c>
      <x:c r="G520" s="18" t="n">
        <x:f>ROUND(V520*X520/'参数'!$B$56,0)</x:f>
        <x:v>471908</x:v>
      </x:c>
      <x:c r="H520" s="18" t="n">
        <x:f>ROUND((AA520+SQRT(AA520^2+4*AA520*'参数'!$B$22*U520))/2,0)</x:f>
        <x:v>16514</x:v>
      </x:c>
      <x:c r="I520" s="18" t="n">
        <x:f>ROUND(Q520*'参数'!$B$23/'参数'!$B$22,0)</x:f>
        <x:v>2126</x:v>
      </x:c>
      <x:c r="J520" s="18" t="n">
        <x:f>ROUND(G520*'参数'!$B$50,0)</x:f>
        <x:v>1415724</x:v>
      </x:c>
      <x:c r="K520" s="18" t="n">
        <x:f>ROUND(W520*Y520,0)</x:f>
        <x:v>4645658</x:v>
      </x:c>
      <x:c r="L520" s="18" t="n">
        <x:f>ROUND((AB520+SQRT(AB520^2+4*AB520*'参数'!$B$22*U520))/2,0)</x:f>
        <x:v>28381</x:v>
      </x:c>
      <x:c r="M520" s="18" t="n">
        <x:f>ROUND(I520*'参数'!$B$24,0)</x:f>
        <x:v>2658</x:v>
      </x:c>
      <x:c r="N520" s="18" t="n">
        <x:f>'参数'!$B$9*'参数'!$B$10^(D520-1)</x:f>
        <x:v>11195.319600498813</x:v>
      </x:c>
      <x:c r="O520" s="18" t="n">
        <x:f>'参数'!$B$18*'参数'!$B$19^(MIN(E520,MAX(1,5*INT(D520/5)))-1)*F520*'参数'!$J$30*P520</x:f>
        <x:v>2103.552925769118</x:v>
      </x:c>
      <x:c r="P520" s="21" t="n">
        <x:f>MIN(1,(D520-1)/19)</x:f>
        <x:v>1</x:v>
      </x:c>
      <x:c r="Q520" s="18" t="n">
        <x:f>INDEX('角色成长'!$F$6:$F$105,D520)+O520*'参数'!$K$21</x:f>
        <x:v>10629.125838441985</x:v>
      </x:c>
      <x:c r="R520" s="18" t="n">
        <x:f>INDEX('角色成长'!$I$6:$I$105,D520)+O520*'参数'!$K$21</x:f>
        <x:v>9331.125838441985</x:v>
      </x:c>
      <x:c r="S520" s="18" t="n">
        <x:f>INDEX('角色成长'!$L$6:$L$105,D520)+O520*'参数'!$K$21</x:f>
        <x:v>8590.125838441985</x:v>
      </x:c>
      <x:c r="T520" s="18" t="n">
        <x:f>(INDEX('角色成长'!$J$6:$J$105,D520)+O520*'参数'!$L$21)*(1+'参数'!$B$40*P520)</x:f>
        <x:v>118666.76244728187</x:v>
      </x:c>
      <x:c r="U520" s="18" t="n">
        <x:f>(INDEX('角色成长'!$K$6:$K$105,D520)+O520*'参数'!$M$21)*(1+'参数'!$B$41*P520)</x:f>
        <x:v>6699.239382105553</x:v>
      </x:c>
      <x:c r="V520" s="18" t="n">
        <x:f>(('参数'!$K$5*(((Q520*(1+'参数'!$B$39*P520))^2/((Q520*(1+'参数'!$B$39*P520))+'参数'!$B$22*(I520)))*(1+'参数'!$B$42*P520)/'参数'!$J$5+((Q520*'参数'!$B$43*(1+'参数'!$B$39*P520))^2/((Q520*'参数'!$B$43*(1+'参数'!$B$39*P520))+'参数'!$B$22*(I520)))/'参数'!$B$44))+(((R520*(1+'参数'!$B$39*P520))^2/((R520*(1+'参数'!$B$39*P520))+'参数'!$B$22*(I520)))*(1+'参数'!$B$42*P520)/'参数'!$J$6+((R520*'参数'!$B$45*(1+'参数'!$B$39*P520))^2/((R520*'参数'!$B$45*(1+'参数'!$B$39*P520))+'参数'!$B$22*(I520)))/'参数'!$B$46)+((S520*(1+'参数'!$B$39*P520))^2/((S520*(1+'参数'!$B$39*P520))+'参数'!$B$22*(I520)))*(1+'参数'!$B$42*P520)/'参数'!$J$7)*(1+'参数'!$B$37*('参数'!$B$38-1))*'参数'!$B$25</x:f>
        <x:v>72276.65152942482</x:v>
      </x:c>
      <x:c r="W520" s="18" t="n">
        <x:f>(('参数'!$K$5*(((Q520*(1+'参数'!$B$39*P520))^2/((Q520*(1+'参数'!$B$39*P520))+'参数'!$B$22*(M520)))*(1+'参数'!$B$42*P520)/'参数'!$J$5+((Q520*'参数'!$B$43*(1+'参数'!$B$39*P520))^2/((Q520*'参数'!$B$43*(1+'参数'!$B$39*P520))+'参数'!$B$22*(M520)))/'参数'!$B$44))+(((R520*(1+'参数'!$B$39*P520))^2/((R520*(1+'参数'!$B$39*P520))+'参数'!$B$22*(M520)))*(1+'参数'!$B$42*P520)/'参数'!$J$6+((R520*'参数'!$B$45*(1+'参数'!$B$39*P520))^2/((R520*'参数'!$B$45*(1+'参数'!$B$39*P520))+'参数'!$B$22*(M520)))/'参数'!$B$46)+((S520*(1+'参数'!$B$39*P520))^2/((S520*(1+'参数'!$B$39*P520))+'参数'!$B$22*(M520)))*(1+'参数'!$B$42*P520)/'参数'!$J$7)*(1+'参数'!$B$37*('参数'!$B$38-1))</x:f>
        <x:v>55684.2511674383</x:v>
      </x:c>
      <x:c r="X520" s="25" t="n">
        <x:f>('参数'!$B$26+'参数'!$B$27*(D520-1)/99)*'参数'!$K$30*AD520</x:f>
        <x:v>30.034285714285716</x:v>
      </x:c>
      <x:c r="Y520" s="25" t="n">
        <x:f>('参数'!$B$28+'参数'!$B$29*(D520-1)/99)*'参数'!$K$30*AD520*IF(AE520=1,'参数'!$B$51,1)</x:f>
        <x:v>83.42857142857143</x:v>
      </x:c>
      <x:c r="Z520" s="21" t="n">
        <x:f>MIN('参数'!$B$36,U520/(U520+'参数'!$B$35))</x:f>
        <x:v>0.6261416482848315</x:v>
      </x:c>
      <x:c r="AA520" s="18" t="n">
        <x:f>T520*'参数'!$B$30/('参数'!$B$32*'参数'!$B$33)/(1-Z520)*AC520</x:f>
        <x:v>10957.482011121583</x:v>
      </x:c>
      <x:c r="AB520" s="18" t="n">
        <x:f>T520*'参数'!$B$31/'参数'!$B$34/(1-Z520)*AC520</x:f>
        <x:v>21914.964022243166</x:v>
      </x:c>
      <x:c r="AC520" s="15" t="n">
        <x:f>'参数'!$L$30*(1+'参数'!$B$53*(B520-1)/119)</x:f>
        <x:v>1.380857142857143</x:v>
      </x:c>
      <x:c r="AD520" s="15" t="n">
        <x:f>1+'参数'!$B$52*(B520-1)/119</x:f>
        <x:v>1.042857142857143</x:v>
      </x:c>
      <x:c r="AE520" s="18" t="n">
        <x:f>IF(MOD(B520,12)=0,1,0)</x:f>
        <x:v>0</x:v>
      </x:c>
    </x:row>
    <x:row r="521" ht="22" customHeight="1">
      <x:c r="A521" s="19" t="str">
        <x:v>折磨</x:v>
      </x:c>
      <x:c r="B521" s="19" t="n">
        <x:v>36</x:v>
      </x:c>
      <x:c r="C521" s="19" t="n">
        <x:f>ROUNDUP(B521/12,0)</x:f>
        <x:v>3</x:v>
      </x:c>
      <x:c r="D521" s="19" t="n">
        <x:f>ROUND(MAX('参数'!$G$30,E521)+(IF(C521&lt;10,INDEX('参数'!$G$38:$P$38,1,MIN(10,C521+1)),'参数'!$H$30)-MAX('参数'!$G$30,E521))*MOD(B521-1,12)/11,0)</x:f>
        <x:v>100</x:v>
      </x:c>
      <x:c r="E521" s="19" t="n">
        <x:f>INDEX('参数'!$G$38:$P$38,1,C521)</x:f>
        <x:v>100</x:v>
      </x:c>
      <x:c r="F521" s="20" t="n">
        <x:f>'参数'!$I$30</x:f>
        <x:v>1.43</x:v>
      </x:c>
      <x:c r="G521" s="19" t="n">
        <x:f>ROUND(V521*X521/'参数'!$B$56,0)</x:f>
        <x:v>472479</x:v>
      </x:c>
      <x:c r="H521" s="19" t="n">
        <x:f>ROUND((AA521+SQRT(AA521^2+4*AA521*'参数'!$B$22*U521))/2,0)</x:f>
        <x:v>16522</x:v>
      </x:c>
      <x:c r="I521" s="19" t="n">
        <x:f>ROUND(Q521*'参数'!$B$23/'参数'!$B$22,0)</x:f>
        <x:v>2126</x:v>
      </x:c>
      <x:c r="J521" s="19" t="n">
        <x:f>ROUND(G521*'参数'!$B$50,0)</x:f>
        <x:v>1417437</x:v>
      </x:c>
      <x:c r="K521" s="19" t="n">
        <x:f>ROUND(W521*Y521,0)</x:f>
        <x:v>5348964</x:v>
      </x:c>
      <x:c r="L521" s="19" t="n">
        <x:f>ROUND((AB521+SQRT(AB521^2+4*AB521*'参数'!$B$22*U521))/2,0)</x:f>
        <x:v>28396</x:v>
      </x:c>
      <x:c r="M521" s="19" t="n">
        <x:f>ROUND(I521*'参数'!$B$24,0)</x:f>
        <x:v>2658</x:v>
      </x:c>
      <x:c r="N521" s="19" t="n">
        <x:f>'参数'!$B$9*'参数'!$B$10^(D521-1)</x:f>
        <x:v>11195.319600498813</x:v>
      </x:c>
      <x:c r="O521" s="19" t="n">
        <x:f>'参数'!$B$18*'参数'!$B$19^(MIN(E521,MAX(1,5*INT(D521/5)))-1)*F521*'参数'!$J$30*P521</x:f>
        <x:v>2103.552925769118</x:v>
      </x:c>
      <x:c r="P521" s="22" t="n">
        <x:f>MIN(1,(D521-1)/19)</x:f>
        <x:v>1</x:v>
      </x:c>
      <x:c r="Q521" s="19" t="n">
        <x:f>INDEX('角色成长'!$F$6:$F$105,D521)+O521*'参数'!$K$21</x:f>
        <x:v>10629.125838441985</x:v>
      </x:c>
      <x:c r="R521" s="19" t="n">
        <x:f>INDEX('角色成长'!$I$6:$I$105,D521)+O521*'参数'!$K$21</x:f>
        <x:v>9331.125838441985</x:v>
      </x:c>
      <x:c r="S521" s="19" t="n">
        <x:f>INDEX('角色成长'!$L$6:$L$105,D521)+O521*'参数'!$K$21</x:f>
        <x:v>8590.125838441985</x:v>
      </x:c>
      <x:c r="T521" s="19" t="n">
        <x:f>(INDEX('角色成长'!$J$6:$J$105,D521)+O521*'参数'!$L$21)*(1+'参数'!$B$40*P521)</x:f>
        <x:v>118666.76244728187</x:v>
      </x:c>
      <x:c r="U521" s="19" t="n">
        <x:f>(INDEX('角色成长'!$K$6:$K$105,D521)+O521*'参数'!$M$21)*(1+'参数'!$B$41*P521)</x:f>
        <x:v>6699.239382105553</x:v>
      </x:c>
      <x:c r="V521" s="19" t="n">
        <x:f>(('参数'!$K$5*(((Q521*(1+'参数'!$B$39*P521))^2/((Q521*(1+'参数'!$B$39*P521))+'参数'!$B$22*(I521)))*(1+'参数'!$B$42*P521)/'参数'!$J$5+((Q521*'参数'!$B$43*(1+'参数'!$B$39*P521))^2/((Q521*'参数'!$B$43*(1+'参数'!$B$39*P521))+'参数'!$B$22*(I521)))/'参数'!$B$44))+(((R521*(1+'参数'!$B$39*P521))^2/((R521*(1+'参数'!$B$39*P521))+'参数'!$B$22*(I521)))*(1+'参数'!$B$42*P521)/'参数'!$J$6+((R521*'参数'!$B$45*(1+'参数'!$B$39*P521))^2/((R521*'参数'!$B$45*(1+'参数'!$B$39*P521))+'参数'!$B$22*(I521)))/'参数'!$B$46)+((S521*(1+'参数'!$B$39*P521))^2/((S521*(1+'参数'!$B$39*P521))+'参数'!$B$22*(I521)))*(1+'参数'!$B$42*P521)/'参数'!$J$7)*(1+'参数'!$B$37*('参数'!$B$38-1))*'参数'!$B$25</x:f>
        <x:v>72276.65152942482</x:v>
      </x:c>
      <x:c r="W521" s="19" t="n">
        <x:f>(('参数'!$K$5*(((Q521*(1+'参数'!$B$39*P521))^2/((Q521*(1+'参数'!$B$39*P521))+'参数'!$B$22*(M521)))*(1+'参数'!$B$42*P521)/'参数'!$J$5+((Q521*'参数'!$B$43*(1+'参数'!$B$39*P521))^2/((Q521*'参数'!$B$43*(1+'参数'!$B$39*P521))+'参数'!$B$22*(M521)))/'参数'!$B$44))+(((R521*(1+'参数'!$B$39*P521))^2/((R521*(1+'参数'!$B$39*P521))+'参数'!$B$22*(M521)))*(1+'参数'!$B$42*P521)/'参数'!$J$6+((R521*'参数'!$B$45*(1+'参数'!$B$39*P521))^2/((R521*'参数'!$B$45*(1+'参数'!$B$39*P521))+'参数'!$B$22*(M521)))/'参数'!$B$46)+((S521*(1+'参数'!$B$39*P521))^2/((S521*(1+'参数'!$B$39*P521))+'参数'!$B$22*(M521)))*(1+'参数'!$B$42*P521)/'参数'!$J$7)*(1+'参数'!$B$37*('参数'!$B$38-1))</x:f>
        <x:v>55684.2511674383</x:v>
      </x:c>
      <x:c r="X521" s="26" t="n">
        <x:f>('参数'!$B$26+'参数'!$B$27*(D521-1)/99)*'参数'!$K$30*AD521</x:f>
        <x:v>30.07058823529412</x:v>
      </x:c>
      <x:c r="Y521" s="26" t="n">
        <x:f>('参数'!$B$28+'参数'!$B$29*(D521-1)/99)*'参数'!$K$30*AD521*IF(AE521=1,'参数'!$B$51,1)</x:f>
        <x:v>96.05882352941175</x:v>
      </x:c>
      <x:c r="Z521" s="22" t="n">
        <x:f>MIN('参数'!$B$36,U521/(U521+'参数'!$B$35))</x:f>
        <x:v>0.6261416482848315</x:v>
      </x:c>
      <x:c r="AA521" s="19" t="n">
        <x:f>T521*'参数'!$B$30/('参数'!$B$32*'参数'!$B$33)/(1-Z521)*AC521</x:f>
        <x:v>10964.683773863035</x:v>
      </x:c>
      <x:c r="AB521" s="19" t="n">
        <x:f>T521*'参数'!$B$31/'参数'!$B$34/(1-Z521)*AC521</x:f>
        <x:v>21929.36754772607</x:v>
      </x:c>
      <x:c r="AC521" s="20" t="n">
        <x:f>'参数'!$L$30*(1+'参数'!$B$53*(B521-1)/119)</x:f>
        <x:v>1.381764705882353</x:v>
      </x:c>
      <x:c r="AD521" s="20" t="n">
        <x:f>1+'参数'!$B$52*(B521-1)/119</x:f>
        <x:v>1.0441176470588236</x:v>
      </x:c>
      <x:c r="AE521" s="19" t="n">
        <x:f>IF(MOD(B521,12)=0,1,0)</x:f>
        <x:v>1</x:v>
      </x:c>
    </x:row>
    <x:row r="522" ht="22" customHeight="1">
      <x:c r="A522" s="18" t="str">
        <x:v>折磨</x:v>
      </x:c>
      <x:c r="B522" s="18" t="n">
        <x:v>37</x:v>
      </x:c>
      <x:c r="C522" s="18" t="n">
        <x:f>ROUNDUP(B522/12,0)</x:f>
        <x:v>4</x:v>
      </x:c>
      <x:c r="D522" s="18" t="n">
        <x:f>ROUND(MAX('参数'!$G$30,E522)+(IF(C522&lt;10,INDEX('参数'!$G$38:$P$38,1,MIN(10,C522+1)),'参数'!$H$30)-MAX('参数'!$G$30,E522))*MOD(B522-1,12)/11,0)</x:f>
        <x:v>100</x:v>
      </x:c>
      <x:c r="E522" s="18" t="n">
        <x:f>INDEX('参数'!$G$38:$P$38,1,C522)</x:f>
        <x:v>100</x:v>
      </x:c>
      <x:c r="F522" s="15" t="n">
        <x:f>'参数'!$I$30</x:f>
        <x:v>1.43</x:v>
      </x:c>
      <x:c r="G522" s="18" t="n">
        <x:f>ROUND(V522*X522/'参数'!$B$56,0)</x:f>
        <x:v>473049</x:v>
      </x:c>
      <x:c r="H522" s="18" t="n">
        <x:f>ROUND((AA522+SQRT(AA522^2+4*AA522*'参数'!$B$22*U522))/2,0)</x:f>
        <x:v>16530</x:v>
      </x:c>
      <x:c r="I522" s="18" t="n">
        <x:f>ROUND(Q522*'参数'!$B$23/'参数'!$B$22,0)</x:f>
        <x:v>2126</x:v>
      </x:c>
      <x:c r="J522" s="18" t="n">
        <x:f>ROUND(G522*'参数'!$B$50,0)</x:f>
        <x:v>1419147</x:v>
      </x:c>
      <x:c r="K522" s="18" t="n">
        <x:f>ROUND(W522*Y522,0)</x:f>
        <x:v>4656888</x:v>
      </x:c>
      <x:c r="L522" s="18" t="n">
        <x:f>ROUND((AB522+SQRT(AB522^2+4*AB522*'参数'!$B$22*U522))/2,0)</x:f>
        <x:v>28412</x:v>
      </x:c>
      <x:c r="M522" s="18" t="n">
        <x:f>ROUND(I522*'参数'!$B$24,0)</x:f>
        <x:v>2658</x:v>
      </x:c>
      <x:c r="N522" s="18" t="n">
        <x:f>'参数'!$B$9*'参数'!$B$10^(D522-1)</x:f>
        <x:v>11195.319600498813</x:v>
      </x:c>
      <x:c r="O522" s="18" t="n">
        <x:f>'参数'!$B$18*'参数'!$B$19^(MIN(E522,MAX(1,5*INT(D522/5)))-1)*F522*'参数'!$J$30*P522</x:f>
        <x:v>2103.552925769118</x:v>
      </x:c>
      <x:c r="P522" s="21" t="n">
        <x:f>MIN(1,(D522-1)/19)</x:f>
        <x:v>1</x:v>
      </x:c>
      <x:c r="Q522" s="18" t="n">
        <x:f>INDEX('角色成长'!$F$6:$F$105,D522)+O522*'参数'!$K$21</x:f>
        <x:v>10629.125838441985</x:v>
      </x:c>
      <x:c r="R522" s="18" t="n">
        <x:f>INDEX('角色成长'!$I$6:$I$105,D522)+O522*'参数'!$K$21</x:f>
        <x:v>9331.125838441985</x:v>
      </x:c>
      <x:c r="S522" s="18" t="n">
        <x:f>INDEX('角色成长'!$L$6:$L$105,D522)+O522*'参数'!$K$21</x:f>
        <x:v>8590.125838441985</x:v>
      </x:c>
      <x:c r="T522" s="18" t="n">
        <x:f>(INDEX('角色成长'!$J$6:$J$105,D522)+O522*'参数'!$L$21)*(1+'参数'!$B$40*P522)</x:f>
        <x:v>118666.76244728187</x:v>
      </x:c>
      <x:c r="U522" s="18" t="n">
        <x:f>(INDEX('角色成长'!$K$6:$K$105,D522)+O522*'参数'!$M$21)*(1+'参数'!$B$41*P522)</x:f>
        <x:v>6699.239382105553</x:v>
      </x:c>
      <x:c r="V522" s="18" t="n">
        <x:f>(('参数'!$K$5*(((Q522*(1+'参数'!$B$39*P522))^2/((Q522*(1+'参数'!$B$39*P522))+'参数'!$B$22*(I522)))*(1+'参数'!$B$42*P522)/'参数'!$J$5+((Q522*'参数'!$B$43*(1+'参数'!$B$39*P522))^2/((Q522*'参数'!$B$43*(1+'参数'!$B$39*P522))+'参数'!$B$22*(I522)))/'参数'!$B$44))+(((R522*(1+'参数'!$B$39*P522))^2/((R522*(1+'参数'!$B$39*P522))+'参数'!$B$22*(I522)))*(1+'参数'!$B$42*P522)/'参数'!$J$6+((R522*'参数'!$B$45*(1+'参数'!$B$39*P522))^2/((R522*'参数'!$B$45*(1+'参数'!$B$39*P522))+'参数'!$B$22*(I522)))/'参数'!$B$46)+((S522*(1+'参数'!$B$39*P522))^2/((S522*(1+'参数'!$B$39*P522))+'参数'!$B$22*(I522)))*(1+'参数'!$B$42*P522)/'参数'!$J$7)*(1+'参数'!$B$37*('参数'!$B$38-1))*'参数'!$B$25</x:f>
        <x:v>72276.65152942482</x:v>
      </x:c>
      <x:c r="W522" s="18" t="n">
        <x:f>(('参数'!$K$5*(((Q522*(1+'参数'!$B$39*P522))^2/((Q522*(1+'参数'!$B$39*P522))+'参数'!$B$22*(M522)))*(1+'参数'!$B$42*P522)/'参数'!$J$5+((Q522*'参数'!$B$43*(1+'参数'!$B$39*P522))^2/((Q522*'参数'!$B$43*(1+'参数'!$B$39*P522))+'参数'!$B$22*(M522)))/'参数'!$B$44))+(((R522*(1+'参数'!$B$39*P522))^2/((R522*(1+'参数'!$B$39*P522))+'参数'!$B$22*(M522)))*(1+'参数'!$B$42*P522)/'参数'!$J$6+((R522*'参数'!$B$45*(1+'参数'!$B$39*P522))^2/((R522*'参数'!$B$45*(1+'参数'!$B$39*P522))+'参数'!$B$22*(M522)))/'参数'!$B$46)+((S522*(1+'参数'!$B$39*P522))^2/((S522*(1+'参数'!$B$39*P522))+'参数'!$B$22*(M522)))*(1+'参数'!$B$42*P522)/'参数'!$J$7)*(1+'参数'!$B$37*('参数'!$B$38-1))</x:f>
        <x:v>55684.2511674383</x:v>
      </x:c>
      <x:c r="X522" s="25" t="n">
        <x:f>('参数'!$B$26+'参数'!$B$27*(D522-1)/99)*'参数'!$K$30*AD522</x:f>
        <x:v>30.106890756302523</x:v>
      </x:c>
      <x:c r="Y522" s="25" t="n">
        <x:f>('参数'!$B$28+'参数'!$B$29*(D522-1)/99)*'参数'!$K$30*AD522*IF(AE522=1,'参数'!$B$51,1)</x:f>
        <x:v>83.63025210084034</x:v>
      </x:c>
      <x:c r="Z522" s="21" t="n">
        <x:f>MIN('参数'!$B$36,U522/(U522+'参数'!$B$35))</x:f>
        <x:v>0.6261416482848315</x:v>
      </x:c>
      <x:c r="AA522" s="18" t="n">
        <x:f>T522*'参数'!$B$30/('参数'!$B$32*'参数'!$B$33)/(1-Z522)*AC522</x:f>
        <x:v>10971.88553660449</x:v>
      </x:c>
      <x:c r="AB522" s="18" t="n">
        <x:f>T522*'参数'!$B$31/'参数'!$B$34/(1-Z522)*AC522</x:f>
        <x:v>21943.77107320898</x:v>
      </x:c>
      <x:c r="AC522" s="15" t="n">
        <x:f>'参数'!$L$30*(1+'参数'!$B$53*(B522-1)/119)</x:f>
        <x:v>1.3826722689075632</x:v>
      </x:c>
      <x:c r="AD522" s="15" t="n">
        <x:f>1+'参数'!$B$52*(B522-1)/119</x:f>
        <x:v>1.0453781512605043</x:v>
      </x:c>
      <x:c r="AE522" s="18" t="n">
        <x:f>IF(MOD(B522,12)=0,1,0)</x:f>
        <x:v>0</x:v>
      </x:c>
    </x:row>
    <x:row r="523" ht="22" customHeight="1">
      <x:c r="A523" s="19" t="str">
        <x:v>折磨</x:v>
      </x:c>
      <x:c r="B523" s="19" t="n">
        <x:v>38</x:v>
      </x:c>
      <x:c r="C523" s="19" t="n">
        <x:f>ROUNDUP(B523/12,0)</x:f>
        <x:v>4</x:v>
      </x:c>
      <x:c r="D523" s="19" t="n">
        <x:f>ROUND(MAX('参数'!$G$30,E523)+(IF(C523&lt;10,INDEX('参数'!$G$38:$P$38,1,MIN(10,C523+1)),'参数'!$H$30)-MAX('参数'!$G$30,E523))*MOD(B523-1,12)/11,0)</x:f>
        <x:v>100</x:v>
      </x:c>
      <x:c r="E523" s="19" t="n">
        <x:f>INDEX('参数'!$G$38:$P$38,1,C523)</x:f>
        <x:v>100</x:v>
      </x:c>
      <x:c r="F523" s="20" t="n">
        <x:f>'参数'!$I$30</x:f>
        <x:v>1.43</x:v>
      </x:c>
      <x:c r="G523" s="19" t="n">
        <x:f>ROUND(V523*X523/'参数'!$B$56,0)</x:f>
        <x:v>473619</x:v>
      </x:c>
      <x:c r="H523" s="19" t="n">
        <x:f>ROUND((AA523+SQRT(AA523^2+4*AA523*'参数'!$B$22*U523))/2,0)</x:f>
        <x:v>16538</x:v>
      </x:c>
      <x:c r="I523" s="19" t="n">
        <x:f>ROUND(Q523*'参数'!$B$23/'参数'!$B$22,0)</x:f>
        <x:v>2126</x:v>
      </x:c>
      <x:c r="J523" s="19" t="n">
        <x:f>ROUND(G523*'参数'!$B$50,0)</x:f>
        <x:v>1420857</x:v>
      </x:c>
      <x:c r="K523" s="19" t="n">
        <x:f>ROUND(W523*Y523,0)</x:f>
        <x:v>4662503</x:v>
      </x:c>
      <x:c r="L523" s="19" t="n">
        <x:f>ROUND((AB523+SQRT(AB523^2+4*AB523*'参数'!$B$22*U523))/2,0)</x:f>
        <x:v>28427</x:v>
      </x:c>
      <x:c r="M523" s="19" t="n">
        <x:f>ROUND(I523*'参数'!$B$24,0)</x:f>
        <x:v>2658</x:v>
      </x:c>
      <x:c r="N523" s="19" t="n">
        <x:f>'参数'!$B$9*'参数'!$B$10^(D523-1)</x:f>
        <x:v>11195.319600498813</x:v>
      </x:c>
      <x:c r="O523" s="19" t="n">
        <x:f>'参数'!$B$18*'参数'!$B$19^(MIN(E523,MAX(1,5*INT(D523/5)))-1)*F523*'参数'!$J$30*P523</x:f>
        <x:v>2103.552925769118</x:v>
      </x:c>
      <x:c r="P523" s="22" t="n">
        <x:f>MIN(1,(D523-1)/19)</x:f>
        <x:v>1</x:v>
      </x:c>
      <x:c r="Q523" s="19" t="n">
        <x:f>INDEX('角色成长'!$F$6:$F$105,D523)+O523*'参数'!$K$21</x:f>
        <x:v>10629.125838441985</x:v>
      </x:c>
      <x:c r="R523" s="19" t="n">
        <x:f>INDEX('角色成长'!$I$6:$I$105,D523)+O523*'参数'!$K$21</x:f>
        <x:v>9331.125838441985</x:v>
      </x:c>
      <x:c r="S523" s="19" t="n">
        <x:f>INDEX('角色成长'!$L$6:$L$105,D523)+O523*'参数'!$K$21</x:f>
        <x:v>8590.125838441985</x:v>
      </x:c>
      <x:c r="T523" s="19" t="n">
        <x:f>(INDEX('角色成长'!$J$6:$J$105,D523)+O523*'参数'!$L$21)*(1+'参数'!$B$40*P523)</x:f>
        <x:v>118666.76244728187</x:v>
      </x:c>
      <x:c r="U523" s="19" t="n">
        <x:f>(INDEX('角色成长'!$K$6:$K$105,D523)+O523*'参数'!$M$21)*(1+'参数'!$B$41*P523)</x:f>
        <x:v>6699.239382105553</x:v>
      </x:c>
      <x:c r="V523" s="19" t="n">
        <x:f>(('参数'!$K$5*(((Q523*(1+'参数'!$B$39*P523))^2/((Q523*(1+'参数'!$B$39*P523))+'参数'!$B$22*(I523)))*(1+'参数'!$B$42*P523)/'参数'!$J$5+((Q523*'参数'!$B$43*(1+'参数'!$B$39*P523))^2/((Q523*'参数'!$B$43*(1+'参数'!$B$39*P523))+'参数'!$B$22*(I523)))/'参数'!$B$44))+(((R523*(1+'参数'!$B$39*P523))^2/((R523*(1+'参数'!$B$39*P523))+'参数'!$B$22*(I523)))*(1+'参数'!$B$42*P523)/'参数'!$J$6+((R523*'参数'!$B$45*(1+'参数'!$B$39*P523))^2/((R523*'参数'!$B$45*(1+'参数'!$B$39*P523))+'参数'!$B$22*(I523)))/'参数'!$B$46)+((S523*(1+'参数'!$B$39*P523))^2/((S523*(1+'参数'!$B$39*P523))+'参数'!$B$22*(I523)))*(1+'参数'!$B$42*P523)/'参数'!$J$7)*(1+'参数'!$B$37*('参数'!$B$38-1))*'参数'!$B$25</x:f>
        <x:v>72276.65152942482</x:v>
      </x:c>
      <x:c r="W523" s="19" t="n">
        <x:f>(('参数'!$K$5*(((Q523*(1+'参数'!$B$39*P523))^2/((Q523*(1+'参数'!$B$39*P523))+'参数'!$B$22*(M523)))*(1+'参数'!$B$42*P523)/'参数'!$J$5+((Q523*'参数'!$B$43*(1+'参数'!$B$39*P523))^2/((Q523*'参数'!$B$43*(1+'参数'!$B$39*P523))+'参数'!$B$22*(M523)))/'参数'!$B$44))+(((R523*(1+'参数'!$B$39*P523))^2/((R523*(1+'参数'!$B$39*P523))+'参数'!$B$22*(M523)))*(1+'参数'!$B$42*P523)/'参数'!$J$6+((R523*'参数'!$B$45*(1+'参数'!$B$39*P523))^2/((R523*'参数'!$B$45*(1+'参数'!$B$39*P523))+'参数'!$B$22*(M523)))/'参数'!$B$46)+((S523*(1+'参数'!$B$39*P523))^2/((S523*(1+'参数'!$B$39*P523))+'参数'!$B$22*(M523)))*(1+'参数'!$B$42*P523)/'参数'!$J$7)*(1+'参数'!$B$37*('参数'!$B$38-1))</x:f>
        <x:v>55684.2511674383</x:v>
      </x:c>
      <x:c r="X523" s="26" t="n">
        <x:f>('参数'!$B$26+'参数'!$B$27*(D523-1)/99)*'参数'!$K$30*AD523</x:f>
        <x:v>30.143193277310928</x:v>
      </x:c>
      <x:c r="Y523" s="26" t="n">
        <x:f>('参数'!$B$28+'参数'!$B$29*(D523-1)/99)*'参数'!$K$30*AD523*IF(AE523=1,'参数'!$B$51,1)</x:f>
        <x:v>83.73109243697479</x:v>
      </x:c>
      <x:c r="Z523" s="22" t="n">
        <x:f>MIN('参数'!$B$36,U523/(U523+'参数'!$B$35))</x:f>
        <x:v>0.6261416482848315</x:v>
      </x:c>
      <x:c r="AA523" s="19" t="n">
        <x:f>T523*'参数'!$B$30/('参数'!$B$32*'参数'!$B$33)/(1-Z523)*AC523</x:f>
        <x:v>10979.087299345943</x:v>
      </x:c>
      <x:c r="AB523" s="19" t="n">
        <x:f>T523*'参数'!$B$31/'参数'!$B$34/(1-Z523)*AC523</x:f>
        <x:v>21958.174598691887</x:v>
      </x:c>
      <x:c r="AC523" s="20" t="n">
        <x:f>'参数'!$L$30*(1+'参数'!$B$53*(B523-1)/119)</x:f>
        <x:v>1.3835798319327732</x:v>
      </x:c>
      <x:c r="AD523" s="20" t="n">
        <x:f>1+'参数'!$B$52*(B523-1)/119</x:f>
        <x:v>1.046638655462185</x:v>
      </x:c>
      <x:c r="AE523" s="19" t="n">
        <x:f>IF(MOD(B523,12)=0,1,0)</x:f>
        <x:v>0</x:v>
      </x:c>
    </x:row>
    <x:row r="524" ht="22" customHeight="1">
      <x:c r="A524" s="18" t="str">
        <x:v>折磨</x:v>
      </x:c>
      <x:c r="B524" s="18" t="n">
        <x:v>39</x:v>
      </x:c>
      <x:c r="C524" s="18" t="n">
        <x:f>ROUNDUP(B524/12,0)</x:f>
        <x:v>4</x:v>
      </x:c>
      <x:c r="D524" s="18" t="n">
        <x:f>ROUND(MAX('参数'!$G$30,E524)+(IF(C524&lt;10,INDEX('参数'!$G$38:$P$38,1,MIN(10,C524+1)),'参数'!$H$30)-MAX('参数'!$G$30,E524))*MOD(B524-1,12)/11,0)</x:f>
        <x:v>100</x:v>
      </x:c>
      <x:c r="E524" s="18" t="n">
        <x:f>INDEX('参数'!$G$38:$P$38,1,C524)</x:f>
        <x:v>100</x:v>
      </x:c>
      <x:c r="F524" s="15" t="n">
        <x:f>'参数'!$I$30</x:f>
        <x:v>1.43</x:v>
      </x:c>
      <x:c r="G524" s="18" t="n">
        <x:f>ROUND(V524*X524/'参数'!$B$56,0)</x:f>
        <x:v>474190</x:v>
      </x:c>
      <x:c r="H524" s="18" t="n">
        <x:f>ROUND((AA524+SQRT(AA524^2+4*AA524*'参数'!$B$22*U524))/2,0)</x:f>
        <x:v>16546</x:v>
      </x:c>
      <x:c r="I524" s="18" t="n">
        <x:f>ROUND(Q524*'参数'!$B$23/'参数'!$B$22,0)</x:f>
        <x:v>2126</x:v>
      </x:c>
      <x:c r="J524" s="18" t="n">
        <x:f>ROUND(G524*'参数'!$B$50,0)</x:f>
        <x:v>1422570</x:v>
      </x:c>
      <x:c r="K524" s="18" t="n">
        <x:f>ROUND(W524*Y524,0)</x:f>
        <x:v>4668118</x:v>
      </x:c>
      <x:c r="L524" s="18" t="n">
        <x:f>ROUND((AB524+SQRT(AB524^2+4*AB524*'参数'!$B$22*U524))/2,0)</x:f>
        <x:v>28442</x:v>
      </x:c>
      <x:c r="M524" s="18" t="n">
        <x:f>ROUND(I524*'参数'!$B$24,0)</x:f>
        <x:v>2658</x:v>
      </x:c>
      <x:c r="N524" s="18" t="n">
        <x:f>'参数'!$B$9*'参数'!$B$10^(D524-1)</x:f>
        <x:v>11195.319600498813</x:v>
      </x:c>
      <x:c r="O524" s="18" t="n">
        <x:f>'参数'!$B$18*'参数'!$B$19^(MIN(E524,MAX(1,5*INT(D524/5)))-1)*F524*'参数'!$J$30*P524</x:f>
        <x:v>2103.552925769118</x:v>
      </x:c>
      <x:c r="P524" s="21" t="n">
        <x:f>MIN(1,(D524-1)/19)</x:f>
        <x:v>1</x:v>
      </x:c>
      <x:c r="Q524" s="18" t="n">
        <x:f>INDEX('角色成长'!$F$6:$F$105,D524)+O524*'参数'!$K$21</x:f>
        <x:v>10629.125838441985</x:v>
      </x:c>
      <x:c r="R524" s="18" t="n">
        <x:f>INDEX('角色成长'!$I$6:$I$105,D524)+O524*'参数'!$K$21</x:f>
        <x:v>9331.125838441985</x:v>
      </x:c>
      <x:c r="S524" s="18" t="n">
        <x:f>INDEX('角色成长'!$L$6:$L$105,D524)+O524*'参数'!$K$21</x:f>
        <x:v>8590.125838441985</x:v>
      </x:c>
      <x:c r="T524" s="18" t="n">
        <x:f>(INDEX('角色成长'!$J$6:$J$105,D524)+O524*'参数'!$L$21)*(1+'参数'!$B$40*P524)</x:f>
        <x:v>118666.76244728187</x:v>
      </x:c>
      <x:c r="U524" s="18" t="n">
        <x:f>(INDEX('角色成长'!$K$6:$K$105,D524)+O524*'参数'!$M$21)*(1+'参数'!$B$41*P524)</x:f>
        <x:v>6699.239382105553</x:v>
      </x:c>
      <x:c r="V524" s="18" t="n">
        <x:f>(('参数'!$K$5*(((Q524*(1+'参数'!$B$39*P524))^2/((Q524*(1+'参数'!$B$39*P524))+'参数'!$B$22*(I524)))*(1+'参数'!$B$42*P524)/'参数'!$J$5+((Q524*'参数'!$B$43*(1+'参数'!$B$39*P524))^2/((Q524*'参数'!$B$43*(1+'参数'!$B$39*P524))+'参数'!$B$22*(I524)))/'参数'!$B$44))+(((R524*(1+'参数'!$B$39*P524))^2/((R524*(1+'参数'!$B$39*P524))+'参数'!$B$22*(I524)))*(1+'参数'!$B$42*P524)/'参数'!$J$6+((R524*'参数'!$B$45*(1+'参数'!$B$39*P524))^2/((R524*'参数'!$B$45*(1+'参数'!$B$39*P524))+'参数'!$B$22*(I524)))/'参数'!$B$46)+((S524*(1+'参数'!$B$39*P524))^2/((S524*(1+'参数'!$B$39*P524))+'参数'!$B$22*(I524)))*(1+'参数'!$B$42*P524)/'参数'!$J$7)*(1+'参数'!$B$37*('参数'!$B$38-1))*'参数'!$B$25</x:f>
        <x:v>72276.65152942482</x:v>
      </x:c>
      <x:c r="W524" s="18" t="n">
        <x:f>(('参数'!$K$5*(((Q524*(1+'参数'!$B$39*P524))^2/((Q524*(1+'参数'!$B$39*P524))+'参数'!$B$22*(M524)))*(1+'参数'!$B$42*P524)/'参数'!$J$5+((Q524*'参数'!$B$43*(1+'参数'!$B$39*P524))^2/((Q524*'参数'!$B$43*(1+'参数'!$B$39*P524))+'参数'!$B$22*(M524)))/'参数'!$B$44))+(((R524*(1+'参数'!$B$39*P524))^2/((R524*(1+'参数'!$B$39*P524))+'参数'!$B$22*(M524)))*(1+'参数'!$B$42*P524)/'参数'!$J$6+((R524*'参数'!$B$45*(1+'参数'!$B$39*P524))^2/((R524*'参数'!$B$45*(1+'参数'!$B$39*P524))+'参数'!$B$22*(M524)))/'参数'!$B$46)+((S524*(1+'参数'!$B$39*P524))^2/((S524*(1+'参数'!$B$39*P524))+'参数'!$B$22*(M524)))*(1+'参数'!$B$42*P524)/'参数'!$J$7)*(1+'参数'!$B$37*('参数'!$B$38-1))</x:f>
        <x:v>55684.2511674383</x:v>
      </x:c>
      <x:c r="X524" s="25" t="n">
        <x:f>('参数'!$B$26+'参数'!$B$27*(D524-1)/99)*'参数'!$K$30*AD524</x:f>
        <x:v>30.17949579831933</x:v>
      </x:c>
      <x:c r="Y524" s="25" t="n">
        <x:f>('参数'!$B$28+'参数'!$B$29*(D524-1)/99)*'参数'!$K$30*AD524*IF(AE524=1,'参数'!$B$51,1)</x:f>
        <x:v>83.83193277310924</x:v>
      </x:c>
      <x:c r="Z524" s="21" t="n">
        <x:f>MIN('参数'!$B$36,U524/(U524+'参数'!$B$35))</x:f>
        <x:v>0.6261416482848315</x:v>
      </x:c>
      <x:c r="AA524" s="18" t="n">
        <x:f>T524*'参数'!$B$30/('参数'!$B$32*'参数'!$B$33)/(1-Z524)*AC524</x:f>
        <x:v>10986.289062087395</x:v>
      </x:c>
      <x:c r="AB524" s="18" t="n">
        <x:f>T524*'参数'!$B$31/'参数'!$B$34/(1-Z524)*AC524</x:f>
        <x:v>21972.57812417479</x:v>
      </x:c>
      <x:c r="AC524" s="15" t="n">
        <x:f>'参数'!$L$30*(1+'参数'!$B$53*(B524-1)/119)</x:f>
        <x:v>1.3844873949579832</x:v>
      </x:c>
      <x:c r="AD524" s="15" t="n">
        <x:f>1+'参数'!$B$52*(B524-1)/119</x:f>
        <x:v>1.0478991596638656</x:v>
      </x:c>
      <x:c r="AE524" s="18" t="n">
        <x:f>IF(MOD(B524,12)=0,1,0)</x:f>
        <x:v>0</x:v>
      </x:c>
    </x:row>
    <x:row r="525" ht="22" customHeight="1">
      <x:c r="A525" s="19" t="str">
        <x:v>折磨</x:v>
      </x:c>
      <x:c r="B525" s="19" t="n">
        <x:v>40</x:v>
      </x:c>
      <x:c r="C525" s="19" t="n">
        <x:f>ROUNDUP(B525/12,0)</x:f>
        <x:v>4</x:v>
      </x:c>
      <x:c r="D525" s="19" t="n">
        <x:f>ROUND(MAX('参数'!$G$30,E525)+(IF(C525&lt;10,INDEX('参数'!$G$38:$P$38,1,MIN(10,C525+1)),'参数'!$H$30)-MAX('参数'!$G$30,E525))*MOD(B525-1,12)/11,0)</x:f>
        <x:v>100</x:v>
      </x:c>
      <x:c r="E525" s="19" t="n">
        <x:f>INDEX('参数'!$G$38:$P$38,1,C525)</x:f>
        <x:v>100</x:v>
      </x:c>
      <x:c r="F525" s="20" t="n">
        <x:f>'参数'!$I$30</x:f>
        <x:v>1.43</x:v>
      </x:c>
      <x:c r="G525" s="19" t="n">
        <x:f>ROUND(V525*X525/'参数'!$B$56,0)</x:f>
        <x:v>474760</x:v>
      </x:c>
      <x:c r="H525" s="19" t="n">
        <x:f>ROUND((AA525+SQRT(AA525^2+4*AA525*'参数'!$B$22*U525))/2,0)</x:f>
        <x:v>16555</x:v>
      </x:c>
      <x:c r="I525" s="19" t="n">
        <x:f>ROUND(Q525*'参数'!$B$23/'参数'!$B$22,0)</x:f>
        <x:v>2126</x:v>
      </x:c>
      <x:c r="J525" s="19" t="n">
        <x:f>ROUND(G525*'参数'!$B$50,0)</x:f>
        <x:v>1424280</x:v>
      </x:c>
      <x:c r="K525" s="19" t="n">
        <x:f>ROUND(W525*Y525,0)</x:f>
        <x:v>4673734</x:v>
      </x:c>
      <x:c r="L525" s="19" t="n">
        <x:f>ROUND((AB525+SQRT(AB525^2+4*AB525*'参数'!$B$22*U525))/2,0)</x:f>
        <x:v>28457</x:v>
      </x:c>
      <x:c r="M525" s="19" t="n">
        <x:f>ROUND(I525*'参数'!$B$24,0)</x:f>
        <x:v>2658</x:v>
      </x:c>
      <x:c r="N525" s="19" t="n">
        <x:f>'参数'!$B$9*'参数'!$B$10^(D525-1)</x:f>
        <x:v>11195.319600498813</x:v>
      </x:c>
      <x:c r="O525" s="19" t="n">
        <x:f>'参数'!$B$18*'参数'!$B$19^(MIN(E525,MAX(1,5*INT(D525/5)))-1)*F525*'参数'!$J$30*P525</x:f>
        <x:v>2103.552925769118</x:v>
      </x:c>
      <x:c r="P525" s="22" t="n">
        <x:f>MIN(1,(D525-1)/19)</x:f>
        <x:v>1</x:v>
      </x:c>
      <x:c r="Q525" s="19" t="n">
        <x:f>INDEX('角色成长'!$F$6:$F$105,D525)+O525*'参数'!$K$21</x:f>
        <x:v>10629.125838441985</x:v>
      </x:c>
      <x:c r="R525" s="19" t="n">
        <x:f>INDEX('角色成长'!$I$6:$I$105,D525)+O525*'参数'!$K$21</x:f>
        <x:v>9331.125838441985</x:v>
      </x:c>
      <x:c r="S525" s="19" t="n">
        <x:f>INDEX('角色成长'!$L$6:$L$105,D525)+O525*'参数'!$K$21</x:f>
        <x:v>8590.125838441985</x:v>
      </x:c>
      <x:c r="T525" s="19" t="n">
        <x:f>(INDEX('角色成长'!$J$6:$J$105,D525)+O525*'参数'!$L$21)*(1+'参数'!$B$40*P525)</x:f>
        <x:v>118666.76244728187</x:v>
      </x:c>
      <x:c r="U525" s="19" t="n">
        <x:f>(INDEX('角色成长'!$K$6:$K$105,D525)+O525*'参数'!$M$21)*(1+'参数'!$B$41*P525)</x:f>
        <x:v>6699.239382105553</x:v>
      </x:c>
      <x:c r="V525" s="19" t="n">
        <x:f>(('参数'!$K$5*(((Q525*(1+'参数'!$B$39*P525))^2/((Q525*(1+'参数'!$B$39*P525))+'参数'!$B$22*(I525)))*(1+'参数'!$B$42*P525)/'参数'!$J$5+((Q525*'参数'!$B$43*(1+'参数'!$B$39*P525))^2/((Q525*'参数'!$B$43*(1+'参数'!$B$39*P525))+'参数'!$B$22*(I525)))/'参数'!$B$44))+(((R525*(1+'参数'!$B$39*P525))^2/((R525*(1+'参数'!$B$39*P525))+'参数'!$B$22*(I525)))*(1+'参数'!$B$42*P525)/'参数'!$J$6+((R525*'参数'!$B$45*(1+'参数'!$B$39*P525))^2/((R525*'参数'!$B$45*(1+'参数'!$B$39*P525))+'参数'!$B$22*(I525)))/'参数'!$B$46)+((S525*(1+'参数'!$B$39*P525))^2/((S525*(1+'参数'!$B$39*P525))+'参数'!$B$22*(I525)))*(1+'参数'!$B$42*P525)/'参数'!$J$7)*(1+'参数'!$B$37*('参数'!$B$38-1))*'参数'!$B$25</x:f>
        <x:v>72276.65152942482</x:v>
      </x:c>
      <x:c r="W525" s="19" t="n">
        <x:f>(('参数'!$K$5*(((Q525*(1+'参数'!$B$39*P525))^2/((Q525*(1+'参数'!$B$39*P525))+'参数'!$B$22*(M525)))*(1+'参数'!$B$42*P525)/'参数'!$J$5+((Q525*'参数'!$B$43*(1+'参数'!$B$39*P525))^2/((Q525*'参数'!$B$43*(1+'参数'!$B$39*P525))+'参数'!$B$22*(M525)))/'参数'!$B$44))+(((R525*(1+'参数'!$B$39*P525))^2/((R525*(1+'参数'!$B$39*P525))+'参数'!$B$22*(M525)))*(1+'参数'!$B$42*P525)/'参数'!$J$6+((R525*'参数'!$B$45*(1+'参数'!$B$39*P525))^2/((R525*'参数'!$B$45*(1+'参数'!$B$39*P525))+'参数'!$B$22*(M525)))/'参数'!$B$46)+((S525*(1+'参数'!$B$39*P525))^2/((S525*(1+'参数'!$B$39*P525))+'参数'!$B$22*(M525)))*(1+'参数'!$B$42*P525)/'参数'!$J$7)*(1+'参数'!$B$37*('参数'!$B$38-1))</x:f>
        <x:v>55684.2511674383</x:v>
      </x:c>
      <x:c r="X525" s="26" t="n">
        <x:f>('参数'!$B$26+'参数'!$B$27*(D525-1)/99)*'参数'!$K$30*AD525</x:f>
        <x:v>30.21579831932773</x:v>
      </x:c>
      <x:c r="Y525" s="26" t="n">
        <x:f>('参数'!$B$28+'参数'!$B$29*(D525-1)/99)*'参数'!$K$30*AD525*IF(AE525=1,'参数'!$B$51,1)</x:f>
        <x:v>83.9327731092437</x:v>
      </x:c>
      <x:c r="Z525" s="22" t="n">
        <x:f>MIN('参数'!$B$36,U525/(U525+'参数'!$B$35))</x:f>
        <x:v>0.6261416482848315</x:v>
      </x:c>
      <x:c r="AA525" s="19" t="n">
        <x:f>T525*'参数'!$B$30/('参数'!$B$32*'参数'!$B$33)/(1-Z525)*AC525</x:f>
        <x:v>10993.49082482885</x:v>
      </x:c>
      <x:c r="AB525" s="19" t="n">
        <x:f>T525*'参数'!$B$31/'参数'!$B$34/(1-Z525)*AC525</x:f>
        <x:v>21986.9816496577</x:v>
      </x:c>
      <x:c r="AC525" s="20" t="n">
        <x:f>'参数'!$L$30*(1+'参数'!$B$53*(B525-1)/119)</x:f>
        <x:v>1.3853949579831935</x:v>
      </x:c>
      <x:c r="AD525" s="20" t="n">
        <x:f>1+'参数'!$B$52*(B525-1)/119</x:f>
        <x:v>1.0491596638655463</x:v>
      </x:c>
      <x:c r="AE525" s="19" t="n">
        <x:f>IF(MOD(B525,12)=0,1,0)</x:f>
        <x:v>0</x:v>
      </x:c>
    </x:row>
    <x:row r="526" ht="22" customHeight="1">
      <x:c r="A526" s="18" t="str">
        <x:v>折磨</x:v>
      </x:c>
      <x:c r="B526" s="18" t="n">
        <x:v>41</x:v>
      </x:c>
      <x:c r="C526" s="18" t="n">
        <x:f>ROUNDUP(B526/12,0)</x:f>
        <x:v>4</x:v>
      </x:c>
      <x:c r="D526" s="18" t="n">
        <x:f>ROUND(MAX('参数'!$G$30,E526)+(IF(C526&lt;10,INDEX('参数'!$G$38:$P$38,1,MIN(10,C526+1)),'参数'!$H$30)-MAX('参数'!$G$30,E526))*MOD(B526-1,12)/11,0)</x:f>
        <x:v>100</x:v>
      </x:c>
      <x:c r="E526" s="18" t="n">
        <x:f>INDEX('参数'!$G$38:$P$38,1,C526)</x:f>
        <x:v>100</x:v>
      </x:c>
      <x:c r="F526" s="15" t="n">
        <x:f>'参数'!$I$30</x:f>
        <x:v>1.43</x:v>
      </x:c>
      <x:c r="G526" s="18" t="n">
        <x:f>ROUND(V526*X526/'参数'!$B$56,0)</x:f>
        <x:v>475331</x:v>
      </x:c>
      <x:c r="H526" s="18" t="n">
        <x:f>ROUND((AA526+SQRT(AA526^2+4*AA526*'参数'!$B$22*U526))/2,0)</x:f>
        <x:v>16563</x:v>
      </x:c>
      <x:c r="I526" s="18" t="n">
        <x:f>ROUND(Q526*'参数'!$B$23/'参数'!$B$22,0)</x:f>
        <x:v>2126</x:v>
      </x:c>
      <x:c r="J526" s="18" t="n">
        <x:f>ROUND(G526*'参数'!$B$50,0)</x:f>
        <x:v>1425993</x:v>
      </x:c>
      <x:c r="K526" s="18" t="n">
        <x:f>ROUND(W526*Y526,0)</x:f>
        <x:v>4679349</x:v>
      </x:c>
      <x:c r="L526" s="18" t="n">
        <x:f>ROUND((AB526+SQRT(AB526^2+4*AB526*'参数'!$B$22*U526))/2,0)</x:f>
        <x:v>28472</x:v>
      </x:c>
      <x:c r="M526" s="18" t="n">
        <x:f>ROUND(I526*'参数'!$B$24,0)</x:f>
        <x:v>2658</x:v>
      </x:c>
      <x:c r="N526" s="18" t="n">
        <x:f>'参数'!$B$9*'参数'!$B$10^(D526-1)</x:f>
        <x:v>11195.319600498813</x:v>
      </x:c>
      <x:c r="O526" s="18" t="n">
        <x:f>'参数'!$B$18*'参数'!$B$19^(MIN(E526,MAX(1,5*INT(D526/5)))-1)*F526*'参数'!$J$30*P526</x:f>
        <x:v>2103.552925769118</x:v>
      </x:c>
      <x:c r="P526" s="21" t="n">
        <x:f>MIN(1,(D526-1)/19)</x:f>
        <x:v>1</x:v>
      </x:c>
      <x:c r="Q526" s="18" t="n">
        <x:f>INDEX('角色成长'!$F$6:$F$105,D526)+O526*'参数'!$K$21</x:f>
        <x:v>10629.125838441985</x:v>
      </x:c>
      <x:c r="R526" s="18" t="n">
        <x:f>INDEX('角色成长'!$I$6:$I$105,D526)+O526*'参数'!$K$21</x:f>
        <x:v>9331.125838441985</x:v>
      </x:c>
      <x:c r="S526" s="18" t="n">
        <x:f>INDEX('角色成长'!$L$6:$L$105,D526)+O526*'参数'!$K$21</x:f>
        <x:v>8590.125838441985</x:v>
      </x:c>
      <x:c r="T526" s="18" t="n">
        <x:f>(INDEX('角色成长'!$J$6:$J$105,D526)+O526*'参数'!$L$21)*(1+'参数'!$B$40*P526)</x:f>
        <x:v>118666.76244728187</x:v>
      </x:c>
      <x:c r="U526" s="18" t="n">
        <x:f>(INDEX('角色成长'!$K$6:$K$105,D526)+O526*'参数'!$M$21)*(1+'参数'!$B$41*P526)</x:f>
        <x:v>6699.239382105553</x:v>
      </x:c>
      <x:c r="V526" s="18" t="n">
        <x:f>(('参数'!$K$5*(((Q526*(1+'参数'!$B$39*P526))^2/((Q526*(1+'参数'!$B$39*P526))+'参数'!$B$22*(I526)))*(1+'参数'!$B$42*P526)/'参数'!$J$5+((Q526*'参数'!$B$43*(1+'参数'!$B$39*P526))^2/((Q526*'参数'!$B$43*(1+'参数'!$B$39*P526))+'参数'!$B$22*(I526)))/'参数'!$B$44))+(((R526*(1+'参数'!$B$39*P526))^2/((R526*(1+'参数'!$B$39*P526))+'参数'!$B$22*(I526)))*(1+'参数'!$B$42*P526)/'参数'!$J$6+((R526*'参数'!$B$45*(1+'参数'!$B$39*P526))^2/((R526*'参数'!$B$45*(1+'参数'!$B$39*P526))+'参数'!$B$22*(I526)))/'参数'!$B$46)+((S526*(1+'参数'!$B$39*P526))^2/((S526*(1+'参数'!$B$39*P526))+'参数'!$B$22*(I526)))*(1+'参数'!$B$42*P526)/'参数'!$J$7)*(1+'参数'!$B$37*('参数'!$B$38-1))*'参数'!$B$25</x:f>
        <x:v>72276.65152942482</x:v>
      </x:c>
      <x:c r="W526" s="18" t="n">
        <x:f>(('参数'!$K$5*(((Q526*(1+'参数'!$B$39*P526))^2/((Q526*(1+'参数'!$B$39*P526))+'参数'!$B$22*(M526)))*(1+'参数'!$B$42*P526)/'参数'!$J$5+((Q526*'参数'!$B$43*(1+'参数'!$B$39*P526))^2/((Q526*'参数'!$B$43*(1+'参数'!$B$39*P526))+'参数'!$B$22*(M526)))/'参数'!$B$44))+(((R526*(1+'参数'!$B$39*P526))^2/((R526*(1+'参数'!$B$39*P526))+'参数'!$B$22*(M526)))*(1+'参数'!$B$42*P526)/'参数'!$J$6+((R526*'参数'!$B$45*(1+'参数'!$B$39*P526))^2/((R526*'参数'!$B$45*(1+'参数'!$B$39*P526))+'参数'!$B$22*(M526)))/'参数'!$B$46)+((S526*(1+'参数'!$B$39*P526))^2/((S526*(1+'参数'!$B$39*P526))+'参数'!$B$22*(M526)))*(1+'参数'!$B$42*P526)/'参数'!$J$7)*(1+'参数'!$B$37*('参数'!$B$38-1))</x:f>
        <x:v>55684.2511674383</x:v>
      </x:c>
      <x:c r="X526" s="25" t="n">
        <x:f>('参数'!$B$26+'参数'!$B$27*(D526-1)/99)*'参数'!$K$30*AD526</x:f>
        <x:v>30.252100840336137</x:v>
      </x:c>
      <x:c r="Y526" s="25" t="n">
        <x:f>('参数'!$B$28+'参数'!$B$29*(D526-1)/99)*'参数'!$K$30*AD526*IF(AE526=1,'参数'!$B$51,1)</x:f>
        <x:v>84.03361344537815</x:v>
      </x:c>
      <x:c r="Z526" s="21" t="n">
        <x:f>MIN('参数'!$B$36,U526/(U526+'参数'!$B$35))</x:f>
        <x:v>0.6261416482848315</x:v>
      </x:c>
      <x:c r="AA526" s="18" t="n">
        <x:f>T526*'参数'!$B$30/('参数'!$B$32*'参数'!$B$33)/(1-Z526)*AC526</x:f>
        <x:v>11000.692587570302</x:v>
      </x:c>
      <x:c r="AB526" s="18" t="n">
        <x:f>T526*'参数'!$B$31/'参数'!$B$34/(1-Z526)*AC526</x:f>
        <x:v>22001.385175140604</x:v>
      </x:c>
      <x:c r="AC526" s="15" t="n">
        <x:f>'参数'!$L$30*(1+'参数'!$B$53*(B526-1)/119)</x:f>
        <x:v>1.3863025210084032</x:v>
      </x:c>
      <x:c r="AD526" s="15" t="n">
        <x:f>1+'参数'!$B$52*(B526-1)/119</x:f>
        <x:v>1.050420168067227</x:v>
      </x:c>
      <x:c r="AE526" s="18" t="n">
        <x:f>IF(MOD(B526,12)=0,1,0)</x:f>
        <x:v>0</x:v>
      </x:c>
    </x:row>
    <x:row r="527" ht="22" customHeight="1">
      <x:c r="A527" s="19" t="str">
        <x:v>折磨</x:v>
      </x:c>
      <x:c r="B527" s="19" t="n">
        <x:v>42</x:v>
      </x:c>
      <x:c r="C527" s="19" t="n">
        <x:f>ROUNDUP(B527/12,0)</x:f>
        <x:v>4</x:v>
      </x:c>
      <x:c r="D527" s="19" t="n">
        <x:f>ROUND(MAX('参数'!$G$30,E527)+(IF(C527&lt;10,INDEX('参数'!$G$38:$P$38,1,MIN(10,C527+1)),'参数'!$H$30)-MAX('参数'!$G$30,E527))*MOD(B527-1,12)/11,0)</x:f>
        <x:v>100</x:v>
      </x:c>
      <x:c r="E527" s="19" t="n">
        <x:f>INDEX('参数'!$G$38:$P$38,1,C527)</x:f>
        <x:v>100</x:v>
      </x:c>
      <x:c r="F527" s="20" t="n">
        <x:f>'参数'!$I$30</x:f>
        <x:v>1.43</x:v>
      </x:c>
      <x:c r="G527" s="19" t="n">
        <x:f>ROUND(V527*X527/'参数'!$B$56,0)</x:f>
        <x:v>475901</x:v>
      </x:c>
      <x:c r="H527" s="19" t="n">
        <x:f>ROUND((AA527+SQRT(AA527^2+4*AA527*'参数'!$B$22*U527))/2,0)</x:f>
        <x:v>16571</x:v>
      </x:c>
      <x:c r="I527" s="19" t="n">
        <x:f>ROUND(Q527*'参数'!$B$23/'参数'!$B$22,0)</x:f>
        <x:v>2126</x:v>
      </x:c>
      <x:c r="J527" s="19" t="n">
        <x:f>ROUND(G527*'参数'!$B$50,0)</x:f>
        <x:v>1427703</x:v>
      </x:c>
      <x:c r="K527" s="19" t="n">
        <x:f>ROUND(W527*Y527,0)</x:f>
        <x:v>4684964</x:v>
      </x:c>
      <x:c r="L527" s="19" t="n">
        <x:f>ROUND((AB527+SQRT(AB527^2+4*AB527*'参数'!$B$22*U527))/2,0)</x:f>
        <x:v>28487</x:v>
      </x:c>
      <x:c r="M527" s="19" t="n">
        <x:f>ROUND(I527*'参数'!$B$24,0)</x:f>
        <x:v>2658</x:v>
      </x:c>
      <x:c r="N527" s="19" t="n">
        <x:f>'参数'!$B$9*'参数'!$B$10^(D527-1)</x:f>
        <x:v>11195.319600498813</x:v>
      </x:c>
      <x:c r="O527" s="19" t="n">
        <x:f>'参数'!$B$18*'参数'!$B$19^(MIN(E527,MAX(1,5*INT(D527/5)))-1)*F527*'参数'!$J$30*P527</x:f>
        <x:v>2103.552925769118</x:v>
      </x:c>
      <x:c r="P527" s="22" t="n">
        <x:f>MIN(1,(D527-1)/19)</x:f>
        <x:v>1</x:v>
      </x:c>
      <x:c r="Q527" s="19" t="n">
        <x:f>INDEX('角色成长'!$F$6:$F$105,D527)+O527*'参数'!$K$21</x:f>
        <x:v>10629.125838441985</x:v>
      </x:c>
      <x:c r="R527" s="19" t="n">
        <x:f>INDEX('角色成长'!$I$6:$I$105,D527)+O527*'参数'!$K$21</x:f>
        <x:v>9331.125838441985</x:v>
      </x:c>
      <x:c r="S527" s="19" t="n">
        <x:f>INDEX('角色成长'!$L$6:$L$105,D527)+O527*'参数'!$K$21</x:f>
        <x:v>8590.125838441985</x:v>
      </x:c>
      <x:c r="T527" s="19" t="n">
        <x:f>(INDEX('角色成长'!$J$6:$J$105,D527)+O527*'参数'!$L$21)*(1+'参数'!$B$40*P527)</x:f>
        <x:v>118666.76244728187</x:v>
      </x:c>
      <x:c r="U527" s="19" t="n">
        <x:f>(INDEX('角色成长'!$K$6:$K$105,D527)+O527*'参数'!$M$21)*(1+'参数'!$B$41*P527)</x:f>
        <x:v>6699.239382105553</x:v>
      </x:c>
      <x:c r="V527" s="19" t="n">
        <x:f>(('参数'!$K$5*(((Q527*(1+'参数'!$B$39*P527))^2/((Q527*(1+'参数'!$B$39*P527))+'参数'!$B$22*(I527)))*(1+'参数'!$B$42*P527)/'参数'!$J$5+((Q527*'参数'!$B$43*(1+'参数'!$B$39*P527))^2/((Q527*'参数'!$B$43*(1+'参数'!$B$39*P527))+'参数'!$B$22*(I527)))/'参数'!$B$44))+(((R527*(1+'参数'!$B$39*P527))^2/((R527*(1+'参数'!$B$39*P527))+'参数'!$B$22*(I527)))*(1+'参数'!$B$42*P527)/'参数'!$J$6+((R527*'参数'!$B$45*(1+'参数'!$B$39*P527))^2/((R527*'参数'!$B$45*(1+'参数'!$B$39*P527))+'参数'!$B$22*(I527)))/'参数'!$B$46)+((S527*(1+'参数'!$B$39*P527))^2/((S527*(1+'参数'!$B$39*P527))+'参数'!$B$22*(I527)))*(1+'参数'!$B$42*P527)/'参数'!$J$7)*(1+'参数'!$B$37*('参数'!$B$38-1))*'参数'!$B$25</x:f>
        <x:v>72276.65152942482</x:v>
      </x:c>
      <x:c r="W527" s="19" t="n">
        <x:f>(('参数'!$K$5*(((Q527*(1+'参数'!$B$39*P527))^2/((Q527*(1+'参数'!$B$39*P527))+'参数'!$B$22*(M527)))*(1+'参数'!$B$42*P527)/'参数'!$J$5+((Q527*'参数'!$B$43*(1+'参数'!$B$39*P527))^2/((Q527*'参数'!$B$43*(1+'参数'!$B$39*P527))+'参数'!$B$22*(M527)))/'参数'!$B$44))+(((R527*(1+'参数'!$B$39*P527))^2/((R527*(1+'参数'!$B$39*P527))+'参数'!$B$22*(M527)))*(1+'参数'!$B$42*P527)/'参数'!$J$6+((R527*'参数'!$B$45*(1+'参数'!$B$39*P527))^2/((R527*'参数'!$B$45*(1+'参数'!$B$39*P527))+'参数'!$B$22*(M527)))/'参数'!$B$46)+((S527*(1+'参数'!$B$39*P527))^2/((S527*(1+'参数'!$B$39*P527))+'参数'!$B$22*(M527)))*(1+'参数'!$B$42*P527)/'参数'!$J$7)*(1+'参数'!$B$37*('参数'!$B$38-1))</x:f>
        <x:v>55684.2511674383</x:v>
      </x:c>
      <x:c r="X527" s="26" t="n">
        <x:f>('参数'!$B$26+'参数'!$B$27*(D527-1)/99)*'参数'!$K$30*AD527</x:f>
        <x:v>30.28840336134454</x:v>
      </x:c>
      <x:c r="Y527" s="26" t="n">
        <x:f>('参数'!$B$28+'参数'!$B$29*(D527-1)/99)*'参数'!$K$30*AD527*IF(AE527=1,'参数'!$B$51,1)</x:f>
        <x:v>84.1344537815126</x:v>
      </x:c>
      <x:c r="Z527" s="22" t="n">
        <x:f>MIN('参数'!$B$36,U527/(U527+'参数'!$B$35))</x:f>
        <x:v>0.6261416482848315</x:v>
      </x:c>
      <x:c r="AA527" s="19" t="n">
        <x:f>T527*'参数'!$B$30/('参数'!$B$32*'参数'!$B$33)/(1-Z527)*AC527</x:f>
        <x:v>11007.894350311757</x:v>
      </x:c>
      <x:c r="AB527" s="19" t="n">
        <x:f>T527*'参数'!$B$31/'参数'!$B$34/(1-Z527)*AC527</x:f>
        <x:v>22015.788700623514</x:v>
      </x:c>
      <x:c r="AC527" s="20" t="n">
        <x:f>'参数'!$L$30*(1+'参数'!$B$53*(B527-1)/119)</x:f>
        <x:v>1.3872100840336135</x:v>
      </x:c>
      <x:c r="AD527" s="20" t="n">
        <x:f>1+'参数'!$B$52*(B527-1)/119</x:f>
        <x:v>1.0516806722689076</x:v>
      </x:c>
      <x:c r="AE527" s="19" t="n">
        <x:f>IF(MOD(B527,12)=0,1,0)</x:f>
        <x:v>0</x:v>
      </x:c>
    </x:row>
    <x:row r="528" ht="22" customHeight="1">
      <x:c r="A528" s="18" t="str">
        <x:v>折磨</x:v>
      </x:c>
      <x:c r="B528" s="18" t="n">
        <x:v>43</x:v>
      </x:c>
      <x:c r="C528" s="18" t="n">
        <x:f>ROUNDUP(B528/12,0)</x:f>
        <x:v>4</x:v>
      </x:c>
      <x:c r="D528" s="18" t="n">
        <x:f>ROUND(MAX('参数'!$G$30,E528)+(IF(C528&lt;10,INDEX('参数'!$G$38:$P$38,1,MIN(10,C528+1)),'参数'!$H$30)-MAX('参数'!$G$30,E528))*MOD(B528-1,12)/11,0)</x:f>
        <x:v>100</x:v>
      </x:c>
      <x:c r="E528" s="18" t="n">
        <x:f>INDEX('参数'!$G$38:$P$38,1,C528)</x:f>
        <x:v>100</x:v>
      </x:c>
      <x:c r="F528" s="15" t="n">
        <x:f>'参数'!$I$30</x:f>
        <x:v>1.43</x:v>
      </x:c>
      <x:c r="G528" s="18" t="n">
        <x:f>ROUND(V528*X528/'参数'!$B$56,0)</x:f>
        <x:v>476471</x:v>
      </x:c>
      <x:c r="H528" s="18" t="n">
        <x:f>ROUND((AA528+SQRT(AA528^2+4*AA528*'参数'!$B$22*U528))/2,0)</x:f>
        <x:v>16579</x:v>
      </x:c>
      <x:c r="I528" s="18" t="n">
        <x:f>ROUND(Q528*'参数'!$B$23/'参数'!$B$22,0)</x:f>
        <x:v>2126</x:v>
      </x:c>
      <x:c r="J528" s="18" t="n">
        <x:f>ROUND(G528*'参数'!$B$50,0)</x:f>
        <x:v>1429413</x:v>
      </x:c>
      <x:c r="K528" s="18" t="n">
        <x:f>ROUND(W528*Y528,0)</x:f>
        <x:v>4690579</x:v>
      </x:c>
      <x:c r="L528" s="18" t="n">
        <x:f>ROUND((AB528+SQRT(AB528^2+4*AB528*'参数'!$B$22*U528))/2,0)</x:f>
        <x:v>28503</x:v>
      </x:c>
      <x:c r="M528" s="18" t="n">
        <x:f>ROUND(I528*'参数'!$B$24,0)</x:f>
        <x:v>2658</x:v>
      </x:c>
      <x:c r="N528" s="18" t="n">
        <x:f>'参数'!$B$9*'参数'!$B$10^(D528-1)</x:f>
        <x:v>11195.319600498813</x:v>
      </x:c>
      <x:c r="O528" s="18" t="n">
        <x:f>'参数'!$B$18*'参数'!$B$19^(MIN(E528,MAX(1,5*INT(D528/5)))-1)*F528*'参数'!$J$30*P528</x:f>
        <x:v>2103.552925769118</x:v>
      </x:c>
      <x:c r="P528" s="21" t="n">
        <x:f>MIN(1,(D528-1)/19)</x:f>
        <x:v>1</x:v>
      </x:c>
      <x:c r="Q528" s="18" t="n">
        <x:f>INDEX('角色成长'!$F$6:$F$105,D528)+O528*'参数'!$K$21</x:f>
        <x:v>10629.125838441985</x:v>
      </x:c>
      <x:c r="R528" s="18" t="n">
        <x:f>INDEX('角色成长'!$I$6:$I$105,D528)+O528*'参数'!$K$21</x:f>
        <x:v>9331.125838441985</x:v>
      </x:c>
      <x:c r="S528" s="18" t="n">
        <x:f>INDEX('角色成长'!$L$6:$L$105,D528)+O528*'参数'!$K$21</x:f>
        <x:v>8590.125838441985</x:v>
      </x:c>
      <x:c r="T528" s="18" t="n">
        <x:f>(INDEX('角色成长'!$J$6:$J$105,D528)+O528*'参数'!$L$21)*(1+'参数'!$B$40*P528)</x:f>
        <x:v>118666.76244728187</x:v>
      </x:c>
      <x:c r="U528" s="18" t="n">
        <x:f>(INDEX('角色成长'!$K$6:$K$105,D528)+O528*'参数'!$M$21)*(1+'参数'!$B$41*P528)</x:f>
        <x:v>6699.239382105553</x:v>
      </x:c>
      <x:c r="V528" s="18" t="n">
        <x:f>(('参数'!$K$5*(((Q528*(1+'参数'!$B$39*P528))^2/((Q528*(1+'参数'!$B$39*P528))+'参数'!$B$22*(I528)))*(1+'参数'!$B$42*P528)/'参数'!$J$5+((Q528*'参数'!$B$43*(1+'参数'!$B$39*P528))^2/((Q528*'参数'!$B$43*(1+'参数'!$B$39*P528))+'参数'!$B$22*(I528)))/'参数'!$B$44))+(((R528*(1+'参数'!$B$39*P528))^2/((R528*(1+'参数'!$B$39*P528))+'参数'!$B$22*(I528)))*(1+'参数'!$B$42*P528)/'参数'!$J$6+((R528*'参数'!$B$45*(1+'参数'!$B$39*P528))^2/((R528*'参数'!$B$45*(1+'参数'!$B$39*P528))+'参数'!$B$22*(I528)))/'参数'!$B$46)+((S528*(1+'参数'!$B$39*P528))^2/((S528*(1+'参数'!$B$39*P528))+'参数'!$B$22*(I528)))*(1+'参数'!$B$42*P528)/'参数'!$J$7)*(1+'参数'!$B$37*('参数'!$B$38-1))*'参数'!$B$25</x:f>
        <x:v>72276.65152942482</x:v>
      </x:c>
      <x:c r="W528" s="18" t="n">
        <x:f>(('参数'!$K$5*(((Q528*(1+'参数'!$B$39*P528))^2/((Q528*(1+'参数'!$B$39*P528))+'参数'!$B$22*(M528)))*(1+'参数'!$B$42*P528)/'参数'!$J$5+((Q528*'参数'!$B$43*(1+'参数'!$B$39*P528))^2/((Q528*'参数'!$B$43*(1+'参数'!$B$39*P528))+'参数'!$B$22*(M528)))/'参数'!$B$44))+(((R528*(1+'参数'!$B$39*P528))^2/((R528*(1+'参数'!$B$39*P528))+'参数'!$B$22*(M528)))*(1+'参数'!$B$42*P528)/'参数'!$J$6+((R528*'参数'!$B$45*(1+'参数'!$B$39*P528))^2/((R528*'参数'!$B$45*(1+'参数'!$B$39*P528))+'参数'!$B$22*(M528)))/'参数'!$B$46)+((S528*(1+'参数'!$B$39*P528))^2/((S528*(1+'参数'!$B$39*P528))+'参数'!$B$22*(M528)))*(1+'参数'!$B$42*P528)/'参数'!$J$7)*(1+'参数'!$B$37*('参数'!$B$38-1))</x:f>
        <x:v>55684.2511674383</x:v>
      </x:c>
      <x:c r="X528" s="25" t="n">
        <x:f>('参数'!$B$26+'参数'!$B$27*(D528-1)/99)*'参数'!$K$30*AD528</x:f>
        <x:v>30.324705882352944</x:v>
      </x:c>
      <x:c r="Y528" s="25" t="n">
        <x:f>('参数'!$B$28+'参数'!$B$29*(D528-1)/99)*'参数'!$K$30*AD528*IF(AE528=1,'参数'!$B$51,1)</x:f>
        <x:v>84.23529411764706</x:v>
      </x:c>
      <x:c r="Z528" s="21" t="n">
        <x:f>MIN('参数'!$B$36,U528/(U528+'参数'!$B$35))</x:f>
        <x:v>0.6261416482848315</x:v>
      </x:c>
      <x:c r="AA528" s="18" t="n">
        <x:f>T528*'参数'!$B$30/('参数'!$B$32*'参数'!$B$33)/(1-Z528)*AC528</x:f>
        <x:v>11015.09611305321</x:v>
      </x:c>
      <x:c r="AB528" s="18" t="n">
        <x:f>T528*'参数'!$B$31/'参数'!$B$34/(1-Z528)*AC528</x:f>
        <x:v>22030.19222610642</x:v>
      </x:c>
      <x:c r="AC528" s="15" t="n">
        <x:f>'参数'!$L$30*(1+'参数'!$B$53*(B528-1)/119)</x:f>
        <x:v>1.3881176470588237</x:v>
      </x:c>
      <x:c r="AD528" s="15" t="n">
        <x:f>1+'参数'!$B$52*(B528-1)/119</x:f>
        <x:v>1.0529411764705883</x:v>
      </x:c>
      <x:c r="AE528" s="18" t="n">
        <x:f>IF(MOD(B528,12)=0,1,0)</x:f>
        <x:v>0</x:v>
      </x:c>
    </x:row>
    <x:row r="529" ht="22" customHeight="1">
      <x:c r="A529" s="19" t="str">
        <x:v>折磨</x:v>
      </x:c>
      <x:c r="B529" s="19" t="n">
        <x:v>44</x:v>
      </x:c>
      <x:c r="C529" s="19" t="n">
        <x:f>ROUNDUP(B529/12,0)</x:f>
        <x:v>4</x:v>
      </x:c>
      <x:c r="D529" s="19" t="n">
        <x:f>ROUND(MAX('参数'!$G$30,E529)+(IF(C529&lt;10,INDEX('参数'!$G$38:$P$38,1,MIN(10,C529+1)),'参数'!$H$30)-MAX('参数'!$G$30,E529))*MOD(B529-1,12)/11,0)</x:f>
        <x:v>100</x:v>
      </x:c>
      <x:c r="E529" s="19" t="n">
        <x:f>INDEX('参数'!$G$38:$P$38,1,C529)</x:f>
        <x:v>100</x:v>
      </x:c>
      <x:c r="F529" s="20" t="n">
        <x:f>'参数'!$I$30</x:f>
        <x:v>1.43</x:v>
      </x:c>
      <x:c r="G529" s="19" t="n">
        <x:f>ROUND(V529*X529/'参数'!$B$56,0)</x:f>
        <x:v>477042</x:v>
      </x:c>
      <x:c r="H529" s="19" t="n">
        <x:f>ROUND((AA529+SQRT(AA529^2+4*AA529*'参数'!$B$22*U529))/2,0)</x:f>
        <x:v>16587</x:v>
      </x:c>
      <x:c r="I529" s="19" t="n">
        <x:f>ROUND(Q529*'参数'!$B$23/'参数'!$B$22,0)</x:f>
        <x:v>2126</x:v>
      </x:c>
      <x:c r="J529" s="19" t="n">
        <x:f>ROUND(G529*'参数'!$B$50,0)</x:f>
        <x:v>1431126</x:v>
      </x:c>
      <x:c r="K529" s="19" t="n">
        <x:f>ROUND(W529*Y529,0)</x:f>
        <x:v>4696194</x:v>
      </x:c>
      <x:c r="L529" s="19" t="n">
        <x:f>ROUND((AB529+SQRT(AB529^2+4*AB529*'参数'!$B$22*U529))/2,0)</x:f>
        <x:v>28518</x:v>
      </x:c>
      <x:c r="M529" s="19" t="n">
        <x:f>ROUND(I529*'参数'!$B$24,0)</x:f>
        <x:v>2658</x:v>
      </x:c>
      <x:c r="N529" s="19" t="n">
        <x:f>'参数'!$B$9*'参数'!$B$10^(D529-1)</x:f>
        <x:v>11195.319600498813</x:v>
      </x:c>
      <x:c r="O529" s="19" t="n">
        <x:f>'参数'!$B$18*'参数'!$B$19^(MIN(E529,MAX(1,5*INT(D529/5)))-1)*F529*'参数'!$J$30*P529</x:f>
        <x:v>2103.552925769118</x:v>
      </x:c>
      <x:c r="P529" s="22" t="n">
        <x:f>MIN(1,(D529-1)/19)</x:f>
        <x:v>1</x:v>
      </x:c>
      <x:c r="Q529" s="19" t="n">
        <x:f>INDEX('角色成长'!$F$6:$F$105,D529)+O529*'参数'!$K$21</x:f>
        <x:v>10629.125838441985</x:v>
      </x:c>
      <x:c r="R529" s="19" t="n">
        <x:f>INDEX('角色成长'!$I$6:$I$105,D529)+O529*'参数'!$K$21</x:f>
        <x:v>9331.125838441985</x:v>
      </x:c>
      <x:c r="S529" s="19" t="n">
        <x:f>INDEX('角色成长'!$L$6:$L$105,D529)+O529*'参数'!$K$21</x:f>
        <x:v>8590.125838441985</x:v>
      </x:c>
      <x:c r="T529" s="19" t="n">
        <x:f>(INDEX('角色成长'!$J$6:$J$105,D529)+O529*'参数'!$L$21)*(1+'参数'!$B$40*P529)</x:f>
        <x:v>118666.76244728187</x:v>
      </x:c>
      <x:c r="U529" s="19" t="n">
        <x:f>(INDEX('角色成长'!$K$6:$K$105,D529)+O529*'参数'!$M$21)*(1+'参数'!$B$41*P529)</x:f>
        <x:v>6699.239382105553</x:v>
      </x:c>
      <x:c r="V529" s="19" t="n">
        <x:f>(('参数'!$K$5*(((Q529*(1+'参数'!$B$39*P529))^2/((Q529*(1+'参数'!$B$39*P529))+'参数'!$B$22*(I529)))*(1+'参数'!$B$42*P529)/'参数'!$J$5+((Q529*'参数'!$B$43*(1+'参数'!$B$39*P529))^2/((Q529*'参数'!$B$43*(1+'参数'!$B$39*P529))+'参数'!$B$22*(I529)))/'参数'!$B$44))+(((R529*(1+'参数'!$B$39*P529))^2/((R529*(1+'参数'!$B$39*P529))+'参数'!$B$22*(I529)))*(1+'参数'!$B$42*P529)/'参数'!$J$6+((R529*'参数'!$B$45*(1+'参数'!$B$39*P529))^2/((R529*'参数'!$B$45*(1+'参数'!$B$39*P529))+'参数'!$B$22*(I529)))/'参数'!$B$46)+((S529*(1+'参数'!$B$39*P529))^2/((S529*(1+'参数'!$B$39*P529))+'参数'!$B$22*(I529)))*(1+'参数'!$B$42*P529)/'参数'!$J$7)*(1+'参数'!$B$37*('参数'!$B$38-1))*'参数'!$B$25</x:f>
        <x:v>72276.65152942482</x:v>
      </x:c>
      <x:c r="W529" s="19" t="n">
        <x:f>(('参数'!$K$5*(((Q529*(1+'参数'!$B$39*P529))^2/((Q529*(1+'参数'!$B$39*P529))+'参数'!$B$22*(M529)))*(1+'参数'!$B$42*P529)/'参数'!$J$5+((Q529*'参数'!$B$43*(1+'参数'!$B$39*P529))^2/((Q529*'参数'!$B$43*(1+'参数'!$B$39*P529))+'参数'!$B$22*(M529)))/'参数'!$B$44))+(((R529*(1+'参数'!$B$39*P529))^2/((R529*(1+'参数'!$B$39*P529))+'参数'!$B$22*(M529)))*(1+'参数'!$B$42*P529)/'参数'!$J$6+((R529*'参数'!$B$45*(1+'参数'!$B$39*P529))^2/((R529*'参数'!$B$45*(1+'参数'!$B$39*P529))+'参数'!$B$22*(M529)))/'参数'!$B$46)+((S529*(1+'参数'!$B$39*P529))^2/((S529*(1+'参数'!$B$39*P529))+'参数'!$B$22*(M529)))*(1+'参数'!$B$42*P529)/'参数'!$J$7)*(1+'参数'!$B$37*('参数'!$B$38-1))</x:f>
        <x:v>55684.2511674383</x:v>
      </x:c>
      <x:c r="X529" s="26" t="n">
        <x:f>('参数'!$B$26+'参数'!$B$27*(D529-1)/99)*'参数'!$K$30*AD529</x:f>
        <x:v>30.361008403361346</x:v>
      </x:c>
      <x:c r="Y529" s="26" t="n">
        <x:f>('参数'!$B$28+'参数'!$B$29*(D529-1)/99)*'参数'!$K$30*AD529*IF(AE529=1,'参数'!$B$51,1)</x:f>
        <x:v>84.33613445378151</x:v>
      </x:c>
      <x:c r="Z529" s="22" t="n">
        <x:f>MIN('参数'!$B$36,U529/(U529+'参数'!$B$35))</x:f>
        <x:v>0.6261416482848315</x:v>
      </x:c>
      <x:c r="AA529" s="19" t="n">
        <x:f>T529*'参数'!$B$30/('参数'!$B$32*'参数'!$B$33)/(1-Z529)*AC529</x:f>
        <x:v>11022.297875794664</x:v>
      </x:c>
      <x:c r="AB529" s="19" t="n">
        <x:f>T529*'参数'!$B$31/'参数'!$B$34/(1-Z529)*AC529</x:f>
        <x:v>22044.595751589328</x:v>
      </x:c>
      <x:c r="AC529" s="20" t="n">
        <x:f>'参数'!$L$30*(1+'参数'!$B$53*(B529-1)/119)</x:f>
        <x:v>1.3890252100840337</x:v>
      </x:c>
      <x:c r="AD529" s="20" t="n">
        <x:f>1+'参数'!$B$52*(B529-1)/119</x:f>
        <x:v>1.054201680672269</x:v>
      </x:c>
      <x:c r="AE529" s="19" t="n">
        <x:f>IF(MOD(B529,12)=0,1,0)</x:f>
        <x:v>0</x:v>
      </x:c>
    </x:row>
    <x:row r="530" ht="22" customHeight="1">
      <x:c r="A530" s="18" t="str">
        <x:v>折磨</x:v>
      </x:c>
      <x:c r="B530" s="18" t="n">
        <x:v>45</x:v>
      </x:c>
      <x:c r="C530" s="18" t="n">
        <x:f>ROUNDUP(B530/12,0)</x:f>
        <x:v>4</x:v>
      </x:c>
      <x:c r="D530" s="18" t="n">
        <x:f>ROUND(MAX('参数'!$G$30,E530)+(IF(C530&lt;10,INDEX('参数'!$G$38:$P$38,1,MIN(10,C530+1)),'参数'!$H$30)-MAX('参数'!$G$30,E530))*MOD(B530-1,12)/11,0)</x:f>
        <x:v>100</x:v>
      </x:c>
      <x:c r="E530" s="18" t="n">
        <x:f>INDEX('参数'!$G$38:$P$38,1,C530)</x:f>
        <x:v>100</x:v>
      </x:c>
      <x:c r="F530" s="15" t="n">
        <x:f>'参数'!$I$30</x:f>
        <x:v>1.43</x:v>
      </x:c>
      <x:c r="G530" s="18" t="n">
        <x:f>ROUND(V530*X530/'参数'!$B$56,0)</x:f>
        <x:v>477612</x:v>
      </x:c>
      <x:c r="H530" s="18" t="n">
        <x:f>ROUND((AA530+SQRT(AA530^2+4*AA530*'参数'!$B$22*U530))/2,0)</x:f>
        <x:v>16595</x:v>
      </x:c>
      <x:c r="I530" s="18" t="n">
        <x:f>ROUND(Q530*'参数'!$B$23/'参数'!$B$22,0)</x:f>
        <x:v>2126</x:v>
      </x:c>
      <x:c r="J530" s="18" t="n">
        <x:f>ROUND(G530*'参数'!$B$50,0)</x:f>
        <x:v>1432836</x:v>
      </x:c>
      <x:c r="K530" s="18" t="n">
        <x:f>ROUND(W530*Y530,0)</x:f>
        <x:v>4701810</x:v>
      </x:c>
      <x:c r="L530" s="18" t="n">
        <x:f>ROUND((AB530+SQRT(AB530^2+4*AB530*'参数'!$B$22*U530))/2,0)</x:f>
        <x:v>28533</x:v>
      </x:c>
      <x:c r="M530" s="18" t="n">
        <x:f>ROUND(I530*'参数'!$B$24,0)</x:f>
        <x:v>2658</x:v>
      </x:c>
      <x:c r="N530" s="18" t="n">
        <x:f>'参数'!$B$9*'参数'!$B$10^(D530-1)</x:f>
        <x:v>11195.319600498813</x:v>
      </x:c>
      <x:c r="O530" s="18" t="n">
        <x:f>'参数'!$B$18*'参数'!$B$19^(MIN(E530,MAX(1,5*INT(D530/5)))-1)*F530*'参数'!$J$30*P530</x:f>
        <x:v>2103.552925769118</x:v>
      </x:c>
      <x:c r="P530" s="21" t="n">
        <x:f>MIN(1,(D530-1)/19)</x:f>
        <x:v>1</x:v>
      </x:c>
      <x:c r="Q530" s="18" t="n">
        <x:f>INDEX('角色成长'!$F$6:$F$105,D530)+O530*'参数'!$K$21</x:f>
        <x:v>10629.125838441985</x:v>
      </x:c>
      <x:c r="R530" s="18" t="n">
        <x:f>INDEX('角色成长'!$I$6:$I$105,D530)+O530*'参数'!$K$21</x:f>
        <x:v>9331.125838441985</x:v>
      </x:c>
      <x:c r="S530" s="18" t="n">
        <x:f>INDEX('角色成长'!$L$6:$L$105,D530)+O530*'参数'!$K$21</x:f>
        <x:v>8590.125838441985</x:v>
      </x:c>
      <x:c r="T530" s="18" t="n">
        <x:f>(INDEX('角色成长'!$J$6:$J$105,D530)+O530*'参数'!$L$21)*(1+'参数'!$B$40*P530)</x:f>
        <x:v>118666.76244728187</x:v>
      </x:c>
      <x:c r="U530" s="18" t="n">
        <x:f>(INDEX('角色成长'!$K$6:$K$105,D530)+O530*'参数'!$M$21)*(1+'参数'!$B$41*P530)</x:f>
        <x:v>6699.239382105553</x:v>
      </x:c>
      <x:c r="V530" s="18" t="n">
        <x:f>(('参数'!$K$5*(((Q530*(1+'参数'!$B$39*P530))^2/((Q530*(1+'参数'!$B$39*P530))+'参数'!$B$22*(I530)))*(1+'参数'!$B$42*P530)/'参数'!$J$5+((Q530*'参数'!$B$43*(1+'参数'!$B$39*P530))^2/((Q530*'参数'!$B$43*(1+'参数'!$B$39*P530))+'参数'!$B$22*(I530)))/'参数'!$B$44))+(((R530*(1+'参数'!$B$39*P530))^2/((R530*(1+'参数'!$B$39*P530))+'参数'!$B$22*(I530)))*(1+'参数'!$B$42*P530)/'参数'!$J$6+((R530*'参数'!$B$45*(1+'参数'!$B$39*P530))^2/((R530*'参数'!$B$45*(1+'参数'!$B$39*P530))+'参数'!$B$22*(I530)))/'参数'!$B$46)+((S530*(1+'参数'!$B$39*P530))^2/((S530*(1+'参数'!$B$39*P530))+'参数'!$B$22*(I530)))*(1+'参数'!$B$42*P530)/'参数'!$J$7)*(1+'参数'!$B$37*('参数'!$B$38-1))*'参数'!$B$25</x:f>
        <x:v>72276.65152942482</x:v>
      </x:c>
      <x:c r="W530" s="18" t="n">
        <x:f>(('参数'!$K$5*(((Q530*(1+'参数'!$B$39*P530))^2/((Q530*(1+'参数'!$B$39*P530))+'参数'!$B$22*(M530)))*(1+'参数'!$B$42*P530)/'参数'!$J$5+((Q530*'参数'!$B$43*(1+'参数'!$B$39*P530))^2/((Q530*'参数'!$B$43*(1+'参数'!$B$39*P530))+'参数'!$B$22*(M530)))/'参数'!$B$44))+(((R530*(1+'参数'!$B$39*P530))^2/((R530*(1+'参数'!$B$39*P530))+'参数'!$B$22*(M530)))*(1+'参数'!$B$42*P530)/'参数'!$J$6+((R530*'参数'!$B$45*(1+'参数'!$B$39*P530))^2/((R530*'参数'!$B$45*(1+'参数'!$B$39*P530))+'参数'!$B$22*(M530)))/'参数'!$B$46)+((S530*(1+'参数'!$B$39*P530))^2/((S530*(1+'参数'!$B$39*P530))+'参数'!$B$22*(M530)))*(1+'参数'!$B$42*P530)/'参数'!$J$7)*(1+'参数'!$B$37*('参数'!$B$38-1))</x:f>
        <x:v>55684.2511674383</x:v>
      </x:c>
      <x:c r="X530" s="25" t="n">
        <x:f>('参数'!$B$26+'参数'!$B$27*(D530-1)/99)*'参数'!$K$30*AD530</x:f>
        <x:v>30.397310924369748</x:v>
      </x:c>
      <x:c r="Y530" s="25" t="n">
        <x:f>('参数'!$B$28+'参数'!$B$29*(D530-1)/99)*'参数'!$K$30*AD530*IF(AE530=1,'参数'!$B$51,1)</x:f>
        <x:v>84.43697478991596</x:v>
      </x:c>
      <x:c r="Z530" s="21" t="n">
        <x:f>MIN('参数'!$B$36,U530/(U530+'参数'!$B$35))</x:f>
        <x:v>0.6261416482848315</x:v>
      </x:c>
      <x:c r="AA530" s="18" t="n">
        <x:f>T530*'参数'!$B$30/('参数'!$B$32*'参数'!$B$33)/(1-Z530)*AC530</x:f>
        <x:v>11029.49963853612</x:v>
      </x:c>
      <x:c r="AB530" s="18" t="n">
        <x:f>T530*'参数'!$B$31/'参数'!$B$34/(1-Z530)*AC530</x:f>
        <x:v>22058.99927707224</x:v>
      </x:c>
      <x:c r="AC530" s="15" t="n">
        <x:f>'参数'!$L$30*(1+'参数'!$B$53*(B530-1)/119)</x:f>
        <x:v>1.389932773109244</x:v>
      </x:c>
      <x:c r="AD530" s="15" t="n">
        <x:f>1+'参数'!$B$52*(B530-1)/119</x:f>
        <x:v>1.0554621848739496</x:v>
      </x:c>
      <x:c r="AE530" s="18" t="n">
        <x:f>IF(MOD(B530,12)=0,1,0)</x:f>
        <x:v>0</x:v>
      </x:c>
    </x:row>
    <x:row r="531" ht="22" customHeight="1">
      <x:c r="A531" s="19" t="str">
        <x:v>折磨</x:v>
      </x:c>
      <x:c r="B531" s="19" t="n">
        <x:v>46</x:v>
      </x:c>
      <x:c r="C531" s="19" t="n">
        <x:f>ROUNDUP(B531/12,0)</x:f>
        <x:v>4</x:v>
      </x:c>
      <x:c r="D531" s="19" t="n">
        <x:f>ROUND(MAX('参数'!$G$30,E531)+(IF(C531&lt;10,INDEX('参数'!$G$38:$P$38,1,MIN(10,C531+1)),'参数'!$H$30)-MAX('参数'!$G$30,E531))*MOD(B531-1,12)/11,0)</x:f>
        <x:v>100</x:v>
      </x:c>
      <x:c r="E531" s="19" t="n">
        <x:f>INDEX('参数'!$G$38:$P$38,1,C531)</x:f>
        <x:v>100</x:v>
      </x:c>
      <x:c r="F531" s="20" t="n">
        <x:f>'参数'!$I$30</x:f>
        <x:v>1.43</x:v>
      </x:c>
      <x:c r="G531" s="19" t="n">
        <x:f>ROUND(V531*X531/'参数'!$B$56,0)</x:f>
        <x:v>478183</x:v>
      </x:c>
      <x:c r="H531" s="19" t="n">
        <x:f>ROUND((AA531+SQRT(AA531^2+4*AA531*'参数'!$B$22*U531))/2,0)</x:f>
        <x:v>16603</x:v>
      </x:c>
      <x:c r="I531" s="19" t="n">
        <x:f>ROUND(Q531*'参数'!$B$23/'参数'!$B$22,0)</x:f>
        <x:v>2126</x:v>
      </x:c>
      <x:c r="J531" s="19" t="n">
        <x:f>ROUND(G531*'参数'!$B$50,0)</x:f>
        <x:v>1434549</x:v>
      </x:c>
      <x:c r="K531" s="19" t="n">
        <x:f>ROUND(W531*Y531,0)</x:f>
        <x:v>4707425</x:v>
      </x:c>
      <x:c r="L531" s="19" t="n">
        <x:f>ROUND((AB531+SQRT(AB531^2+4*AB531*'参数'!$B$22*U531))/2,0)</x:f>
        <x:v>28548</x:v>
      </x:c>
      <x:c r="M531" s="19" t="n">
        <x:f>ROUND(I531*'参数'!$B$24,0)</x:f>
        <x:v>2658</x:v>
      </x:c>
      <x:c r="N531" s="19" t="n">
        <x:f>'参数'!$B$9*'参数'!$B$10^(D531-1)</x:f>
        <x:v>11195.319600498813</x:v>
      </x:c>
      <x:c r="O531" s="19" t="n">
        <x:f>'参数'!$B$18*'参数'!$B$19^(MIN(E531,MAX(1,5*INT(D531/5)))-1)*F531*'参数'!$J$30*P531</x:f>
        <x:v>2103.552925769118</x:v>
      </x:c>
      <x:c r="P531" s="22" t="n">
        <x:f>MIN(1,(D531-1)/19)</x:f>
        <x:v>1</x:v>
      </x:c>
      <x:c r="Q531" s="19" t="n">
        <x:f>INDEX('角色成长'!$F$6:$F$105,D531)+O531*'参数'!$K$21</x:f>
        <x:v>10629.125838441985</x:v>
      </x:c>
      <x:c r="R531" s="19" t="n">
        <x:f>INDEX('角色成长'!$I$6:$I$105,D531)+O531*'参数'!$K$21</x:f>
        <x:v>9331.125838441985</x:v>
      </x:c>
      <x:c r="S531" s="19" t="n">
        <x:f>INDEX('角色成长'!$L$6:$L$105,D531)+O531*'参数'!$K$21</x:f>
        <x:v>8590.125838441985</x:v>
      </x:c>
      <x:c r="T531" s="19" t="n">
        <x:f>(INDEX('角色成长'!$J$6:$J$105,D531)+O531*'参数'!$L$21)*(1+'参数'!$B$40*P531)</x:f>
        <x:v>118666.76244728187</x:v>
      </x:c>
      <x:c r="U531" s="19" t="n">
        <x:f>(INDEX('角色成长'!$K$6:$K$105,D531)+O531*'参数'!$M$21)*(1+'参数'!$B$41*P531)</x:f>
        <x:v>6699.239382105553</x:v>
      </x:c>
      <x:c r="V531" s="19" t="n">
        <x:f>(('参数'!$K$5*(((Q531*(1+'参数'!$B$39*P531))^2/((Q531*(1+'参数'!$B$39*P531))+'参数'!$B$22*(I531)))*(1+'参数'!$B$42*P531)/'参数'!$J$5+((Q531*'参数'!$B$43*(1+'参数'!$B$39*P531))^2/((Q531*'参数'!$B$43*(1+'参数'!$B$39*P531))+'参数'!$B$22*(I531)))/'参数'!$B$44))+(((R531*(1+'参数'!$B$39*P531))^2/((R531*(1+'参数'!$B$39*P531))+'参数'!$B$22*(I531)))*(1+'参数'!$B$42*P531)/'参数'!$J$6+((R531*'参数'!$B$45*(1+'参数'!$B$39*P531))^2/((R531*'参数'!$B$45*(1+'参数'!$B$39*P531))+'参数'!$B$22*(I531)))/'参数'!$B$46)+((S531*(1+'参数'!$B$39*P531))^2/((S531*(1+'参数'!$B$39*P531))+'参数'!$B$22*(I531)))*(1+'参数'!$B$42*P531)/'参数'!$J$7)*(1+'参数'!$B$37*('参数'!$B$38-1))*'参数'!$B$25</x:f>
        <x:v>72276.65152942482</x:v>
      </x:c>
      <x:c r="W531" s="19" t="n">
        <x:f>(('参数'!$K$5*(((Q531*(1+'参数'!$B$39*P531))^2/((Q531*(1+'参数'!$B$39*P531))+'参数'!$B$22*(M531)))*(1+'参数'!$B$42*P531)/'参数'!$J$5+((Q531*'参数'!$B$43*(1+'参数'!$B$39*P531))^2/((Q531*'参数'!$B$43*(1+'参数'!$B$39*P531))+'参数'!$B$22*(M531)))/'参数'!$B$44))+(((R531*(1+'参数'!$B$39*P531))^2/((R531*(1+'参数'!$B$39*P531))+'参数'!$B$22*(M531)))*(1+'参数'!$B$42*P531)/'参数'!$J$6+((R531*'参数'!$B$45*(1+'参数'!$B$39*P531))^2/((R531*'参数'!$B$45*(1+'参数'!$B$39*P531))+'参数'!$B$22*(M531)))/'参数'!$B$46)+((S531*(1+'参数'!$B$39*P531))^2/((S531*(1+'参数'!$B$39*P531))+'参数'!$B$22*(M531)))*(1+'参数'!$B$42*P531)/'参数'!$J$7)*(1+'参数'!$B$37*('参数'!$B$38-1))</x:f>
        <x:v>55684.2511674383</x:v>
      </x:c>
      <x:c r="X531" s="26" t="n">
        <x:f>('参数'!$B$26+'参数'!$B$27*(D531-1)/99)*'参数'!$K$30*AD531</x:f>
        <x:v>30.433613445378153</x:v>
      </x:c>
      <x:c r="Y531" s="26" t="n">
        <x:f>('参数'!$B$28+'参数'!$B$29*(D531-1)/99)*'参数'!$K$30*AD531*IF(AE531=1,'参数'!$B$51,1)</x:f>
        <x:v>84.53781512605042</x:v>
      </x:c>
      <x:c r="Z531" s="22" t="n">
        <x:f>MIN('参数'!$B$36,U531/(U531+'参数'!$B$35))</x:f>
        <x:v>0.6261416482848315</x:v>
      </x:c>
      <x:c r="AA531" s="19" t="n">
        <x:f>T531*'参数'!$B$30/('参数'!$B$32*'参数'!$B$33)/(1-Z531)*AC531</x:f>
        <x:v>11036.701401277569</x:v>
      </x:c>
      <x:c r="AB531" s="19" t="n">
        <x:f>T531*'参数'!$B$31/'参数'!$B$34/(1-Z531)*AC531</x:f>
        <x:v>22073.402802555138</x:v>
      </x:c>
      <x:c r="AC531" s="20" t="n">
        <x:f>'参数'!$L$30*(1+'参数'!$B$53*(B531-1)/119)</x:f>
        <x:v>1.3908403361344537</x:v>
      </x:c>
      <x:c r="AD531" s="20" t="n">
        <x:f>1+'参数'!$B$52*(B531-1)/119</x:f>
        <x:v>1.0567226890756303</x:v>
      </x:c>
      <x:c r="AE531" s="19" t="n">
        <x:f>IF(MOD(B531,12)=0,1,0)</x:f>
        <x:v>0</x:v>
      </x:c>
    </x:row>
    <x:row r="532" ht="22" customHeight="1">
      <x:c r="A532" s="18" t="str">
        <x:v>折磨</x:v>
      </x:c>
      <x:c r="B532" s="18" t="n">
        <x:v>47</x:v>
      </x:c>
      <x:c r="C532" s="18" t="n">
        <x:f>ROUNDUP(B532/12,0)</x:f>
        <x:v>4</x:v>
      </x:c>
      <x:c r="D532" s="18" t="n">
        <x:f>ROUND(MAX('参数'!$G$30,E532)+(IF(C532&lt;10,INDEX('参数'!$G$38:$P$38,1,MIN(10,C532+1)),'参数'!$H$30)-MAX('参数'!$G$30,E532))*MOD(B532-1,12)/11,0)</x:f>
        <x:v>100</x:v>
      </x:c>
      <x:c r="E532" s="18" t="n">
        <x:f>INDEX('参数'!$G$38:$P$38,1,C532)</x:f>
        <x:v>100</x:v>
      </x:c>
      <x:c r="F532" s="15" t="n">
        <x:f>'参数'!$I$30</x:f>
        <x:v>1.43</x:v>
      </x:c>
      <x:c r="G532" s="18" t="n">
        <x:f>ROUND(V532*X532/'参数'!$B$56,0)</x:f>
        <x:v>478753</x:v>
      </x:c>
      <x:c r="H532" s="18" t="n">
        <x:f>ROUND((AA532+SQRT(AA532^2+4*AA532*'参数'!$B$22*U532))/2,0)</x:f>
        <x:v>16611</x:v>
      </x:c>
      <x:c r="I532" s="18" t="n">
        <x:f>ROUND(Q532*'参数'!$B$23/'参数'!$B$22,0)</x:f>
        <x:v>2126</x:v>
      </x:c>
      <x:c r="J532" s="18" t="n">
        <x:f>ROUND(G532*'参数'!$B$50,0)</x:f>
        <x:v>1436259</x:v>
      </x:c>
      <x:c r="K532" s="18" t="n">
        <x:f>ROUND(W532*Y532,0)</x:f>
        <x:v>4713040</x:v>
      </x:c>
      <x:c r="L532" s="18" t="n">
        <x:f>ROUND((AB532+SQRT(AB532^2+4*AB532*'参数'!$B$22*U532))/2,0)</x:f>
        <x:v>28563</x:v>
      </x:c>
      <x:c r="M532" s="18" t="n">
        <x:f>ROUND(I532*'参数'!$B$24,0)</x:f>
        <x:v>2658</x:v>
      </x:c>
      <x:c r="N532" s="18" t="n">
        <x:f>'参数'!$B$9*'参数'!$B$10^(D532-1)</x:f>
        <x:v>11195.319600498813</x:v>
      </x:c>
      <x:c r="O532" s="18" t="n">
        <x:f>'参数'!$B$18*'参数'!$B$19^(MIN(E532,MAX(1,5*INT(D532/5)))-1)*F532*'参数'!$J$30*P532</x:f>
        <x:v>2103.552925769118</x:v>
      </x:c>
      <x:c r="P532" s="21" t="n">
        <x:f>MIN(1,(D532-1)/19)</x:f>
        <x:v>1</x:v>
      </x:c>
      <x:c r="Q532" s="18" t="n">
        <x:f>INDEX('角色成长'!$F$6:$F$105,D532)+O532*'参数'!$K$21</x:f>
        <x:v>10629.125838441985</x:v>
      </x:c>
      <x:c r="R532" s="18" t="n">
        <x:f>INDEX('角色成长'!$I$6:$I$105,D532)+O532*'参数'!$K$21</x:f>
        <x:v>9331.125838441985</x:v>
      </x:c>
      <x:c r="S532" s="18" t="n">
        <x:f>INDEX('角色成长'!$L$6:$L$105,D532)+O532*'参数'!$K$21</x:f>
        <x:v>8590.125838441985</x:v>
      </x:c>
      <x:c r="T532" s="18" t="n">
        <x:f>(INDEX('角色成长'!$J$6:$J$105,D532)+O532*'参数'!$L$21)*(1+'参数'!$B$40*P532)</x:f>
        <x:v>118666.76244728187</x:v>
      </x:c>
      <x:c r="U532" s="18" t="n">
        <x:f>(INDEX('角色成长'!$K$6:$K$105,D532)+O532*'参数'!$M$21)*(1+'参数'!$B$41*P532)</x:f>
        <x:v>6699.239382105553</x:v>
      </x:c>
      <x:c r="V532" s="18" t="n">
        <x:f>(('参数'!$K$5*(((Q532*(1+'参数'!$B$39*P532))^2/((Q532*(1+'参数'!$B$39*P532))+'参数'!$B$22*(I532)))*(1+'参数'!$B$42*P532)/'参数'!$J$5+((Q532*'参数'!$B$43*(1+'参数'!$B$39*P532))^2/((Q532*'参数'!$B$43*(1+'参数'!$B$39*P532))+'参数'!$B$22*(I532)))/'参数'!$B$44))+(((R532*(1+'参数'!$B$39*P532))^2/((R532*(1+'参数'!$B$39*P532))+'参数'!$B$22*(I532)))*(1+'参数'!$B$42*P532)/'参数'!$J$6+((R532*'参数'!$B$45*(1+'参数'!$B$39*P532))^2/((R532*'参数'!$B$45*(1+'参数'!$B$39*P532))+'参数'!$B$22*(I532)))/'参数'!$B$46)+((S532*(1+'参数'!$B$39*P532))^2/((S532*(1+'参数'!$B$39*P532))+'参数'!$B$22*(I532)))*(1+'参数'!$B$42*P532)/'参数'!$J$7)*(1+'参数'!$B$37*('参数'!$B$38-1))*'参数'!$B$25</x:f>
        <x:v>72276.65152942482</x:v>
      </x:c>
      <x:c r="W532" s="18" t="n">
        <x:f>(('参数'!$K$5*(((Q532*(1+'参数'!$B$39*P532))^2/((Q532*(1+'参数'!$B$39*P532))+'参数'!$B$22*(M532)))*(1+'参数'!$B$42*P532)/'参数'!$J$5+((Q532*'参数'!$B$43*(1+'参数'!$B$39*P532))^2/((Q532*'参数'!$B$43*(1+'参数'!$B$39*P532))+'参数'!$B$22*(M532)))/'参数'!$B$44))+(((R532*(1+'参数'!$B$39*P532))^2/((R532*(1+'参数'!$B$39*P532))+'参数'!$B$22*(M532)))*(1+'参数'!$B$42*P532)/'参数'!$J$6+((R532*'参数'!$B$45*(1+'参数'!$B$39*P532))^2/((R532*'参数'!$B$45*(1+'参数'!$B$39*P532))+'参数'!$B$22*(M532)))/'参数'!$B$46)+((S532*(1+'参数'!$B$39*P532))^2/((S532*(1+'参数'!$B$39*P532))+'参数'!$B$22*(M532)))*(1+'参数'!$B$42*P532)/'参数'!$J$7)*(1+'参数'!$B$37*('参数'!$B$38-1))</x:f>
        <x:v>55684.2511674383</x:v>
      </x:c>
      <x:c r="X532" s="25" t="n">
        <x:f>('参数'!$B$26+'参数'!$B$27*(D532-1)/99)*'参数'!$K$30*AD532</x:f>
        <x:v>30.469915966386555</x:v>
      </x:c>
      <x:c r="Y532" s="25" t="n">
        <x:f>('参数'!$B$28+'参数'!$B$29*(D532-1)/99)*'参数'!$K$30*AD532*IF(AE532=1,'参数'!$B$51,1)</x:f>
        <x:v>84.63865546218487</x:v>
      </x:c>
      <x:c r="Z532" s="21" t="n">
        <x:f>MIN('参数'!$B$36,U532/(U532+'参数'!$B$35))</x:f>
        <x:v>0.6261416482848315</x:v>
      </x:c>
      <x:c r="AA532" s="18" t="n">
        <x:f>T532*'参数'!$B$30/('参数'!$B$32*'参数'!$B$33)/(1-Z532)*AC532</x:f>
        <x:v>11043.903164019024</x:v>
      </x:c>
      <x:c r="AB532" s="18" t="n">
        <x:f>T532*'参数'!$B$31/'参数'!$B$34/(1-Z532)*AC532</x:f>
        <x:v>22087.80632803805</x:v>
      </x:c>
      <x:c r="AC532" s="15" t="n">
        <x:f>'参数'!$L$30*(1+'参数'!$B$53*(B532-1)/119)</x:f>
        <x:v>1.391747899159664</x:v>
      </x:c>
      <x:c r="AD532" s="15" t="n">
        <x:f>1+'参数'!$B$52*(B532-1)/119</x:f>
        <x:v>1.057983193277311</x:v>
      </x:c>
      <x:c r="AE532" s="18" t="n">
        <x:f>IF(MOD(B532,12)=0,1,0)</x:f>
        <x:v>0</x:v>
      </x:c>
    </x:row>
    <x:row r="533" ht="22" customHeight="1">
      <x:c r="A533" s="19" t="str">
        <x:v>折磨</x:v>
      </x:c>
      <x:c r="B533" s="19" t="n">
        <x:v>48</x:v>
      </x:c>
      <x:c r="C533" s="19" t="n">
        <x:f>ROUNDUP(B533/12,0)</x:f>
        <x:v>4</x:v>
      </x:c>
      <x:c r="D533" s="19" t="n">
        <x:f>ROUND(MAX('参数'!$G$30,E533)+(IF(C533&lt;10,INDEX('参数'!$G$38:$P$38,1,MIN(10,C533+1)),'参数'!$H$30)-MAX('参数'!$G$30,E533))*MOD(B533-1,12)/11,0)</x:f>
        <x:v>100</x:v>
      </x:c>
      <x:c r="E533" s="19" t="n">
        <x:f>INDEX('参数'!$G$38:$P$38,1,C533)</x:f>
        <x:v>100</x:v>
      </x:c>
      <x:c r="F533" s="20" t="n">
        <x:f>'参数'!$I$30</x:f>
        <x:v>1.43</x:v>
      </x:c>
      <x:c r="G533" s="19" t="n">
        <x:f>ROUND(V533*X533/'参数'!$B$56,0)</x:f>
        <x:v>479323</x:v>
      </x:c>
      <x:c r="H533" s="19" t="n">
        <x:f>ROUND((AA533+SQRT(AA533^2+4*AA533*'参数'!$B$22*U533))/2,0)</x:f>
        <x:v>16619</x:v>
      </x:c>
      <x:c r="I533" s="19" t="n">
        <x:f>ROUND(Q533*'参数'!$B$23/'参数'!$B$22,0)</x:f>
        <x:v>2126</x:v>
      </x:c>
      <x:c r="J533" s="19" t="n">
        <x:f>ROUND(G533*'参数'!$B$50,0)</x:f>
        <x:v>1437969</x:v>
      </x:c>
      <x:c r="K533" s="19" t="n">
        <x:f>ROUND(W533*Y533,0)</x:f>
        <x:v>5426454</x:v>
      </x:c>
      <x:c r="L533" s="19" t="n">
        <x:f>ROUND((AB533+SQRT(AB533^2+4*AB533*'参数'!$B$22*U533))/2,0)</x:f>
        <x:v>28579</x:v>
      </x:c>
      <x:c r="M533" s="19" t="n">
        <x:f>ROUND(I533*'参数'!$B$24,0)</x:f>
        <x:v>2658</x:v>
      </x:c>
      <x:c r="N533" s="19" t="n">
        <x:f>'参数'!$B$9*'参数'!$B$10^(D533-1)</x:f>
        <x:v>11195.319600498813</x:v>
      </x:c>
      <x:c r="O533" s="19" t="n">
        <x:f>'参数'!$B$18*'参数'!$B$19^(MIN(E533,MAX(1,5*INT(D533/5)))-1)*F533*'参数'!$J$30*P533</x:f>
        <x:v>2103.552925769118</x:v>
      </x:c>
      <x:c r="P533" s="22" t="n">
        <x:f>MIN(1,(D533-1)/19)</x:f>
        <x:v>1</x:v>
      </x:c>
      <x:c r="Q533" s="19" t="n">
        <x:f>INDEX('角色成长'!$F$6:$F$105,D533)+O533*'参数'!$K$21</x:f>
        <x:v>10629.125838441985</x:v>
      </x:c>
      <x:c r="R533" s="19" t="n">
        <x:f>INDEX('角色成长'!$I$6:$I$105,D533)+O533*'参数'!$K$21</x:f>
        <x:v>9331.125838441985</x:v>
      </x:c>
      <x:c r="S533" s="19" t="n">
        <x:f>INDEX('角色成长'!$L$6:$L$105,D533)+O533*'参数'!$K$21</x:f>
        <x:v>8590.125838441985</x:v>
      </x:c>
      <x:c r="T533" s="19" t="n">
        <x:f>(INDEX('角色成长'!$J$6:$J$105,D533)+O533*'参数'!$L$21)*(1+'参数'!$B$40*P533)</x:f>
        <x:v>118666.76244728187</x:v>
      </x:c>
      <x:c r="U533" s="19" t="n">
        <x:f>(INDEX('角色成长'!$K$6:$K$105,D533)+O533*'参数'!$M$21)*(1+'参数'!$B$41*P533)</x:f>
        <x:v>6699.239382105553</x:v>
      </x:c>
      <x:c r="V533" s="19" t="n">
        <x:f>(('参数'!$K$5*(((Q533*(1+'参数'!$B$39*P533))^2/((Q533*(1+'参数'!$B$39*P533))+'参数'!$B$22*(I533)))*(1+'参数'!$B$42*P533)/'参数'!$J$5+((Q533*'参数'!$B$43*(1+'参数'!$B$39*P533))^2/((Q533*'参数'!$B$43*(1+'参数'!$B$39*P533))+'参数'!$B$22*(I533)))/'参数'!$B$44))+(((R533*(1+'参数'!$B$39*P533))^2/((R533*(1+'参数'!$B$39*P533))+'参数'!$B$22*(I533)))*(1+'参数'!$B$42*P533)/'参数'!$J$6+((R533*'参数'!$B$45*(1+'参数'!$B$39*P533))^2/((R533*'参数'!$B$45*(1+'参数'!$B$39*P533))+'参数'!$B$22*(I533)))/'参数'!$B$46)+((S533*(1+'参数'!$B$39*P533))^2/((S533*(1+'参数'!$B$39*P533))+'参数'!$B$22*(I533)))*(1+'参数'!$B$42*P533)/'参数'!$J$7)*(1+'参数'!$B$37*('参数'!$B$38-1))*'参数'!$B$25</x:f>
        <x:v>72276.65152942482</x:v>
      </x:c>
      <x:c r="W533" s="19" t="n">
        <x:f>(('参数'!$K$5*(((Q533*(1+'参数'!$B$39*P533))^2/((Q533*(1+'参数'!$B$39*P533))+'参数'!$B$22*(M533)))*(1+'参数'!$B$42*P533)/'参数'!$J$5+((Q533*'参数'!$B$43*(1+'参数'!$B$39*P533))^2/((Q533*'参数'!$B$43*(1+'参数'!$B$39*P533))+'参数'!$B$22*(M533)))/'参数'!$B$44))+(((R533*(1+'参数'!$B$39*P533))^2/((R533*(1+'参数'!$B$39*P533))+'参数'!$B$22*(M533)))*(1+'参数'!$B$42*P533)/'参数'!$J$6+((R533*'参数'!$B$45*(1+'参数'!$B$39*P533))^2/((R533*'参数'!$B$45*(1+'参数'!$B$39*P533))+'参数'!$B$22*(M533)))/'参数'!$B$46)+((S533*(1+'参数'!$B$39*P533))^2/((S533*(1+'参数'!$B$39*P533))+'参数'!$B$22*(M533)))*(1+'参数'!$B$42*P533)/'参数'!$J$7)*(1+'参数'!$B$37*('参数'!$B$38-1))</x:f>
        <x:v>55684.2511674383</x:v>
      </x:c>
      <x:c r="X533" s="26" t="n">
        <x:f>('参数'!$B$26+'参数'!$B$27*(D533-1)/99)*'参数'!$K$30*AD533</x:f>
        <x:v>30.50621848739496</x:v>
      </x:c>
      <x:c r="Y533" s="26" t="n">
        <x:f>('参数'!$B$28+'参数'!$B$29*(D533-1)/99)*'参数'!$K$30*AD533*IF(AE533=1,'参数'!$B$51,1)</x:f>
        <x:v>97.45042016806721</x:v>
      </x:c>
      <x:c r="Z533" s="22" t="n">
        <x:f>MIN('参数'!$B$36,U533/(U533+'参数'!$B$35))</x:f>
        <x:v>0.6261416482848315</x:v>
      </x:c>
      <x:c r="AA533" s="19" t="n">
        <x:f>T533*'参数'!$B$30/('参数'!$B$32*'参数'!$B$33)/(1-Z533)*AC533</x:f>
        <x:v>11051.10492676048</x:v>
      </x:c>
      <x:c r="AB533" s="19" t="n">
        <x:f>T533*'参数'!$B$31/'参数'!$B$34/(1-Z533)*AC533</x:f>
        <x:v>22102.20985352096</x:v>
      </x:c>
      <x:c r="AC533" s="20" t="n">
        <x:f>'参数'!$L$30*(1+'参数'!$B$53*(B533-1)/119)</x:f>
        <x:v>1.3926554621848741</x:v>
      </x:c>
      <x:c r="AD533" s="20" t="n">
        <x:f>1+'参数'!$B$52*(B533-1)/119</x:f>
        <x:v>1.0592436974789916</x:v>
      </x:c>
      <x:c r="AE533" s="19" t="n">
        <x:f>IF(MOD(B533,12)=0,1,0)</x:f>
        <x:v>1</x:v>
      </x:c>
    </x:row>
    <x:row r="534" ht="22" customHeight="1">
      <x:c r="A534" s="18" t="str">
        <x:v>折磨</x:v>
      </x:c>
      <x:c r="B534" s="18" t="n">
        <x:v>49</x:v>
      </x:c>
      <x:c r="C534" s="18" t="n">
        <x:f>ROUNDUP(B534/12,0)</x:f>
        <x:v>5</x:v>
      </x:c>
      <x:c r="D534" s="18" t="n">
        <x:f>ROUND(MAX('参数'!$G$30,E534)+(IF(C534&lt;10,INDEX('参数'!$G$38:$P$38,1,MIN(10,C534+1)),'参数'!$H$30)-MAX('参数'!$G$30,E534))*MOD(B534-1,12)/11,0)</x:f>
        <x:v>100</x:v>
      </x:c>
      <x:c r="E534" s="18" t="n">
        <x:f>INDEX('参数'!$G$38:$P$38,1,C534)</x:f>
        <x:v>100</x:v>
      </x:c>
      <x:c r="F534" s="15" t="n">
        <x:f>'参数'!$I$30</x:f>
        <x:v>1.43</x:v>
      </x:c>
      <x:c r="G534" s="18" t="n">
        <x:f>ROUND(V534*X534/'参数'!$B$56,0)</x:f>
        <x:v>479894</x:v>
      </x:c>
      <x:c r="H534" s="18" t="n">
        <x:f>ROUND((AA534+SQRT(AA534^2+4*AA534*'参数'!$B$22*U534))/2,0)</x:f>
        <x:v>16628</x:v>
      </x:c>
      <x:c r="I534" s="18" t="n">
        <x:f>ROUND(Q534*'参数'!$B$23/'参数'!$B$22,0)</x:f>
        <x:v>2126</x:v>
      </x:c>
      <x:c r="J534" s="18" t="n">
        <x:f>ROUND(G534*'参数'!$B$50,0)</x:f>
        <x:v>1439682</x:v>
      </x:c>
      <x:c r="K534" s="18" t="n">
        <x:f>ROUND(W534*Y534,0)</x:f>
        <x:v>4724271</x:v>
      </x:c>
      <x:c r="L534" s="18" t="n">
        <x:f>ROUND((AB534+SQRT(AB534^2+4*AB534*'参数'!$B$22*U534))/2,0)</x:f>
        <x:v>28594</x:v>
      </x:c>
      <x:c r="M534" s="18" t="n">
        <x:f>ROUND(I534*'参数'!$B$24,0)</x:f>
        <x:v>2658</x:v>
      </x:c>
      <x:c r="N534" s="18" t="n">
        <x:f>'参数'!$B$9*'参数'!$B$10^(D534-1)</x:f>
        <x:v>11195.319600498813</x:v>
      </x:c>
      <x:c r="O534" s="18" t="n">
        <x:f>'参数'!$B$18*'参数'!$B$19^(MIN(E534,MAX(1,5*INT(D534/5)))-1)*F534*'参数'!$J$30*P534</x:f>
        <x:v>2103.552925769118</x:v>
      </x:c>
      <x:c r="P534" s="21" t="n">
        <x:f>MIN(1,(D534-1)/19)</x:f>
        <x:v>1</x:v>
      </x:c>
      <x:c r="Q534" s="18" t="n">
        <x:f>INDEX('角色成长'!$F$6:$F$105,D534)+O534*'参数'!$K$21</x:f>
        <x:v>10629.125838441985</x:v>
      </x:c>
      <x:c r="R534" s="18" t="n">
        <x:f>INDEX('角色成长'!$I$6:$I$105,D534)+O534*'参数'!$K$21</x:f>
        <x:v>9331.125838441985</x:v>
      </x:c>
      <x:c r="S534" s="18" t="n">
        <x:f>INDEX('角色成长'!$L$6:$L$105,D534)+O534*'参数'!$K$21</x:f>
        <x:v>8590.125838441985</x:v>
      </x:c>
      <x:c r="T534" s="18" t="n">
        <x:f>(INDEX('角色成长'!$J$6:$J$105,D534)+O534*'参数'!$L$21)*(1+'参数'!$B$40*P534)</x:f>
        <x:v>118666.76244728187</x:v>
      </x:c>
      <x:c r="U534" s="18" t="n">
        <x:f>(INDEX('角色成长'!$K$6:$K$105,D534)+O534*'参数'!$M$21)*(1+'参数'!$B$41*P534)</x:f>
        <x:v>6699.239382105553</x:v>
      </x:c>
      <x:c r="V534" s="18" t="n">
        <x:f>(('参数'!$K$5*(((Q534*(1+'参数'!$B$39*P534))^2/((Q534*(1+'参数'!$B$39*P534))+'参数'!$B$22*(I534)))*(1+'参数'!$B$42*P534)/'参数'!$J$5+((Q534*'参数'!$B$43*(1+'参数'!$B$39*P534))^2/((Q534*'参数'!$B$43*(1+'参数'!$B$39*P534))+'参数'!$B$22*(I534)))/'参数'!$B$44))+(((R534*(1+'参数'!$B$39*P534))^2/((R534*(1+'参数'!$B$39*P534))+'参数'!$B$22*(I534)))*(1+'参数'!$B$42*P534)/'参数'!$J$6+((R534*'参数'!$B$45*(1+'参数'!$B$39*P534))^2/((R534*'参数'!$B$45*(1+'参数'!$B$39*P534))+'参数'!$B$22*(I534)))/'参数'!$B$46)+((S534*(1+'参数'!$B$39*P534))^2/((S534*(1+'参数'!$B$39*P534))+'参数'!$B$22*(I534)))*(1+'参数'!$B$42*P534)/'参数'!$J$7)*(1+'参数'!$B$37*('参数'!$B$38-1))*'参数'!$B$25</x:f>
        <x:v>72276.65152942482</x:v>
      </x:c>
      <x:c r="W534" s="18" t="n">
        <x:f>(('参数'!$K$5*(((Q534*(1+'参数'!$B$39*P534))^2/((Q534*(1+'参数'!$B$39*P534))+'参数'!$B$22*(M534)))*(1+'参数'!$B$42*P534)/'参数'!$J$5+((Q534*'参数'!$B$43*(1+'参数'!$B$39*P534))^2/((Q534*'参数'!$B$43*(1+'参数'!$B$39*P534))+'参数'!$B$22*(M534)))/'参数'!$B$44))+(((R534*(1+'参数'!$B$39*P534))^2/((R534*(1+'参数'!$B$39*P534))+'参数'!$B$22*(M534)))*(1+'参数'!$B$42*P534)/'参数'!$J$6+((R534*'参数'!$B$45*(1+'参数'!$B$39*P534))^2/((R534*'参数'!$B$45*(1+'参数'!$B$39*P534))+'参数'!$B$22*(M534)))/'参数'!$B$46)+((S534*(1+'参数'!$B$39*P534))^2/((S534*(1+'参数'!$B$39*P534))+'参数'!$B$22*(M534)))*(1+'参数'!$B$42*P534)/'参数'!$J$7)*(1+'参数'!$B$37*('参数'!$B$38-1))</x:f>
        <x:v>55684.2511674383</x:v>
      </x:c>
      <x:c r="X534" s="25" t="n">
        <x:f>('参数'!$B$26+'参数'!$B$27*(D534-1)/99)*'参数'!$K$30*AD534</x:f>
        <x:v>30.542521008403362</x:v>
      </x:c>
      <x:c r="Y534" s="25" t="n">
        <x:f>('参数'!$B$28+'参数'!$B$29*(D534-1)/99)*'参数'!$K$30*AD534*IF(AE534=1,'参数'!$B$51,1)</x:f>
        <x:v>84.84033613445378</x:v>
      </x:c>
      <x:c r="Z534" s="21" t="n">
        <x:f>MIN('参数'!$B$36,U534/(U534+'参数'!$B$35))</x:f>
        <x:v>0.6261416482848315</x:v>
      </x:c>
      <x:c r="AA534" s="18" t="n">
        <x:f>T534*'参数'!$B$30/('参数'!$B$32*'参数'!$B$33)/(1-Z534)*AC534</x:f>
        <x:v>11058.306689501931</x:v>
      </x:c>
      <x:c r="AB534" s="18" t="n">
        <x:f>T534*'参数'!$B$31/'参数'!$B$34/(1-Z534)*AC534</x:f>
        <x:v>22116.613379003862</x:v>
      </x:c>
      <x:c r="AC534" s="15" t="n">
        <x:f>'参数'!$L$30*(1+'参数'!$B$53*(B534-1)/119)</x:f>
        <x:v>1.3935630252100841</x:v>
      </x:c>
      <x:c r="AD534" s="15" t="n">
        <x:f>1+'参数'!$B$52*(B534-1)/119</x:f>
        <x:v>1.0605042016806723</x:v>
      </x:c>
      <x:c r="AE534" s="18" t="n">
        <x:f>IF(MOD(B534,12)=0,1,0)</x:f>
        <x:v>0</x:v>
      </x:c>
    </x:row>
    <x:row r="535" ht="22" customHeight="1">
      <x:c r="A535" s="19" t="str">
        <x:v>折磨</x:v>
      </x:c>
      <x:c r="B535" s="19" t="n">
        <x:v>50</x:v>
      </x:c>
      <x:c r="C535" s="19" t="n">
        <x:f>ROUNDUP(B535/12,0)</x:f>
        <x:v>5</x:v>
      </x:c>
      <x:c r="D535" s="19" t="n">
        <x:f>ROUND(MAX('参数'!$G$30,E535)+(IF(C535&lt;10,INDEX('参数'!$G$38:$P$38,1,MIN(10,C535+1)),'参数'!$H$30)-MAX('参数'!$G$30,E535))*MOD(B535-1,12)/11,0)</x:f>
        <x:v>100</x:v>
      </x:c>
      <x:c r="E535" s="19" t="n">
        <x:f>INDEX('参数'!$G$38:$P$38,1,C535)</x:f>
        <x:v>100</x:v>
      </x:c>
      <x:c r="F535" s="20" t="n">
        <x:f>'参数'!$I$30</x:f>
        <x:v>1.43</x:v>
      </x:c>
      <x:c r="G535" s="19" t="n">
        <x:f>ROUND(V535*X535/'参数'!$B$56,0)</x:f>
        <x:v>480464</x:v>
      </x:c>
      <x:c r="H535" s="19" t="n">
        <x:f>ROUND((AA535+SQRT(AA535^2+4*AA535*'参数'!$B$22*U535))/2,0)</x:f>
        <x:v>16636</x:v>
      </x:c>
      <x:c r="I535" s="19" t="n">
        <x:f>ROUND(Q535*'参数'!$B$23/'参数'!$B$22,0)</x:f>
        <x:v>2126</x:v>
      </x:c>
      <x:c r="J535" s="19" t="n">
        <x:f>ROUND(G535*'参数'!$B$50,0)</x:f>
        <x:v>1441392</x:v>
      </x:c>
      <x:c r="K535" s="19" t="n">
        <x:f>ROUND(W535*Y535,0)</x:f>
        <x:v>4729886</x:v>
      </x:c>
      <x:c r="L535" s="19" t="n">
        <x:f>ROUND((AB535+SQRT(AB535^2+4*AB535*'参数'!$B$22*U535))/2,0)</x:f>
        <x:v>28609</x:v>
      </x:c>
      <x:c r="M535" s="19" t="n">
        <x:f>ROUND(I535*'参数'!$B$24,0)</x:f>
        <x:v>2658</x:v>
      </x:c>
      <x:c r="N535" s="19" t="n">
        <x:f>'参数'!$B$9*'参数'!$B$10^(D535-1)</x:f>
        <x:v>11195.319600498813</x:v>
      </x:c>
      <x:c r="O535" s="19" t="n">
        <x:f>'参数'!$B$18*'参数'!$B$19^(MIN(E535,MAX(1,5*INT(D535/5)))-1)*F535*'参数'!$J$30*P535</x:f>
        <x:v>2103.552925769118</x:v>
      </x:c>
      <x:c r="P535" s="22" t="n">
        <x:f>MIN(1,(D535-1)/19)</x:f>
        <x:v>1</x:v>
      </x:c>
      <x:c r="Q535" s="19" t="n">
        <x:f>INDEX('角色成长'!$F$6:$F$105,D535)+O535*'参数'!$K$21</x:f>
        <x:v>10629.125838441985</x:v>
      </x:c>
      <x:c r="R535" s="19" t="n">
        <x:f>INDEX('角色成长'!$I$6:$I$105,D535)+O535*'参数'!$K$21</x:f>
        <x:v>9331.125838441985</x:v>
      </x:c>
      <x:c r="S535" s="19" t="n">
        <x:f>INDEX('角色成长'!$L$6:$L$105,D535)+O535*'参数'!$K$21</x:f>
        <x:v>8590.125838441985</x:v>
      </x:c>
      <x:c r="T535" s="19" t="n">
        <x:f>(INDEX('角色成长'!$J$6:$J$105,D535)+O535*'参数'!$L$21)*(1+'参数'!$B$40*P535)</x:f>
        <x:v>118666.76244728187</x:v>
      </x:c>
      <x:c r="U535" s="19" t="n">
        <x:f>(INDEX('角色成长'!$K$6:$K$105,D535)+O535*'参数'!$M$21)*(1+'参数'!$B$41*P535)</x:f>
        <x:v>6699.239382105553</x:v>
      </x:c>
      <x:c r="V535" s="19" t="n">
        <x:f>(('参数'!$K$5*(((Q535*(1+'参数'!$B$39*P535))^2/((Q535*(1+'参数'!$B$39*P535))+'参数'!$B$22*(I535)))*(1+'参数'!$B$42*P535)/'参数'!$J$5+((Q535*'参数'!$B$43*(1+'参数'!$B$39*P535))^2/((Q535*'参数'!$B$43*(1+'参数'!$B$39*P535))+'参数'!$B$22*(I535)))/'参数'!$B$44))+(((R535*(1+'参数'!$B$39*P535))^2/((R535*(1+'参数'!$B$39*P535))+'参数'!$B$22*(I535)))*(1+'参数'!$B$42*P535)/'参数'!$J$6+((R535*'参数'!$B$45*(1+'参数'!$B$39*P535))^2/((R535*'参数'!$B$45*(1+'参数'!$B$39*P535))+'参数'!$B$22*(I535)))/'参数'!$B$46)+((S535*(1+'参数'!$B$39*P535))^2/((S535*(1+'参数'!$B$39*P535))+'参数'!$B$22*(I535)))*(1+'参数'!$B$42*P535)/'参数'!$J$7)*(1+'参数'!$B$37*('参数'!$B$38-1))*'参数'!$B$25</x:f>
        <x:v>72276.65152942482</x:v>
      </x:c>
      <x:c r="W535" s="19" t="n">
        <x:f>(('参数'!$K$5*(((Q535*(1+'参数'!$B$39*P535))^2/((Q535*(1+'参数'!$B$39*P535))+'参数'!$B$22*(M535)))*(1+'参数'!$B$42*P535)/'参数'!$J$5+((Q535*'参数'!$B$43*(1+'参数'!$B$39*P535))^2/((Q535*'参数'!$B$43*(1+'参数'!$B$39*P535))+'参数'!$B$22*(M535)))/'参数'!$B$44))+(((R535*(1+'参数'!$B$39*P535))^2/((R535*(1+'参数'!$B$39*P535))+'参数'!$B$22*(M535)))*(1+'参数'!$B$42*P535)/'参数'!$J$6+((R535*'参数'!$B$45*(1+'参数'!$B$39*P535))^2/((R535*'参数'!$B$45*(1+'参数'!$B$39*P535))+'参数'!$B$22*(M535)))/'参数'!$B$46)+((S535*(1+'参数'!$B$39*P535))^2/((S535*(1+'参数'!$B$39*P535))+'参数'!$B$22*(M535)))*(1+'参数'!$B$42*P535)/'参数'!$J$7)*(1+'参数'!$B$37*('参数'!$B$38-1))</x:f>
        <x:v>55684.2511674383</x:v>
      </x:c>
      <x:c r="X535" s="26" t="n">
        <x:f>('参数'!$B$26+'参数'!$B$27*(D535-1)/99)*'参数'!$K$30*AD535</x:f>
        <x:v>30.578823529411764</x:v>
      </x:c>
      <x:c r="Y535" s="26" t="n">
        <x:f>('参数'!$B$28+'参数'!$B$29*(D535-1)/99)*'参数'!$K$30*AD535*IF(AE535=1,'参数'!$B$51,1)</x:f>
        <x:v>84.94117647058823</x:v>
      </x:c>
      <x:c r="Z535" s="22" t="n">
        <x:f>MIN('参数'!$B$36,U535/(U535+'参数'!$B$35))</x:f>
        <x:v>0.6261416482848315</x:v>
      </x:c>
      <x:c r="AA535" s="19" t="n">
        <x:f>T535*'参数'!$B$30/('参数'!$B$32*'参数'!$B$33)/(1-Z535)*AC535</x:f>
        <x:v>11065.508452243384</x:v>
      </x:c>
      <x:c r="AB535" s="19" t="n">
        <x:f>T535*'参数'!$B$31/'参数'!$B$34/(1-Z535)*AC535</x:f>
        <x:v>22131.01690448677</x:v>
      </x:c>
      <x:c r="AC535" s="20" t="n">
        <x:f>'参数'!$L$30*(1+'参数'!$B$53*(B535-1)/119)</x:f>
        <x:v>1.3944705882352941</x:v>
      </x:c>
      <x:c r="AD535" s="20" t="n">
        <x:f>1+'参数'!$B$52*(B535-1)/119</x:f>
        <x:v>1.061764705882353</x:v>
      </x:c>
      <x:c r="AE535" s="19" t="n">
        <x:f>IF(MOD(B535,12)=0,1,0)</x:f>
        <x:v>0</x:v>
      </x:c>
    </x:row>
    <x:row r="536" ht="22" customHeight="1">
      <x:c r="A536" s="18" t="str">
        <x:v>折磨</x:v>
      </x:c>
      <x:c r="B536" s="18" t="n">
        <x:v>51</x:v>
      </x:c>
      <x:c r="C536" s="18" t="n">
        <x:f>ROUNDUP(B536/12,0)</x:f>
        <x:v>5</x:v>
      </x:c>
      <x:c r="D536" s="18" t="n">
        <x:f>ROUND(MAX('参数'!$G$30,E536)+(IF(C536&lt;10,INDEX('参数'!$G$38:$P$38,1,MIN(10,C536+1)),'参数'!$H$30)-MAX('参数'!$G$30,E536))*MOD(B536-1,12)/11,0)</x:f>
        <x:v>100</x:v>
      </x:c>
      <x:c r="E536" s="18" t="n">
        <x:f>INDEX('参数'!$G$38:$P$38,1,C536)</x:f>
        <x:v>100</x:v>
      </x:c>
      <x:c r="F536" s="15" t="n">
        <x:f>'参数'!$I$30</x:f>
        <x:v>1.43</x:v>
      </x:c>
      <x:c r="G536" s="18" t="n">
        <x:f>ROUND(V536*X536/'参数'!$B$56,0)</x:f>
        <x:v>481035</x:v>
      </x:c>
      <x:c r="H536" s="18" t="n">
        <x:f>ROUND((AA536+SQRT(AA536^2+4*AA536*'参数'!$B$22*U536))/2,0)</x:f>
        <x:v>16644</x:v>
      </x:c>
      <x:c r="I536" s="18" t="n">
        <x:f>ROUND(Q536*'参数'!$B$23/'参数'!$B$22,0)</x:f>
        <x:v>2126</x:v>
      </x:c>
      <x:c r="J536" s="18" t="n">
        <x:f>ROUND(G536*'参数'!$B$50,0)</x:f>
        <x:v>1443105</x:v>
      </x:c>
      <x:c r="K536" s="18" t="n">
        <x:f>ROUND(W536*Y536,0)</x:f>
        <x:v>4735501</x:v>
      </x:c>
      <x:c r="L536" s="18" t="n">
        <x:f>ROUND((AB536+SQRT(AB536^2+4*AB536*'参数'!$B$22*U536))/2,0)</x:f>
        <x:v>28624</x:v>
      </x:c>
      <x:c r="M536" s="18" t="n">
        <x:f>ROUND(I536*'参数'!$B$24,0)</x:f>
        <x:v>2658</x:v>
      </x:c>
      <x:c r="N536" s="18" t="n">
        <x:f>'参数'!$B$9*'参数'!$B$10^(D536-1)</x:f>
        <x:v>11195.319600498813</x:v>
      </x:c>
      <x:c r="O536" s="18" t="n">
        <x:f>'参数'!$B$18*'参数'!$B$19^(MIN(E536,MAX(1,5*INT(D536/5)))-1)*F536*'参数'!$J$30*P536</x:f>
        <x:v>2103.552925769118</x:v>
      </x:c>
      <x:c r="P536" s="21" t="n">
        <x:f>MIN(1,(D536-1)/19)</x:f>
        <x:v>1</x:v>
      </x:c>
      <x:c r="Q536" s="18" t="n">
        <x:f>INDEX('角色成长'!$F$6:$F$105,D536)+O536*'参数'!$K$21</x:f>
        <x:v>10629.125838441985</x:v>
      </x:c>
      <x:c r="R536" s="18" t="n">
        <x:f>INDEX('角色成长'!$I$6:$I$105,D536)+O536*'参数'!$K$21</x:f>
        <x:v>9331.125838441985</x:v>
      </x:c>
      <x:c r="S536" s="18" t="n">
        <x:f>INDEX('角色成长'!$L$6:$L$105,D536)+O536*'参数'!$K$21</x:f>
        <x:v>8590.125838441985</x:v>
      </x:c>
      <x:c r="T536" s="18" t="n">
        <x:f>(INDEX('角色成长'!$J$6:$J$105,D536)+O536*'参数'!$L$21)*(1+'参数'!$B$40*P536)</x:f>
        <x:v>118666.76244728187</x:v>
      </x:c>
      <x:c r="U536" s="18" t="n">
        <x:f>(INDEX('角色成长'!$K$6:$K$105,D536)+O536*'参数'!$M$21)*(1+'参数'!$B$41*P536)</x:f>
        <x:v>6699.239382105553</x:v>
      </x:c>
      <x:c r="V536" s="18" t="n">
        <x:f>(('参数'!$K$5*(((Q536*(1+'参数'!$B$39*P536))^2/((Q536*(1+'参数'!$B$39*P536))+'参数'!$B$22*(I536)))*(1+'参数'!$B$42*P536)/'参数'!$J$5+((Q536*'参数'!$B$43*(1+'参数'!$B$39*P536))^2/((Q536*'参数'!$B$43*(1+'参数'!$B$39*P536))+'参数'!$B$22*(I536)))/'参数'!$B$44))+(((R536*(1+'参数'!$B$39*P536))^2/((R536*(1+'参数'!$B$39*P536))+'参数'!$B$22*(I536)))*(1+'参数'!$B$42*P536)/'参数'!$J$6+((R536*'参数'!$B$45*(1+'参数'!$B$39*P536))^2/((R536*'参数'!$B$45*(1+'参数'!$B$39*P536))+'参数'!$B$22*(I536)))/'参数'!$B$46)+((S536*(1+'参数'!$B$39*P536))^2/((S536*(1+'参数'!$B$39*P536))+'参数'!$B$22*(I536)))*(1+'参数'!$B$42*P536)/'参数'!$J$7)*(1+'参数'!$B$37*('参数'!$B$38-1))*'参数'!$B$25</x:f>
        <x:v>72276.65152942482</x:v>
      </x:c>
      <x:c r="W536" s="18" t="n">
        <x:f>(('参数'!$K$5*(((Q536*(1+'参数'!$B$39*P536))^2/((Q536*(1+'参数'!$B$39*P536))+'参数'!$B$22*(M536)))*(1+'参数'!$B$42*P536)/'参数'!$J$5+((Q536*'参数'!$B$43*(1+'参数'!$B$39*P536))^2/((Q536*'参数'!$B$43*(1+'参数'!$B$39*P536))+'参数'!$B$22*(M536)))/'参数'!$B$44))+(((R536*(1+'参数'!$B$39*P536))^2/((R536*(1+'参数'!$B$39*P536))+'参数'!$B$22*(M536)))*(1+'参数'!$B$42*P536)/'参数'!$J$6+((R536*'参数'!$B$45*(1+'参数'!$B$39*P536))^2/((R536*'参数'!$B$45*(1+'参数'!$B$39*P536))+'参数'!$B$22*(M536)))/'参数'!$B$46)+((S536*(1+'参数'!$B$39*P536))^2/((S536*(1+'参数'!$B$39*P536))+'参数'!$B$22*(M536)))*(1+'参数'!$B$42*P536)/'参数'!$J$7)*(1+'参数'!$B$37*('参数'!$B$38-1))</x:f>
        <x:v>55684.2511674383</x:v>
      </x:c>
      <x:c r="X536" s="25" t="n">
        <x:f>('参数'!$B$26+'参数'!$B$27*(D536-1)/99)*'参数'!$K$30*AD536</x:f>
        <x:v>30.61512605042017</x:v>
      </x:c>
      <x:c r="Y536" s="25" t="n">
        <x:f>('参数'!$B$28+'参数'!$B$29*(D536-1)/99)*'参数'!$K$30*AD536*IF(AE536=1,'参数'!$B$51,1)</x:f>
        <x:v>85.04201680672269</x:v>
      </x:c>
      <x:c r="Z536" s="21" t="n">
        <x:f>MIN('参数'!$B$36,U536/(U536+'参数'!$B$35))</x:f>
        <x:v>0.6261416482848315</x:v>
      </x:c>
      <x:c r="AA536" s="18" t="n">
        <x:f>T536*'参数'!$B$30/('参数'!$B$32*'参数'!$B$33)/(1-Z536)*AC536</x:f>
        <x:v>11072.71021498484</x:v>
      </x:c>
      <x:c r="AB536" s="18" t="n">
        <x:f>T536*'参数'!$B$31/'参数'!$B$34/(1-Z536)*AC536</x:f>
        <x:v>22145.42042996968</x:v>
      </x:c>
      <x:c r="AC536" s="15" t="n">
        <x:f>'参数'!$L$30*(1+'参数'!$B$53*(B536-1)/119)</x:f>
        <x:v>1.3953781512605044</x:v>
      </x:c>
      <x:c r="AD536" s="15" t="n">
        <x:f>1+'参数'!$B$52*(B536-1)/119</x:f>
        <x:v>1.0630252100840336</x:v>
      </x:c>
      <x:c r="AE536" s="18" t="n">
        <x:f>IF(MOD(B536,12)=0,1,0)</x:f>
        <x:v>0</x:v>
      </x:c>
    </x:row>
    <x:row r="537" ht="22" customHeight="1">
      <x:c r="A537" s="19" t="str">
        <x:v>折磨</x:v>
      </x:c>
      <x:c r="B537" s="19" t="n">
        <x:v>52</x:v>
      </x:c>
      <x:c r="C537" s="19" t="n">
        <x:f>ROUNDUP(B537/12,0)</x:f>
        <x:v>5</x:v>
      </x:c>
      <x:c r="D537" s="19" t="n">
        <x:f>ROUND(MAX('参数'!$G$30,E537)+(IF(C537&lt;10,INDEX('参数'!$G$38:$P$38,1,MIN(10,C537+1)),'参数'!$H$30)-MAX('参数'!$G$30,E537))*MOD(B537-1,12)/11,0)</x:f>
        <x:v>100</x:v>
      </x:c>
      <x:c r="E537" s="19" t="n">
        <x:f>INDEX('参数'!$G$38:$P$38,1,C537)</x:f>
        <x:v>100</x:v>
      </x:c>
      <x:c r="F537" s="20" t="n">
        <x:f>'参数'!$I$30</x:f>
        <x:v>1.43</x:v>
      </x:c>
      <x:c r="G537" s="19" t="n">
        <x:f>ROUND(V537*X537/'参数'!$B$56,0)</x:f>
        <x:v>481605</x:v>
      </x:c>
      <x:c r="H537" s="19" t="n">
        <x:f>ROUND((AA537+SQRT(AA537^2+4*AA537*'参数'!$B$22*U537))/2,0)</x:f>
        <x:v>16652</x:v>
      </x:c>
      <x:c r="I537" s="19" t="n">
        <x:f>ROUND(Q537*'参数'!$B$23/'参数'!$B$22,0)</x:f>
        <x:v>2126</x:v>
      </x:c>
      <x:c r="J537" s="19" t="n">
        <x:f>ROUND(G537*'参数'!$B$50,0)</x:f>
        <x:v>1444815</x:v>
      </x:c>
      <x:c r="K537" s="19" t="n">
        <x:f>ROUND(W537*Y537,0)</x:f>
        <x:v>4741116</x:v>
      </x:c>
      <x:c r="L537" s="19" t="n">
        <x:f>ROUND((AB537+SQRT(AB537^2+4*AB537*'参数'!$B$22*U537))/2,0)</x:f>
        <x:v>28639</x:v>
      </x:c>
      <x:c r="M537" s="19" t="n">
        <x:f>ROUND(I537*'参数'!$B$24,0)</x:f>
        <x:v>2658</x:v>
      </x:c>
      <x:c r="N537" s="19" t="n">
        <x:f>'参数'!$B$9*'参数'!$B$10^(D537-1)</x:f>
        <x:v>11195.319600498813</x:v>
      </x:c>
      <x:c r="O537" s="19" t="n">
        <x:f>'参数'!$B$18*'参数'!$B$19^(MIN(E537,MAX(1,5*INT(D537/5)))-1)*F537*'参数'!$J$30*P537</x:f>
        <x:v>2103.552925769118</x:v>
      </x:c>
      <x:c r="P537" s="22" t="n">
        <x:f>MIN(1,(D537-1)/19)</x:f>
        <x:v>1</x:v>
      </x:c>
      <x:c r="Q537" s="19" t="n">
        <x:f>INDEX('角色成长'!$F$6:$F$105,D537)+O537*'参数'!$K$21</x:f>
        <x:v>10629.125838441985</x:v>
      </x:c>
      <x:c r="R537" s="19" t="n">
        <x:f>INDEX('角色成长'!$I$6:$I$105,D537)+O537*'参数'!$K$21</x:f>
        <x:v>9331.125838441985</x:v>
      </x:c>
      <x:c r="S537" s="19" t="n">
        <x:f>INDEX('角色成长'!$L$6:$L$105,D537)+O537*'参数'!$K$21</x:f>
        <x:v>8590.125838441985</x:v>
      </x:c>
      <x:c r="T537" s="19" t="n">
        <x:f>(INDEX('角色成长'!$J$6:$J$105,D537)+O537*'参数'!$L$21)*(1+'参数'!$B$40*P537)</x:f>
        <x:v>118666.76244728187</x:v>
      </x:c>
      <x:c r="U537" s="19" t="n">
        <x:f>(INDEX('角色成长'!$K$6:$K$105,D537)+O537*'参数'!$M$21)*(1+'参数'!$B$41*P537)</x:f>
        <x:v>6699.239382105553</x:v>
      </x:c>
      <x:c r="V537" s="19" t="n">
        <x:f>(('参数'!$K$5*(((Q537*(1+'参数'!$B$39*P537))^2/((Q537*(1+'参数'!$B$39*P537))+'参数'!$B$22*(I537)))*(1+'参数'!$B$42*P537)/'参数'!$J$5+((Q537*'参数'!$B$43*(1+'参数'!$B$39*P537))^2/((Q537*'参数'!$B$43*(1+'参数'!$B$39*P537))+'参数'!$B$22*(I537)))/'参数'!$B$44))+(((R537*(1+'参数'!$B$39*P537))^2/((R537*(1+'参数'!$B$39*P537))+'参数'!$B$22*(I537)))*(1+'参数'!$B$42*P537)/'参数'!$J$6+((R537*'参数'!$B$45*(1+'参数'!$B$39*P537))^2/((R537*'参数'!$B$45*(1+'参数'!$B$39*P537))+'参数'!$B$22*(I537)))/'参数'!$B$46)+((S537*(1+'参数'!$B$39*P537))^2/((S537*(1+'参数'!$B$39*P537))+'参数'!$B$22*(I537)))*(1+'参数'!$B$42*P537)/'参数'!$J$7)*(1+'参数'!$B$37*('参数'!$B$38-1))*'参数'!$B$25</x:f>
        <x:v>72276.65152942482</x:v>
      </x:c>
      <x:c r="W537" s="19" t="n">
        <x:f>(('参数'!$K$5*(((Q537*(1+'参数'!$B$39*P537))^2/((Q537*(1+'参数'!$B$39*P537))+'参数'!$B$22*(M537)))*(1+'参数'!$B$42*P537)/'参数'!$J$5+((Q537*'参数'!$B$43*(1+'参数'!$B$39*P537))^2/((Q537*'参数'!$B$43*(1+'参数'!$B$39*P537))+'参数'!$B$22*(M537)))/'参数'!$B$44))+(((R537*(1+'参数'!$B$39*P537))^2/((R537*(1+'参数'!$B$39*P537))+'参数'!$B$22*(M537)))*(1+'参数'!$B$42*P537)/'参数'!$J$6+((R537*'参数'!$B$45*(1+'参数'!$B$39*P537))^2/((R537*'参数'!$B$45*(1+'参数'!$B$39*P537))+'参数'!$B$22*(M537)))/'参数'!$B$46)+((S537*(1+'参数'!$B$39*P537))^2/((S537*(1+'参数'!$B$39*P537))+'参数'!$B$22*(M537)))*(1+'参数'!$B$42*P537)/'参数'!$J$7)*(1+'参数'!$B$37*('参数'!$B$38-1))</x:f>
        <x:v>55684.2511674383</x:v>
      </x:c>
      <x:c r="X537" s="26" t="n">
        <x:f>('参数'!$B$26+'参数'!$B$27*(D537-1)/99)*'参数'!$K$30*AD537</x:f>
        <x:v>30.65142857142857</x:v>
      </x:c>
      <x:c r="Y537" s="26" t="n">
        <x:f>('参数'!$B$28+'参数'!$B$29*(D537-1)/99)*'参数'!$K$30*AD537*IF(AE537=1,'参数'!$B$51,1)</x:f>
        <x:v>85.14285714285714</x:v>
      </x:c>
      <x:c r="Z537" s="22" t="n">
        <x:f>MIN('参数'!$B$36,U537/(U537+'参数'!$B$35))</x:f>
        <x:v>0.6261416482848315</x:v>
      </x:c>
      <x:c r="AA537" s="19" t="n">
        <x:f>T537*'参数'!$B$30/('参数'!$B$32*'参数'!$B$33)/(1-Z537)*AC537</x:f>
        <x:v>11079.911977726293</x:v>
      </x:c>
      <x:c r="AB537" s="19" t="n">
        <x:f>T537*'参数'!$B$31/'参数'!$B$34/(1-Z537)*AC537</x:f>
        <x:v>22159.823955452586</x:v>
      </x:c>
      <x:c r="AC537" s="20" t="n">
        <x:f>'参数'!$L$30*(1+'参数'!$B$53*(B537-1)/119)</x:f>
        <x:v>1.3962857142857144</x:v>
      </x:c>
      <x:c r="AD537" s="20" t="n">
        <x:f>1+'参数'!$B$52*(B537-1)/119</x:f>
        <x:v>1.0642857142857143</x:v>
      </x:c>
      <x:c r="AE537" s="19" t="n">
        <x:f>IF(MOD(B537,12)=0,1,0)</x:f>
        <x:v>0</x:v>
      </x:c>
    </x:row>
    <x:row r="538" ht="22" customHeight="1">
      <x:c r="A538" s="18" t="str">
        <x:v>折磨</x:v>
      </x:c>
      <x:c r="B538" s="18" t="n">
        <x:v>53</x:v>
      </x:c>
      <x:c r="C538" s="18" t="n">
        <x:f>ROUNDUP(B538/12,0)</x:f>
        <x:v>5</x:v>
      </x:c>
      <x:c r="D538" s="18" t="n">
        <x:f>ROUND(MAX('参数'!$G$30,E538)+(IF(C538&lt;10,INDEX('参数'!$G$38:$P$38,1,MIN(10,C538+1)),'参数'!$H$30)-MAX('参数'!$G$30,E538))*MOD(B538-1,12)/11,0)</x:f>
        <x:v>100</x:v>
      </x:c>
      <x:c r="E538" s="18" t="n">
        <x:f>INDEX('参数'!$G$38:$P$38,1,C538)</x:f>
        <x:v>100</x:v>
      </x:c>
      <x:c r="F538" s="15" t="n">
        <x:f>'参数'!$I$30</x:f>
        <x:v>1.43</x:v>
      </x:c>
      <x:c r="G538" s="18" t="n">
        <x:f>ROUND(V538*X538/'参数'!$B$56,0)</x:f>
        <x:v>482175</x:v>
      </x:c>
      <x:c r="H538" s="18" t="n">
        <x:f>ROUND((AA538+SQRT(AA538^2+4*AA538*'参数'!$B$22*U538))/2,0)</x:f>
        <x:v>16660</x:v>
      </x:c>
      <x:c r="I538" s="18" t="n">
        <x:f>ROUND(Q538*'参数'!$B$23/'参数'!$B$22,0)</x:f>
        <x:v>2126</x:v>
      </x:c>
      <x:c r="J538" s="18" t="n">
        <x:f>ROUND(G538*'参数'!$B$50,0)</x:f>
        <x:v>1446525</x:v>
      </x:c>
      <x:c r="K538" s="18" t="n">
        <x:f>ROUND(W538*Y538,0)</x:f>
        <x:v>4746731</x:v>
      </x:c>
      <x:c r="L538" s="18" t="n">
        <x:f>ROUND((AB538+SQRT(AB538^2+4*AB538*'参数'!$B$22*U538))/2,0)</x:f>
        <x:v>28654</x:v>
      </x:c>
      <x:c r="M538" s="18" t="n">
        <x:f>ROUND(I538*'参数'!$B$24,0)</x:f>
        <x:v>2658</x:v>
      </x:c>
      <x:c r="N538" s="18" t="n">
        <x:f>'参数'!$B$9*'参数'!$B$10^(D538-1)</x:f>
        <x:v>11195.319600498813</x:v>
      </x:c>
      <x:c r="O538" s="18" t="n">
        <x:f>'参数'!$B$18*'参数'!$B$19^(MIN(E538,MAX(1,5*INT(D538/5)))-1)*F538*'参数'!$J$30*P538</x:f>
        <x:v>2103.552925769118</x:v>
      </x:c>
      <x:c r="P538" s="21" t="n">
        <x:f>MIN(1,(D538-1)/19)</x:f>
        <x:v>1</x:v>
      </x:c>
      <x:c r="Q538" s="18" t="n">
        <x:f>INDEX('角色成长'!$F$6:$F$105,D538)+O538*'参数'!$K$21</x:f>
        <x:v>10629.125838441985</x:v>
      </x:c>
      <x:c r="R538" s="18" t="n">
        <x:f>INDEX('角色成长'!$I$6:$I$105,D538)+O538*'参数'!$K$21</x:f>
        <x:v>9331.125838441985</x:v>
      </x:c>
      <x:c r="S538" s="18" t="n">
        <x:f>INDEX('角色成长'!$L$6:$L$105,D538)+O538*'参数'!$K$21</x:f>
        <x:v>8590.125838441985</x:v>
      </x:c>
      <x:c r="T538" s="18" t="n">
        <x:f>(INDEX('角色成长'!$J$6:$J$105,D538)+O538*'参数'!$L$21)*(1+'参数'!$B$40*P538)</x:f>
        <x:v>118666.76244728187</x:v>
      </x:c>
      <x:c r="U538" s="18" t="n">
        <x:f>(INDEX('角色成长'!$K$6:$K$105,D538)+O538*'参数'!$M$21)*(1+'参数'!$B$41*P538)</x:f>
        <x:v>6699.239382105553</x:v>
      </x:c>
      <x:c r="V538" s="18" t="n">
        <x:f>(('参数'!$K$5*(((Q538*(1+'参数'!$B$39*P538))^2/((Q538*(1+'参数'!$B$39*P538))+'参数'!$B$22*(I538)))*(1+'参数'!$B$42*P538)/'参数'!$J$5+((Q538*'参数'!$B$43*(1+'参数'!$B$39*P538))^2/((Q538*'参数'!$B$43*(1+'参数'!$B$39*P538))+'参数'!$B$22*(I538)))/'参数'!$B$44))+(((R538*(1+'参数'!$B$39*P538))^2/((R538*(1+'参数'!$B$39*P538))+'参数'!$B$22*(I538)))*(1+'参数'!$B$42*P538)/'参数'!$J$6+((R538*'参数'!$B$45*(1+'参数'!$B$39*P538))^2/((R538*'参数'!$B$45*(1+'参数'!$B$39*P538))+'参数'!$B$22*(I538)))/'参数'!$B$46)+((S538*(1+'参数'!$B$39*P538))^2/((S538*(1+'参数'!$B$39*P538))+'参数'!$B$22*(I538)))*(1+'参数'!$B$42*P538)/'参数'!$J$7)*(1+'参数'!$B$37*('参数'!$B$38-1))*'参数'!$B$25</x:f>
        <x:v>72276.65152942482</x:v>
      </x:c>
      <x:c r="W538" s="18" t="n">
        <x:f>(('参数'!$K$5*(((Q538*(1+'参数'!$B$39*P538))^2/((Q538*(1+'参数'!$B$39*P538))+'参数'!$B$22*(M538)))*(1+'参数'!$B$42*P538)/'参数'!$J$5+((Q538*'参数'!$B$43*(1+'参数'!$B$39*P538))^2/((Q538*'参数'!$B$43*(1+'参数'!$B$39*P538))+'参数'!$B$22*(M538)))/'参数'!$B$44))+(((R538*(1+'参数'!$B$39*P538))^2/((R538*(1+'参数'!$B$39*P538))+'参数'!$B$22*(M538)))*(1+'参数'!$B$42*P538)/'参数'!$J$6+((R538*'参数'!$B$45*(1+'参数'!$B$39*P538))^2/((R538*'参数'!$B$45*(1+'参数'!$B$39*P538))+'参数'!$B$22*(M538)))/'参数'!$B$46)+((S538*(1+'参数'!$B$39*P538))^2/((S538*(1+'参数'!$B$39*P538))+'参数'!$B$22*(M538)))*(1+'参数'!$B$42*P538)/'参数'!$J$7)*(1+'参数'!$B$37*('参数'!$B$38-1))</x:f>
        <x:v>55684.2511674383</x:v>
      </x:c>
      <x:c r="X538" s="25" t="n">
        <x:f>('参数'!$B$26+'参数'!$B$27*(D538-1)/99)*'参数'!$K$30*AD538</x:f>
        <x:v>30.687731092436977</x:v>
      </x:c>
      <x:c r="Y538" s="25" t="n">
        <x:f>('参数'!$B$28+'参数'!$B$29*(D538-1)/99)*'参数'!$K$30*AD538*IF(AE538=1,'参数'!$B$51,1)</x:f>
        <x:v>85.24369747899159</x:v>
      </x:c>
      <x:c r="Z538" s="21" t="n">
        <x:f>MIN('参数'!$B$36,U538/(U538+'参数'!$B$35))</x:f>
        <x:v>0.6261416482848315</x:v>
      </x:c>
      <x:c r="AA538" s="18" t="n">
        <x:f>T538*'参数'!$B$30/('参数'!$B$32*'参数'!$B$33)/(1-Z538)*AC538</x:f>
        <x:v>11087.113740467747</x:v>
      </x:c>
      <x:c r="AB538" s="18" t="n">
        <x:f>T538*'参数'!$B$31/'参数'!$B$34/(1-Z538)*AC538</x:f>
        <x:v>22174.227480935493</x:v>
      </x:c>
      <x:c r="AC538" s="15" t="n">
        <x:f>'参数'!$L$30*(1+'参数'!$B$53*(B538-1)/119)</x:f>
        <x:v>1.3971932773109246</x:v>
      </x:c>
      <x:c r="AD538" s="15" t="n">
        <x:f>1+'参数'!$B$52*(B538-1)/119</x:f>
        <x:v>1.065546218487395</x:v>
      </x:c>
      <x:c r="AE538" s="18" t="n">
        <x:f>IF(MOD(B538,12)=0,1,0)</x:f>
        <x:v>0</x:v>
      </x:c>
    </x:row>
    <x:row r="539" ht="22" customHeight="1">
      <x:c r="A539" s="19" t="str">
        <x:v>折磨</x:v>
      </x:c>
      <x:c r="B539" s="19" t="n">
        <x:v>54</x:v>
      </x:c>
      <x:c r="C539" s="19" t="n">
        <x:f>ROUNDUP(B539/12,0)</x:f>
        <x:v>5</x:v>
      </x:c>
      <x:c r="D539" s="19" t="n">
        <x:f>ROUND(MAX('参数'!$G$30,E539)+(IF(C539&lt;10,INDEX('参数'!$G$38:$P$38,1,MIN(10,C539+1)),'参数'!$H$30)-MAX('参数'!$G$30,E539))*MOD(B539-1,12)/11,0)</x:f>
        <x:v>100</x:v>
      </x:c>
      <x:c r="E539" s="19" t="n">
        <x:f>INDEX('参数'!$G$38:$P$38,1,C539)</x:f>
        <x:v>100</x:v>
      </x:c>
      <x:c r="F539" s="20" t="n">
        <x:f>'参数'!$I$30</x:f>
        <x:v>1.43</x:v>
      </x:c>
      <x:c r="G539" s="19" t="n">
        <x:f>ROUND(V539*X539/'参数'!$B$56,0)</x:f>
        <x:v>482746</x:v>
      </x:c>
      <x:c r="H539" s="19" t="n">
        <x:f>ROUND((AA539+SQRT(AA539^2+4*AA539*'参数'!$B$22*U539))/2,0)</x:f>
        <x:v>16668</x:v>
      </x:c>
      <x:c r="I539" s="19" t="n">
        <x:f>ROUND(Q539*'参数'!$B$23/'参数'!$B$22,0)</x:f>
        <x:v>2126</x:v>
      </x:c>
      <x:c r="J539" s="19" t="n">
        <x:f>ROUND(G539*'参数'!$B$50,0)</x:f>
        <x:v>1448238</x:v>
      </x:c>
      <x:c r="K539" s="19" t="n">
        <x:f>ROUND(W539*Y539,0)</x:f>
        <x:v>4752347</x:v>
      </x:c>
      <x:c r="L539" s="19" t="n">
        <x:f>ROUND((AB539+SQRT(AB539^2+4*AB539*'参数'!$B$22*U539))/2,0)</x:f>
        <x:v>28670</x:v>
      </x:c>
      <x:c r="M539" s="19" t="n">
        <x:f>ROUND(I539*'参数'!$B$24,0)</x:f>
        <x:v>2658</x:v>
      </x:c>
      <x:c r="N539" s="19" t="n">
        <x:f>'参数'!$B$9*'参数'!$B$10^(D539-1)</x:f>
        <x:v>11195.319600498813</x:v>
      </x:c>
      <x:c r="O539" s="19" t="n">
        <x:f>'参数'!$B$18*'参数'!$B$19^(MIN(E539,MAX(1,5*INT(D539/5)))-1)*F539*'参数'!$J$30*P539</x:f>
        <x:v>2103.552925769118</x:v>
      </x:c>
      <x:c r="P539" s="22" t="n">
        <x:f>MIN(1,(D539-1)/19)</x:f>
        <x:v>1</x:v>
      </x:c>
      <x:c r="Q539" s="19" t="n">
        <x:f>INDEX('角色成长'!$F$6:$F$105,D539)+O539*'参数'!$K$21</x:f>
        <x:v>10629.125838441985</x:v>
      </x:c>
      <x:c r="R539" s="19" t="n">
        <x:f>INDEX('角色成长'!$I$6:$I$105,D539)+O539*'参数'!$K$21</x:f>
        <x:v>9331.125838441985</x:v>
      </x:c>
      <x:c r="S539" s="19" t="n">
        <x:f>INDEX('角色成长'!$L$6:$L$105,D539)+O539*'参数'!$K$21</x:f>
        <x:v>8590.125838441985</x:v>
      </x:c>
      <x:c r="T539" s="19" t="n">
        <x:f>(INDEX('角色成长'!$J$6:$J$105,D539)+O539*'参数'!$L$21)*(1+'参数'!$B$40*P539)</x:f>
        <x:v>118666.76244728187</x:v>
      </x:c>
      <x:c r="U539" s="19" t="n">
        <x:f>(INDEX('角色成长'!$K$6:$K$105,D539)+O539*'参数'!$M$21)*(1+'参数'!$B$41*P539)</x:f>
        <x:v>6699.239382105553</x:v>
      </x:c>
      <x:c r="V539" s="19" t="n">
        <x:f>(('参数'!$K$5*(((Q539*(1+'参数'!$B$39*P539))^2/((Q539*(1+'参数'!$B$39*P539))+'参数'!$B$22*(I539)))*(1+'参数'!$B$42*P539)/'参数'!$J$5+((Q539*'参数'!$B$43*(1+'参数'!$B$39*P539))^2/((Q539*'参数'!$B$43*(1+'参数'!$B$39*P539))+'参数'!$B$22*(I539)))/'参数'!$B$44))+(((R539*(1+'参数'!$B$39*P539))^2/((R539*(1+'参数'!$B$39*P539))+'参数'!$B$22*(I539)))*(1+'参数'!$B$42*P539)/'参数'!$J$6+((R539*'参数'!$B$45*(1+'参数'!$B$39*P539))^2/((R539*'参数'!$B$45*(1+'参数'!$B$39*P539))+'参数'!$B$22*(I539)))/'参数'!$B$46)+((S539*(1+'参数'!$B$39*P539))^2/((S539*(1+'参数'!$B$39*P539))+'参数'!$B$22*(I539)))*(1+'参数'!$B$42*P539)/'参数'!$J$7)*(1+'参数'!$B$37*('参数'!$B$38-1))*'参数'!$B$25</x:f>
        <x:v>72276.65152942482</x:v>
      </x:c>
      <x:c r="W539" s="19" t="n">
        <x:f>(('参数'!$K$5*(((Q539*(1+'参数'!$B$39*P539))^2/((Q539*(1+'参数'!$B$39*P539))+'参数'!$B$22*(M539)))*(1+'参数'!$B$42*P539)/'参数'!$J$5+((Q539*'参数'!$B$43*(1+'参数'!$B$39*P539))^2/((Q539*'参数'!$B$43*(1+'参数'!$B$39*P539))+'参数'!$B$22*(M539)))/'参数'!$B$44))+(((R539*(1+'参数'!$B$39*P539))^2/((R539*(1+'参数'!$B$39*P539))+'参数'!$B$22*(M539)))*(1+'参数'!$B$42*P539)/'参数'!$J$6+((R539*'参数'!$B$45*(1+'参数'!$B$39*P539))^2/((R539*'参数'!$B$45*(1+'参数'!$B$39*P539))+'参数'!$B$22*(M539)))/'参数'!$B$46)+((S539*(1+'参数'!$B$39*P539))^2/((S539*(1+'参数'!$B$39*P539))+'参数'!$B$22*(M539)))*(1+'参数'!$B$42*P539)/'参数'!$J$7)*(1+'参数'!$B$37*('参数'!$B$38-1))</x:f>
        <x:v>55684.2511674383</x:v>
      </x:c>
      <x:c r="X539" s="26" t="n">
        <x:f>('参数'!$B$26+'参数'!$B$27*(D539-1)/99)*'参数'!$K$30*AD539</x:f>
        <x:v>30.72403361344538</x:v>
      </x:c>
      <x:c r="Y539" s="26" t="n">
        <x:f>('参数'!$B$28+'参数'!$B$29*(D539-1)/99)*'参数'!$K$30*AD539*IF(AE539=1,'参数'!$B$51,1)</x:f>
        <x:v>85.34453781512605</x:v>
      </x:c>
      <x:c r="Z539" s="22" t="n">
        <x:f>MIN('参数'!$B$36,U539/(U539+'参数'!$B$35))</x:f>
        <x:v>0.6261416482848315</x:v>
      </x:c>
      <x:c r="AA539" s="19" t="n">
        <x:f>T539*'参数'!$B$30/('参数'!$B$32*'参数'!$B$33)/(1-Z539)*AC539</x:f>
        <x:v>11094.315503209198</x:v>
      </x:c>
      <x:c r="AB539" s="19" t="n">
        <x:f>T539*'参数'!$B$31/'参数'!$B$34/(1-Z539)*AC539</x:f>
        <x:v>22188.631006418396</x:v>
      </x:c>
      <x:c r="AC539" s="20" t="n">
        <x:f>'参数'!$L$30*(1+'参数'!$B$53*(B539-1)/119)</x:f>
        <x:v>1.3981008403361344</x:v>
      </x:c>
      <x:c r="AD539" s="20" t="n">
        <x:f>1+'参数'!$B$52*(B539-1)/119</x:f>
        <x:v>1.0668067226890756</x:v>
      </x:c>
      <x:c r="AE539" s="19" t="n">
        <x:f>IF(MOD(B539,12)=0,1,0)</x:f>
        <x:v>0</x:v>
      </x:c>
    </x:row>
    <x:row r="540" ht="22" customHeight="1">
      <x:c r="A540" s="18" t="str">
        <x:v>折磨</x:v>
      </x:c>
      <x:c r="B540" s="18" t="n">
        <x:v>55</x:v>
      </x:c>
      <x:c r="C540" s="18" t="n">
        <x:f>ROUNDUP(B540/12,0)</x:f>
        <x:v>5</x:v>
      </x:c>
      <x:c r="D540" s="18" t="n">
        <x:f>ROUND(MAX('参数'!$G$30,E540)+(IF(C540&lt;10,INDEX('参数'!$G$38:$P$38,1,MIN(10,C540+1)),'参数'!$H$30)-MAX('参数'!$G$30,E540))*MOD(B540-1,12)/11,0)</x:f>
        <x:v>100</x:v>
      </x:c>
      <x:c r="E540" s="18" t="n">
        <x:f>INDEX('参数'!$G$38:$P$38,1,C540)</x:f>
        <x:v>100</x:v>
      </x:c>
      <x:c r="F540" s="15" t="n">
        <x:f>'参数'!$I$30</x:f>
        <x:v>1.43</x:v>
      </x:c>
      <x:c r="G540" s="18" t="n">
        <x:f>ROUND(V540*X540/'参数'!$B$56,0)</x:f>
        <x:v>483316</x:v>
      </x:c>
      <x:c r="H540" s="18" t="n">
        <x:f>ROUND((AA540+SQRT(AA540^2+4*AA540*'参数'!$B$22*U540))/2,0)</x:f>
        <x:v>16676</x:v>
      </x:c>
      <x:c r="I540" s="18" t="n">
        <x:f>ROUND(Q540*'参数'!$B$23/'参数'!$B$22,0)</x:f>
        <x:v>2126</x:v>
      </x:c>
      <x:c r="J540" s="18" t="n">
        <x:f>ROUND(G540*'参数'!$B$50,0)</x:f>
        <x:v>1449948</x:v>
      </x:c>
      <x:c r="K540" s="18" t="n">
        <x:f>ROUND(W540*Y540,0)</x:f>
        <x:v>4757962</x:v>
      </x:c>
      <x:c r="L540" s="18" t="n">
        <x:f>ROUND((AB540+SQRT(AB540^2+4*AB540*'参数'!$B$22*U540))/2,0)</x:f>
        <x:v>28685</x:v>
      </x:c>
      <x:c r="M540" s="18" t="n">
        <x:f>ROUND(I540*'参数'!$B$24,0)</x:f>
        <x:v>2658</x:v>
      </x:c>
      <x:c r="N540" s="18" t="n">
        <x:f>'参数'!$B$9*'参数'!$B$10^(D540-1)</x:f>
        <x:v>11195.319600498813</x:v>
      </x:c>
      <x:c r="O540" s="18" t="n">
        <x:f>'参数'!$B$18*'参数'!$B$19^(MIN(E540,MAX(1,5*INT(D540/5)))-1)*F540*'参数'!$J$30*P540</x:f>
        <x:v>2103.552925769118</x:v>
      </x:c>
      <x:c r="P540" s="21" t="n">
        <x:f>MIN(1,(D540-1)/19)</x:f>
        <x:v>1</x:v>
      </x:c>
      <x:c r="Q540" s="18" t="n">
        <x:f>INDEX('角色成长'!$F$6:$F$105,D540)+O540*'参数'!$K$21</x:f>
        <x:v>10629.125838441985</x:v>
      </x:c>
      <x:c r="R540" s="18" t="n">
        <x:f>INDEX('角色成长'!$I$6:$I$105,D540)+O540*'参数'!$K$21</x:f>
        <x:v>9331.125838441985</x:v>
      </x:c>
      <x:c r="S540" s="18" t="n">
        <x:f>INDEX('角色成长'!$L$6:$L$105,D540)+O540*'参数'!$K$21</x:f>
        <x:v>8590.125838441985</x:v>
      </x:c>
      <x:c r="T540" s="18" t="n">
        <x:f>(INDEX('角色成长'!$J$6:$J$105,D540)+O540*'参数'!$L$21)*(1+'参数'!$B$40*P540)</x:f>
        <x:v>118666.76244728187</x:v>
      </x:c>
      <x:c r="U540" s="18" t="n">
        <x:f>(INDEX('角色成长'!$K$6:$K$105,D540)+O540*'参数'!$M$21)*(1+'参数'!$B$41*P540)</x:f>
        <x:v>6699.239382105553</x:v>
      </x:c>
      <x:c r="V540" s="18" t="n">
        <x:f>(('参数'!$K$5*(((Q540*(1+'参数'!$B$39*P540))^2/((Q540*(1+'参数'!$B$39*P540))+'参数'!$B$22*(I540)))*(1+'参数'!$B$42*P540)/'参数'!$J$5+((Q540*'参数'!$B$43*(1+'参数'!$B$39*P540))^2/((Q540*'参数'!$B$43*(1+'参数'!$B$39*P540))+'参数'!$B$22*(I540)))/'参数'!$B$44))+(((R540*(1+'参数'!$B$39*P540))^2/((R540*(1+'参数'!$B$39*P540))+'参数'!$B$22*(I540)))*(1+'参数'!$B$42*P540)/'参数'!$J$6+((R540*'参数'!$B$45*(1+'参数'!$B$39*P540))^2/((R540*'参数'!$B$45*(1+'参数'!$B$39*P540))+'参数'!$B$22*(I540)))/'参数'!$B$46)+((S540*(1+'参数'!$B$39*P540))^2/((S540*(1+'参数'!$B$39*P540))+'参数'!$B$22*(I540)))*(1+'参数'!$B$42*P540)/'参数'!$J$7)*(1+'参数'!$B$37*('参数'!$B$38-1))*'参数'!$B$25</x:f>
        <x:v>72276.65152942482</x:v>
      </x:c>
      <x:c r="W540" s="18" t="n">
        <x:f>(('参数'!$K$5*(((Q540*(1+'参数'!$B$39*P540))^2/((Q540*(1+'参数'!$B$39*P540))+'参数'!$B$22*(M540)))*(1+'参数'!$B$42*P540)/'参数'!$J$5+((Q540*'参数'!$B$43*(1+'参数'!$B$39*P540))^2/((Q540*'参数'!$B$43*(1+'参数'!$B$39*P540))+'参数'!$B$22*(M540)))/'参数'!$B$44))+(((R540*(1+'参数'!$B$39*P540))^2/((R540*(1+'参数'!$B$39*P540))+'参数'!$B$22*(M540)))*(1+'参数'!$B$42*P540)/'参数'!$J$6+((R540*'参数'!$B$45*(1+'参数'!$B$39*P540))^2/((R540*'参数'!$B$45*(1+'参数'!$B$39*P540))+'参数'!$B$22*(M540)))/'参数'!$B$46)+((S540*(1+'参数'!$B$39*P540))^2/((S540*(1+'参数'!$B$39*P540))+'参数'!$B$22*(M540)))*(1+'参数'!$B$42*P540)/'参数'!$J$7)*(1+'参数'!$B$37*('参数'!$B$38-1))</x:f>
        <x:v>55684.2511674383</x:v>
      </x:c>
      <x:c r="X540" s="25" t="n">
        <x:f>('参数'!$B$26+'参数'!$B$27*(D540-1)/99)*'参数'!$K$30*AD540</x:f>
        <x:v>30.76033613445378</x:v>
      </x:c>
      <x:c r="Y540" s="25" t="n">
        <x:f>('参数'!$B$28+'参数'!$B$29*(D540-1)/99)*'参数'!$K$30*AD540*IF(AE540=1,'参数'!$B$51,1)</x:f>
        <x:v>85.4453781512605</x:v>
      </x:c>
      <x:c r="Z540" s="21" t="n">
        <x:f>MIN('参数'!$B$36,U540/(U540+'参数'!$B$35))</x:f>
        <x:v>0.6261416482848315</x:v>
      </x:c>
      <x:c r="AA540" s="18" t="n">
        <x:f>T540*'参数'!$B$30/('参数'!$B$32*'参数'!$B$33)/(1-Z540)*AC540</x:f>
        <x:v>11101.517265950653</x:v>
      </x:c>
      <x:c r="AB540" s="18" t="n">
        <x:f>T540*'参数'!$B$31/'参数'!$B$34/(1-Z540)*AC540</x:f>
        <x:v>22203.034531901307</x:v>
      </x:c>
      <x:c r="AC540" s="15" t="n">
        <x:f>'参数'!$L$30*(1+'参数'!$B$53*(B540-1)/119)</x:f>
        <x:v>1.3990084033613446</x:v>
      </x:c>
      <x:c r="AD540" s="15" t="n">
        <x:f>1+'参数'!$B$52*(B540-1)/119</x:f>
        <x:v>1.0680672268907563</x:v>
      </x:c>
      <x:c r="AE540" s="18" t="n">
        <x:f>IF(MOD(B540,12)=0,1,0)</x:f>
        <x:v>0</x:v>
      </x:c>
    </x:row>
    <x:row r="541" ht="22" customHeight="1">
      <x:c r="A541" s="19" t="str">
        <x:v>折磨</x:v>
      </x:c>
      <x:c r="B541" s="19" t="n">
        <x:v>56</x:v>
      </x:c>
      <x:c r="C541" s="19" t="n">
        <x:f>ROUNDUP(B541/12,0)</x:f>
        <x:v>5</x:v>
      </x:c>
      <x:c r="D541" s="19" t="n">
        <x:f>ROUND(MAX('参数'!$G$30,E541)+(IF(C541&lt;10,INDEX('参数'!$G$38:$P$38,1,MIN(10,C541+1)),'参数'!$H$30)-MAX('参数'!$G$30,E541))*MOD(B541-1,12)/11,0)</x:f>
        <x:v>100</x:v>
      </x:c>
      <x:c r="E541" s="19" t="n">
        <x:f>INDEX('参数'!$G$38:$P$38,1,C541)</x:f>
        <x:v>100</x:v>
      </x:c>
      <x:c r="F541" s="20" t="n">
        <x:f>'参数'!$I$30</x:f>
        <x:v>1.43</x:v>
      </x:c>
      <x:c r="G541" s="19" t="n">
        <x:f>ROUND(V541*X541/'参数'!$B$56,0)</x:f>
        <x:v>483887</x:v>
      </x:c>
      <x:c r="H541" s="19" t="n">
        <x:f>ROUND((AA541+SQRT(AA541^2+4*AA541*'参数'!$B$22*U541))/2,0)</x:f>
        <x:v>16684</x:v>
      </x:c>
      <x:c r="I541" s="19" t="n">
        <x:f>ROUND(Q541*'参数'!$B$23/'参数'!$B$22,0)</x:f>
        <x:v>2126</x:v>
      </x:c>
      <x:c r="J541" s="19" t="n">
        <x:f>ROUND(G541*'参数'!$B$50,0)</x:f>
        <x:v>1451661</x:v>
      </x:c>
      <x:c r="K541" s="19" t="n">
        <x:f>ROUND(W541*Y541,0)</x:f>
        <x:v>4763577</x:v>
      </x:c>
      <x:c r="L541" s="19" t="n">
        <x:f>ROUND((AB541+SQRT(AB541^2+4*AB541*'参数'!$B$22*U541))/2,0)</x:f>
        <x:v>28700</x:v>
      </x:c>
      <x:c r="M541" s="19" t="n">
        <x:f>ROUND(I541*'参数'!$B$24,0)</x:f>
        <x:v>2658</x:v>
      </x:c>
      <x:c r="N541" s="19" t="n">
        <x:f>'参数'!$B$9*'参数'!$B$10^(D541-1)</x:f>
        <x:v>11195.319600498813</x:v>
      </x:c>
      <x:c r="O541" s="19" t="n">
        <x:f>'参数'!$B$18*'参数'!$B$19^(MIN(E541,MAX(1,5*INT(D541/5)))-1)*F541*'参数'!$J$30*P541</x:f>
        <x:v>2103.552925769118</x:v>
      </x:c>
      <x:c r="P541" s="22" t="n">
        <x:f>MIN(1,(D541-1)/19)</x:f>
        <x:v>1</x:v>
      </x:c>
      <x:c r="Q541" s="19" t="n">
        <x:f>INDEX('角色成长'!$F$6:$F$105,D541)+O541*'参数'!$K$21</x:f>
        <x:v>10629.125838441985</x:v>
      </x:c>
      <x:c r="R541" s="19" t="n">
        <x:f>INDEX('角色成长'!$I$6:$I$105,D541)+O541*'参数'!$K$21</x:f>
        <x:v>9331.125838441985</x:v>
      </x:c>
      <x:c r="S541" s="19" t="n">
        <x:f>INDEX('角色成长'!$L$6:$L$105,D541)+O541*'参数'!$K$21</x:f>
        <x:v>8590.125838441985</x:v>
      </x:c>
      <x:c r="T541" s="19" t="n">
        <x:f>(INDEX('角色成长'!$J$6:$J$105,D541)+O541*'参数'!$L$21)*(1+'参数'!$B$40*P541)</x:f>
        <x:v>118666.76244728187</x:v>
      </x:c>
      <x:c r="U541" s="19" t="n">
        <x:f>(INDEX('角色成长'!$K$6:$K$105,D541)+O541*'参数'!$M$21)*(1+'参数'!$B$41*P541)</x:f>
        <x:v>6699.239382105553</x:v>
      </x:c>
      <x:c r="V541" s="19" t="n">
        <x:f>(('参数'!$K$5*(((Q541*(1+'参数'!$B$39*P541))^2/((Q541*(1+'参数'!$B$39*P541))+'参数'!$B$22*(I541)))*(1+'参数'!$B$42*P541)/'参数'!$J$5+((Q541*'参数'!$B$43*(1+'参数'!$B$39*P541))^2/((Q541*'参数'!$B$43*(1+'参数'!$B$39*P541))+'参数'!$B$22*(I541)))/'参数'!$B$44))+(((R541*(1+'参数'!$B$39*P541))^2/((R541*(1+'参数'!$B$39*P541))+'参数'!$B$22*(I541)))*(1+'参数'!$B$42*P541)/'参数'!$J$6+((R541*'参数'!$B$45*(1+'参数'!$B$39*P541))^2/((R541*'参数'!$B$45*(1+'参数'!$B$39*P541))+'参数'!$B$22*(I541)))/'参数'!$B$46)+((S541*(1+'参数'!$B$39*P541))^2/((S541*(1+'参数'!$B$39*P541))+'参数'!$B$22*(I541)))*(1+'参数'!$B$42*P541)/'参数'!$J$7)*(1+'参数'!$B$37*('参数'!$B$38-1))*'参数'!$B$25</x:f>
        <x:v>72276.65152942482</x:v>
      </x:c>
      <x:c r="W541" s="19" t="n">
        <x:f>(('参数'!$K$5*(((Q541*(1+'参数'!$B$39*P541))^2/((Q541*(1+'参数'!$B$39*P541))+'参数'!$B$22*(M541)))*(1+'参数'!$B$42*P541)/'参数'!$J$5+((Q541*'参数'!$B$43*(1+'参数'!$B$39*P541))^2/((Q541*'参数'!$B$43*(1+'参数'!$B$39*P541))+'参数'!$B$22*(M541)))/'参数'!$B$44))+(((R541*(1+'参数'!$B$39*P541))^2/((R541*(1+'参数'!$B$39*P541))+'参数'!$B$22*(M541)))*(1+'参数'!$B$42*P541)/'参数'!$J$6+((R541*'参数'!$B$45*(1+'参数'!$B$39*P541))^2/((R541*'参数'!$B$45*(1+'参数'!$B$39*P541))+'参数'!$B$22*(M541)))/'参数'!$B$46)+((S541*(1+'参数'!$B$39*P541))^2/((S541*(1+'参数'!$B$39*P541))+'参数'!$B$22*(M541)))*(1+'参数'!$B$42*P541)/'参数'!$J$7)*(1+'参数'!$B$37*('参数'!$B$38-1))</x:f>
        <x:v>55684.2511674383</x:v>
      </x:c>
      <x:c r="X541" s="26" t="n">
        <x:f>('参数'!$B$26+'参数'!$B$27*(D541-1)/99)*'参数'!$K$30*AD541</x:f>
        <x:v>30.796638655462186</x:v>
      </x:c>
      <x:c r="Y541" s="26" t="n">
        <x:f>('参数'!$B$28+'参数'!$B$29*(D541-1)/99)*'参数'!$K$30*AD541*IF(AE541=1,'参数'!$B$51,1)</x:f>
        <x:v>85.54621848739495</x:v>
      </x:c>
      <x:c r="Z541" s="22" t="n">
        <x:f>MIN('参数'!$B$36,U541/(U541+'参数'!$B$35))</x:f>
        <x:v>0.6261416482848315</x:v>
      </x:c>
      <x:c r="AA541" s="19" t="n">
        <x:f>T541*'参数'!$B$30/('参数'!$B$32*'参数'!$B$33)/(1-Z541)*AC541</x:f>
        <x:v>11108.719028692107</x:v>
      </x:c>
      <x:c r="AB541" s="19" t="n">
        <x:f>T541*'参数'!$B$31/'参数'!$B$34/(1-Z541)*AC541</x:f>
        <x:v>22217.438057384214</x:v>
      </x:c>
      <x:c r="AC541" s="20" t="n">
        <x:f>'参数'!$L$30*(1+'参数'!$B$53*(B541-1)/119)</x:f>
        <x:v>1.3999159663865548</x:v>
      </x:c>
      <x:c r="AD541" s="20" t="n">
        <x:f>1+'参数'!$B$52*(B541-1)/119</x:f>
        <x:v>1.069327731092437</x:v>
      </x:c>
      <x:c r="AE541" s="19" t="n">
        <x:f>IF(MOD(B541,12)=0,1,0)</x:f>
        <x:v>0</x:v>
      </x:c>
    </x:row>
    <x:row r="542" ht="22" customHeight="1">
      <x:c r="A542" s="18" t="str">
        <x:v>折磨</x:v>
      </x:c>
      <x:c r="B542" s="18" t="n">
        <x:v>57</x:v>
      </x:c>
      <x:c r="C542" s="18" t="n">
        <x:f>ROUNDUP(B542/12,0)</x:f>
        <x:v>5</x:v>
      </x:c>
      <x:c r="D542" s="18" t="n">
        <x:f>ROUND(MAX('参数'!$G$30,E542)+(IF(C542&lt;10,INDEX('参数'!$G$38:$P$38,1,MIN(10,C542+1)),'参数'!$H$30)-MAX('参数'!$G$30,E542))*MOD(B542-1,12)/11,0)</x:f>
        <x:v>100</x:v>
      </x:c>
      <x:c r="E542" s="18" t="n">
        <x:f>INDEX('参数'!$G$38:$P$38,1,C542)</x:f>
        <x:v>100</x:v>
      </x:c>
      <x:c r="F542" s="15" t="n">
        <x:f>'参数'!$I$30</x:f>
        <x:v>1.43</x:v>
      </x:c>
      <x:c r="G542" s="18" t="n">
        <x:f>ROUND(V542*X542/'参数'!$B$56,0)</x:f>
        <x:v>484457</x:v>
      </x:c>
      <x:c r="H542" s="18" t="n">
        <x:f>ROUND((AA542+SQRT(AA542^2+4*AA542*'参数'!$B$22*U542))/2,0)</x:f>
        <x:v>16692</x:v>
      </x:c>
      <x:c r="I542" s="18" t="n">
        <x:f>ROUND(Q542*'参数'!$B$23/'参数'!$B$22,0)</x:f>
        <x:v>2126</x:v>
      </x:c>
      <x:c r="J542" s="18" t="n">
        <x:f>ROUND(G542*'参数'!$B$50,0)</x:f>
        <x:v>1453371</x:v>
      </x:c>
      <x:c r="K542" s="18" t="n">
        <x:f>ROUND(W542*Y542,0)</x:f>
        <x:v>4769192</x:v>
      </x:c>
      <x:c r="L542" s="18" t="n">
        <x:f>ROUND((AB542+SQRT(AB542^2+4*AB542*'参数'!$B$22*U542))/2,0)</x:f>
        <x:v>28715</x:v>
      </x:c>
      <x:c r="M542" s="18" t="n">
        <x:f>ROUND(I542*'参数'!$B$24,0)</x:f>
        <x:v>2658</x:v>
      </x:c>
      <x:c r="N542" s="18" t="n">
        <x:f>'参数'!$B$9*'参数'!$B$10^(D542-1)</x:f>
        <x:v>11195.319600498813</x:v>
      </x:c>
      <x:c r="O542" s="18" t="n">
        <x:f>'参数'!$B$18*'参数'!$B$19^(MIN(E542,MAX(1,5*INT(D542/5)))-1)*F542*'参数'!$J$30*P542</x:f>
        <x:v>2103.552925769118</x:v>
      </x:c>
      <x:c r="P542" s="21" t="n">
        <x:f>MIN(1,(D542-1)/19)</x:f>
        <x:v>1</x:v>
      </x:c>
      <x:c r="Q542" s="18" t="n">
        <x:f>INDEX('角色成长'!$F$6:$F$105,D542)+O542*'参数'!$K$21</x:f>
        <x:v>10629.125838441985</x:v>
      </x:c>
      <x:c r="R542" s="18" t="n">
        <x:f>INDEX('角色成长'!$I$6:$I$105,D542)+O542*'参数'!$K$21</x:f>
        <x:v>9331.125838441985</x:v>
      </x:c>
      <x:c r="S542" s="18" t="n">
        <x:f>INDEX('角色成长'!$L$6:$L$105,D542)+O542*'参数'!$K$21</x:f>
        <x:v>8590.125838441985</x:v>
      </x:c>
      <x:c r="T542" s="18" t="n">
        <x:f>(INDEX('角色成长'!$J$6:$J$105,D542)+O542*'参数'!$L$21)*(1+'参数'!$B$40*P542)</x:f>
        <x:v>118666.76244728187</x:v>
      </x:c>
      <x:c r="U542" s="18" t="n">
        <x:f>(INDEX('角色成长'!$K$6:$K$105,D542)+O542*'参数'!$M$21)*(1+'参数'!$B$41*P542)</x:f>
        <x:v>6699.239382105553</x:v>
      </x:c>
      <x:c r="V542" s="18" t="n">
        <x:f>(('参数'!$K$5*(((Q542*(1+'参数'!$B$39*P542))^2/((Q542*(1+'参数'!$B$39*P542))+'参数'!$B$22*(I542)))*(1+'参数'!$B$42*P542)/'参数'!$J$5+((Q542*'参数'!$B$43*(1+'参数'!$B$39*P542))^2/((Q542*'参数'!$B$43*(1+'参数'!$B$39*P542))+'参数'!$B$22*(I542)))/'参数'!$B$44))+(((R542*(1+'参数'!$B$39*P542))^2/((R542*(1+'参数'!$B$39*P542))+'参数'!$B$22*(I542)))*(1+'参数'!$B$42*P542)/'参数'!$J$6+((R542*'参数'!$B$45*(1+'参数'!$B$39*P542))^2/((R542*'参数'!$B$45*(1+'参数'!$B$39*P542))+'参数'!$B$22*(I542)))/'参数'!$B$46)+((S542*(1+'参数'!$B$39*P542))^2/((S542*(1+'参数'!$B$39*P542))+'参数'!$B$22*(I542)))*(1+'参数'!$B$42*P542)/'参数'!$J$7)*(1+'参数'!$B$37*('参数'!$B$38-1))*'参数'!$B$25</x:f>
        <x:v>72276.65152942482</x:v>
      </x:c>
      <x:c r="W542" s="18" t="n">
        <x:f>(('参数'!$K$5*(((Q542*(1+'参数'!$B$39*P542))^2/((Q542*(1+'参数'!$B$39*P542))+'参数'!$B$22*(M542)))*(1+'参数'!$B$42*P542)/'参数'!$J$5+((Q542*'参数'!$B$43*(1+'参数'!$B$39*P542))^2/((Q542*'参数'!$B$43*(1+'参数'!$B$39*P542))+'参数'!$B$22*(M542)))/'参数'!$B$44))+(((R542*(1+'参数'!$B$39*P542))^2/((R542*(1+'参数'!$B$39*P542))+'参数'!$B$22*(M542)))*(1+'参数'!$B$42*P542)/'参数'!$J$6+((R542*'参数'!$B$45*(1+'参数'!$B$39*P542))^2/((R542*'参数'!$B$45*(1+'参数'!$B$39*P542))+'参数'!$B$22*(M542)))/'参数'!$B$46)+((S542*(1+'参数'!$B$39*P542))^2/((S542*(1+'参数'!$B$39*P542))+'参数'!$B$22*(M542)))*(1+'参数'!$B$42*P542)/'参数'!$J$7)*(1+'参数'!$B$37*('参数'!$B$38-1))</x:f>
        <x:v>55684.2511674383</x:v>
      </x:c>
      <x:c r="X542" s="25" t="n">
        <x:f>('参数'!$B$26+'参数'!$B$27*(D542-1)/99)*'参数'!$K$30*AD542</x:f>
        <x:v>30.832941176470587</x:v>
      </x:c>
      <x:c r="Y542" s="25" t="n">
        <x:f>('参数'!$B$28+'参数'!$B$29*(D542-1)/99)*'参数'!$K$30*AD542*IF(AE542=1,'参数'!$B$51,1)</x:f>
        <x:v>85.6470588235294</x:v>
      </x:c>
      <x:c r="Z542" s="21" t="n">
        <x:f>MIN('参数'!$B$36,U542/(U542+'参数'!$B$35))</x:f>
        <x:v>0.6261416482848315</x:v>
      </x:c>
      <x:c r="AA542" s="18" t="n">
        <x:f>T542*'参数'!$B$30/('参数'!$B$32*'参数'!$B$33)/(1-Z542)*AC542</x:f>
        <x:v>11115.92079143356</x:v>
      </x:c>
      <x:c r="AB542" s="18" t="n">
        <x:f>T542*'参数'!$B$31/'参数'!$B$34/(1-Z542)*AC542</x:f>
        <x:v>22231.84158286712</x:v>
      </x:c>
      <x:c r="AC542" s="15" t="n">
        <x:f>'参数'!$L$30*(1+'参数'!$B$53*(B542-1)/119)</x:f>
        <x:v>1.4008235294117648</x:v>
      </x:c>
      <x:c r="AD542" s="15" t="n">
        <x:f>1+'参数'!$B$52*(B542-1)/119</x:f>
        <x:v>1.0705882352941176</x:v>
      </x:c>
      <x:c r="AE542" s="18" t="n">
        <x:f>IF(MOD(B542,12)=0,1,0)</x:f>
        <x:v>0</x:v>
      </x:c>
    </x:row>
    <x:row r="543" ht="22" customHeight="1">
      <x:c r="A543" s="19" t="str">
        <x:v>折磨</x:v>
      </x:c>
      <x:c r="B543" s="19" t="n">
        <x:v>58</x:v>
      </x:c>
      <x:c r="C543" s="19" t="n">
        <x:f>ROUNDUP(B543/12,0)</x:f>
        <x:v>5</x:v>
      </x:c>
      <x:c r="D543" s="19" t="n">
        <x:f>ROUND(MAX('参数'!$G$30,E543)+(IF(C543&lt;10,INDEX('参数'!$G$38:$P$38,1,MIN(10,C543+1)),'参数'!$H$30)-MAX('参数'!$G$30,E543))*MOD(B543-1,12)/11,0)</x:f>
        <x:v>100</x:v>
      </x:c>
      <x:c r="E543" s="19" t="n">
        <x:f>INDEX('参数'!$G$38:$P$38,1,C543)</x:f>
        <x:v>100</x:v>
      </x:c>
      <x:c r="F543" s="20" t="n">
        <x:f>'参数'!$I$30</x:f>
        <x:v>1.43</x:v>
      </x:c>
      <x:c r="G543" s="19" t="n">
        <x:f>ROUND(V543*X543/'参数'!$B$56,0)</x:f>
        <x:v>485027</x:v>
      </x:c>
      <x:c r="H543" s="19" t="n">
        <x:f>ROUND((AA543+SQRT(AA543^2+4*AA543*'参数'!$B$22*U543))/2,0)</x:f>
        <x:v>16701</x:v>
      </x:c>
      <x:c r="I543" s="19" t="n">
        <x:f>ROUND(Q543*'参数'!$B$23/'参数'!$B$22,0)</x:f>
        <x:v>2126</x:v>
      </x:c>
      <x:c r="J543" s="19" t="n">
        <x:f>ROUND(G543*'参数'!$B$50,0)</x:f>
        <x:v>1455081</x:v>
      </x:c>
      <x:c r="K543" s="19" t="n">
        <x:f>ROUND(W543*Y543,0)</x:f>
        <x:v>4774808</x:v>
      </x:c>
      <x:c r="L543" s="19" t="n">
        <x:f>ROUND((AB543+SQRT(AB543^2+4*AB543*'参数'!$B$22*U543))/2,0)</x:f>
        <x:v>28730</x:v>
      </x:c>
      <x:c r="M543" s="19" t="n">
        <x:f>ROUND(I543*'参数'!$B$24,0)</x:f>
        <x:v>2658</x:v>
      </x:c>
      <x:c r="N543" s="19" t="n">
        <x:f>'参数'!$B$9*'参数'!$B$10^(D543-1)</x:f>
        <x:v>11195.319600498813</x:v>
      </x:c>
      <x:c r="O543" s="19" t="n">
        <x:f>'参数'!$B$18*'参数'!$B$19^(MIN(E543,MAX(1,5*INT(D543/5)))-1)*F543*'参数'!$J$30*P543</x:f>
        <x:v>2103.552925769118</x:v>
      </x:c>
      <x:c r="P543" s="22" t="n">
        <x:f>MIN(1,(D543-1)/19)</x:f>
        <x:v>1</x:v>
      </x:c>
      <x:c r="Q543" s="19" t="n">
        <x:f>INDEX('角色成长'!$F$6:$F$105,D543)+O543*'参数'!$K$21</x:f>
        <x:v>10629.125838441985</x:v>
      </x:c>
      <x:c r="R543" s="19" t="n">
        <x:f>INDEX('角色成长'!$I$6:$I$105,D543)+O543*'参数'!$K$21</x:f>
        <x:v>9331.125838441985</x:v>
      </x:c>
      <x:c r="S543" s="19" t="n">
        <x:f>INDEX('角色成长'!$L$6:$L$105,D543)+O543*'参数'!$K$21</x:f>
        <x:v>8590.125838441985</x:v>
      </x:c>
      <x:c r="T543" s="19" t="n">
        <x:f>(INDEX('角色成长'!$J$6:$J$105,D543)+O543*'参数'!$L$21)*(1+'参数'!$B$40*P543)</x:f>
        <x:v>118666.76244728187</x:v>
      </x:c>
      <x:c r="U543" s="19" t="n">
        <x:f>(INDEX('角色成长'!$K$6:$K$105,D543)+O543*'参数'!$M$21)*(1+'参数'!$B$41*P543)</x:f>
        <x:v>6699.239382105553</x:v>
      </x:c>
      <x:c r="V543" s="19" t="n">
        <x:f>(('参数'!$K$5*(((Q543*(1+'参数'!$B$39*P543))^2/((Q543*(1+'参数'!$B$39*P543))+'参数'!$B$22*(I543)))*(1+'参数'!$B$42*P543)/'参数'!$J$5+((Q543*'参数'!$B$43*(1+'参数'!$B$39*P543))^2/((Q543*'参数'!$B$43*(1+'参数'!$B$39*P543))+'参数'!$B$22*(I543)))/'参数'!$B$44))+(((R543*(1+'参数'!$B$39*P543))^2/((R543*(1+'参数'!$B$39*P543))+'参数'!$B$22*(I543)))*(1+'参数'!$B$42*P543)/'参数'!$J$6+((R543*'参数'!$B$45*(1+'参数'!$B$39*P543))^2/((R543*'参数'!$B$45*(1+'参数'!$B$39*P543))+'参数'!$B$22*(I543)))/'参数'!$B$46)+((S543*(1+'参数'!$B$39*P543))^2/((S543*(1+'参数'!$B$39*P543))+'参数'!$B$22*(I543)))*(1+'参数'!$B$42*P543)/'参数'!$J$7)*(1+'参数'!$B$37*('参数'!$B$38-1))*'参数'!$B$25</x:f>
        <x:v>72276.65152942482</x:v>
      </x:c>
      <x:c r="W543" s="19" t="n">
        <x:f>(('参数'!$K$5*(((Q543*(1+'参数'!$B$39*P543))^2/((Q543*(1+'参数'!$B$39*P543))+'参数'!$B$22*(M543)))*(1+'参数'!$B$42*P543)/'参数'!$J$5+((Q543*'参数'!$B$43*(1+'参数'!$B$39*P543))^2/((Q543*'参数'!$B$43*(1+'参数'!$B$39*P543))+'参数'!$B$22*(M543)))/'参数'!$B$44))+(((R543*(1+'参数'!$B$39*P543))^2/((R543*(1+'参数'!$B$39*P543))+'参数'!$B$22*(M543)))*(1+'参数'!$B$42*P543)/'参数'!$J$6+((R543*'参数'!$B$45*(1+'参数'!$B$39*P543))^2/((R543*'参数'!$B$45*(1+'参数'!$B$39*P543))+'参数'!$B$22*(M543)))/'参数'!$B$46)+((S543*(1+'参数'!$B$39*P543))^2/((S543*(1+'参数'!$B$39*P543))+'参数'!$B$22*(M543)))*(1+'参数'!$B$42*P543)/'参数'!$J$7)*(1+'参数'!$B$37*('参数'!$B$38-1))</x:f>
        <x:v>55684.2511674383</x:v>
      </x:c>
      <x:c r="X543" s="26" t="n">
        <x:f>('参数'!$B$26+'参数'!$B$27*(D543-1)/99)*'参数'!$K$30*AD543</x:f>
        <x:v>30.869243697478993</x:v>
      </x:c>
      <x:c r="Y543" s="26" t="n">
        <x:f>('参数'!$B$28+'参数'!$B$29*(D543-1)/99)*'参数'!$K$30*AD543*IF(AE543=1,'参数'!$B$51,1)</x:f>
        <x:v>85.74789915966386</x:v>
      </x:c>
      <x:c r="Z543" s="22" t="n">
        <x:f>MIN('参数'!$B$36,U543/(U543+'参数'!$B$35))</x:f>
        <x:v>0.6261416482848315</x:v>
      </x:c>
      <x:c r="AA543" s="19" t="n">
        <x:f>T543*'参数'!$B$30/('参数'!$B$32*'参数'!$B$33)/(1-Z543)*AC543</x:f>
        <x:v>11123.122554175015</x:v>
      </x:c>
      <x:c r="AB543" s="19" t="n">
        <x:f>T543*'参数'!$B$31/'参数'!$B$34/(1-Z543)*AC543</x:f>
        <x:v>22246.24510835003</x:v>
      </x:c>
      <x:c r="AC543" s="20" t="n">
        <x:f>'参数'!$L$30*(1+'参数'!$B$53*(B543-1)/119)</x:f>
        <x:v>1.401731092436975</x:v>
      </x:c>
      <x:c r="AD543" s="20" t="n">
        <x:f>1+'参数'!$B$52*(B543-1)/119</x:f>
        <x:v>1.0718487394957983</x:v>
      </x:c>
      <x:c r="AE543" s="19" t="n">
        <x:f>IF(MOD(B543,12)=0,1,0)</x:f>
        <x:v>0</x:v>
      </x:c>
    </x:row>
    <x:row r="544" ht="22" customHeight="1">
      <x:c r="A544" s="18" t="str">
        <x:v>折磨</x:v>
      </x:c>
      <x:c r="B544" s="18" t="n">
        <x:v>59</x:v>
      </x:c>
      <x:c r="C544" s="18" t="n">
        <x:f>ROUNDUP(B544/12,0)</x:f>
        <x:v>5</x:v>
      </x:c>
      <x:c r="D544" s="18" t="n">
        <x:f>ROUND(MAX('参数'!$G$30,E544)+(IF(C544&lt;10,INDEX('参数'!$G$38:$P$38,1,MIN(10,C544+1)),'参数'!$H$30)-MAX('参数'!$G$30,E544))*MOD(B544-1,12)/11,0)</x:f>
        <x:v>100</x:v>
      </x:c>
      <x:c r="E544" s="18" t="n">
        <x:f>INDEX('参数'!$G$38:$P$38,1,C544)</x:f>
        <x:v>100</x:v>
      </x:c>
      <x:c r="F544" s="15" t="n">
        <x:f>'参数'!$I$30</x:f>
        <x:v>1.43</x:v>
      </x:c>
      <x:c r="G544" s="18" t="n">
        <x:f>ROUND(V544*X544/'参数'!$B$56,0)</x:f>
        <x:v>485598</x:v>
      </x:c>
      <x:c r="H544" s="18" t="n">
        <x:f>ROUND((AA544+SQRT(AA544^2+4*AA544*'参数'!$B$22*U544))/2,0)</x:f>
        <x:v>16709</x:v>
      </x:c>
      <x:c r="I544" s="18" t="n">
        <x:f>ROUND(Q544*'参数'!$B$23/'参数'!$B$22,0)</x:f>
        <x:v>2126</x:v>
      </x:c>
      <x:c r="J544" s="18" t="n">
        <x:f>ROUND(G544*'参数'!$B$50,0)</x:f>
        <x:v>1456794</x:v>
      </x:c>
      <x:c r="K544" s="18" t="n">
        <x:f>ROUND(W544*Y544,0)</x:f>
        <x:v>4780423</x:v>
      </x:c>
      <x:c r="L544" s="18" t="n">
        <x:f>ROUND((AB544+SQRT(AB544^2+4*AB544*'参数'!$B$22*U544))/2,0)</x:f>
        <x:v>28746</x:v>
      </x:c>
      <x:c r="M544" s="18" t="n">
        <x:f>ROUND(I544*'参数'!$B$24,0)</x:f>
        <x:v>2658</x:v>
      </x:c>
      <x:c r="N544" s="18" t="n">
        <x:f>'参数'!$B$9*'参数'!$B$10^(D544-1)</x:f>
        <x:v>11195.319600498813</x:v>
      </x:c>
      <x:c r="O544" s="18" t="n">
        <x:f>'参数'!$B$18*'参数'!$B$19^(MIN(E544,MAX(1,5*INT(D544/5)))-1)*F544*'参数'!$J$30*P544</x:f>
        <x:v>2103.552925769118</x:v>
      </x:c>
      <x:c r="P544" s="21" t="n">
        <x:f>MIN(1,(D544-1)/19)</x:f>
        <x:v>1</x:v>
      </x:c>
      <x:c r="Q544" s="18" t="n">
        <x:f>INDEX('角色成长'!$F$6:$F$105,D544)+O544*'参数'!$K$21</x:f>
        <x:v>10629.125838441985</x:v>
      </x:c>
      <x:c r="R544" s="18" t="n">
        <x:f>INDEX('角色成长'!$I$6:$I$105,D544)+O544*'参数'!$K$21</x:f>
        <x:v>9331.125838441985</x:v>
      </x:c>
      <x:c r="S544" s="18" t="n">
        <x:f>INDEX('角色成长'!$L$6:$L$105,D544)+O544*'参数'!$K$21</x:f>
        <x:v>8590.125838441985</x:v>
      </x:c>
      <x:c r="T544" s="18" t="n">
        <x:f>(INDEX('角色成长'!$J$6:$J$105,D544)+O544*'参数'!$L$21)*(1+'参数'!$B$40*P544)</x:f>
        <x:v>118666.76244728187</x:v>
      </x:c>
      <x:c r="U544" s="18" t="n">
        <x:f>(INDEX('角色成长'!$K$6:$K$105,D544)+O544*'参数'!$M$21)*(1+'参数'!$B$41*P544)</x:f>
        <x:v>6699.239382105553</x:v>
      </x:c>
      <x:c r="V544" s="18" t="n">
        <x:f>(('参数'!$K$5*(((Q544*(1+'参数'!$B$39*P544))^2/((Q544*(1+'参数'!$B$39*P544))+'参数'!$B$22*(I544)))*(1+'参数'!$B$42*P544)/'参数'!$J$5+((Q544*'参数'!$B$43*(1+'参数'!$B$39*P544))^2/((Q544*'参数'!$B$43*(1+'参数'!$B$39*P544))+'参数'!$B$22*(I544)))/'参数'!$B$44))+(((R544*(1+'参数'!$B$39*P544))^2/((R544*(1+'参数'!$B$39*P544))+'参数'!$B$22*(I544)))*(1+'参数'!$B$42*P544)/'参数'!$J$6+((R544*'参数'!$B$45*(1+'参数'!$B$39*P544))^2/((R544*'参数'!$B$45*(1+'参数'!$B$39*P544))+'参数'!$B$22*(I544)))/'参数'!$B$46)+((S544*(1+'参数'!$B$39*P544))^2/((S544*(1+'参数'!$B$39*P544))+'参数'!$B$22*(I544)))*(1+'参数'!$B$42*P544)/'参数'!$J$7)*(1+'参数'!$B$37*('参数'!$B$38-1))*'参数'!$B$25</x:f>
        <x:v>72276.65152942482</x:v>
      </x:c>
      <x:c r="W544" s="18" t="n">
        <x:f>(('参数'!$K$5*(((Q544*(1+'参数'!$B$39*P544))^2/((Q544*(1+'参数'!$B$39*P544))+'参数'!$B$22*(M544)))*(1+'参数'!$B$42*P544)/'参数'!$J$5+((Q544*'参数'!$B$43*(1+'参数'!$B$39*P544))^2/((Q544*'参数'!$B$43*(1+'参数'!$B$39*P544))+'参数'!$B$22*(M544)))/'参数'!$B$44))+(((R544*(1+'参数'!$B$39*P544))^2/((R544*(1+'参数'!$B$39*P544))+'参数'!$B$22*(M544)))*(1+'参数'!$B$42*P544)/'参数'!$J$6+((R544*'参数'!$B$45*(1+'参数'!$B$39*P544))^2/((R544*'参数'!$B$45*(1+'参数'!$B$39*P544))+'参数'!$B$22*(M544)))/'参数'!$B$46)+((S544*(1+'参数'!$B$39*P544))^2/((S544*(1+'参数'!$B$39*P544))+'参数'!$B$22*(M544)))*(1+'参数'!$B$42*P544)/'参数'!$J$7)*(1+'参数'!$B$37*('参数'!$B$38-1))</x:f>
        <x:v>55684.2511674383</x:v>
      </x:c>
      <x:c r="X544" s="25" t="n">
        <x:f>('参数'!$B$26+'参数'!$B$27*(D544-1)/99)*'参数'!$K$30*AD544</x:f>
        <x:v>30.905546218487395</x:v>
      </x:c>
      <x:c r="Y544" s="25" t="n">
        <x:f>('参数'!$B$28+'参数'!$B$29*(D544-1)/99)*'参数'!$K$30*AD544*IF(AE544=1,'参数'!$B$51,1)</x:f>
        <x:v>85.84873949579831</x:v>
      </x:c>
      <x:c r="Z544" s="21" t="n">
        <x:f>MIN('参数'!$B$36,U544/(U544+'参数'!$B$35))</x:f>
        <x:v>0.6261416482848315</x:v>
      </x:c>
      <x:c r="AA544" s="18" t="n">
        <x:f>T544*'参数'!$B$30/('参数'!$B$32*'参数'!$B$33)/(1-Z544)*AC544</x:f>
        <x:v>11130.324316916465</x:v>
      </x:c>
      <x:c r="AB544" s="18" t="n">
        <x:f>T544*'参数'!$B$31/'参数'!$B$34/(1-Z544)*AC544</x:f>
        <x:v>22260.64863383293</x:v>
      </x:c>
      <x:c r="AC544" s="15" t="n">
        <x:f>'参数'!$L$30*(1+'参数'!$B$53*(B544-1)/119)</x:f>
        <x:v>1.4026386554621848</x:v>
      </x:c>
      <x:c r="AD544" s="15" t="n">
        <x:f>1+'参数'!$B$52*(B544-1)/119</x:f>
        <x:v>1.073109243697479</x:v>
      </x:c>
      <x:c r="AE544" s="18" t="n">
        <x:f>IF(MOD(B544,12)=0,1,0)</x:f>
        <x:v>0</x:v>
      </x:c>
    </x:row>
    <x:row r="545" ht="22" customHeight="1">
      <x:c r="A545" s="19" t="str">
        <x:v>折磨</x:v>
      </x:c>
      <x:c r="B545" s="19" t="n">
        <x:v>60</x:v>
      </x:c>
      <x:c r="C545" s="19" t="n">
        <x:f>ROUNDUP(B545/12,0)</x:f>
        <x:v>5</x:v>
      </x:c>
      <x:c r="D545" s="19" t="n">
        <x:f>ROUND(MAX('参数'!$G$30,E545)+(IF(C545&lt;10,INDEX('参数'!$G$38:$P$38,1,MIN(10,C545+1)),'参数'!$H$30)-MAX('参数'!$G$30,E545))*MOD(B545-1,12)/11,0)</x:f>
        <x:v>100</x:v>
      </x:c>
      <x:c r="E545" s="19" t="n">
        <x:f>INDEX('参数'!$G$38:$P$38,1,C545)</x:f>
        <x:v>100</x:v>
      </x:c>
      <x:c r="F545" s="20" t="n">
        <x:f>'参数'!$I$30</x:f>
        <x:v>1.43</x:v>
      </x:c>
      <x:c r="G545" s="19" t="n">
        <x:f>ROUND(V545*X545/'参数'!$B$56,0)</x:f>
        <x:v>486168</x:v>
      </x:c>
      <x:c r="H545" s="19" t="n">
        <x:f>ROUND((AA545+SQRT(AA545^2+4*AA545*'参数'!$B$22*U545))/2,0)</x:f>
        <x:v>16717</x:v>
      </x:c>
      <x:c r="I545" s="19" t="n">
        <x:f>ROUND(Q545*'参数'!$B$23/'参数'!$B$22,0)</x:f>
        <x:v>2126</x:v>
      </x:c>
      <x:c r="J545" s="19" t="n">
        <x:f>ROUND(G545*'参数'!$B$50,0)</x:f>
        <x:v>1458504</x:v>
      </x:c>
      <x:c r="K545" s="19" t="n">
        <x:f>ROUND(W545*Y545,0)</x:f>
        <x:v>5503944</x:v>
      </x:c>
      <x:c r="L545" s="19" t="n">
        <x:f>ROUND((AB545+SQRT(AB545^2+4*AB545*'参数'!$B$22*U545))/2,0)</x:f>
        <x:v>28761</x:v>
      </x:c>
      <x:c r="M545" s="19" t="n">
        <x:f>ROUND(I545*'参数'!$B$24,0)</x:f>
        <x:v>2658</x:v>
      </x:c>
      <x:c r="N545" s="19" t="n">
        <x:f>'参数'!$B$9*'参数'!$B$10^(D545-1)</x:f>
        <x:v>11195.319600498813</x:v>
      </x:c>
      <x:c r="O545" s="19" t="n">
        <x:f>'参数'!$B$18*'参数'!$B$19^(MIN(E545,MAX(1,5*INT(D545/5)))-1)*F545*'参数'!$J$30*P545</x:f>
        <x:v>2103.552925769118</x:v>
      </x:c>
      <x:c r="P545" s="22" t="n">
        <x:f>MIN(1,(D545-1)/19)</x:f>
        <x:v>1</x:v>
      </x:c>
      <x:c r="Q545" s="19" t="n">
        <x:f>INDEX('角色成长'!$F$6:$F$105,D545)+O545*'参数'!$K$21</x:f>
        <x:v>10629.125838441985</x:v>
      </x:c>
      <x:c r="R545" s="19" t="n">
        <x:f>INDEX('角色成长'!$I$6:$I$105,D545)+O545*'参数'!$K$21</x:f>
        <x:v>9331.125838441985</x:v>
      </x:c>
      <x:c r="S545" s="19" t="n">
        <x:f>INDEX('角色成长'!$L$6:$L$105,D545)+O545*'参数'!$K$21</x:f>
        <x:v>8590.125838441985</x:v>
      </x:c>
      <x:c r="T545" s="19" t="n">
        <x:f>(INDEX('角色成长'!$J$6:$J$105,D545)+O545*'参数'!$L$21)*(1+'参数'!$B$40*P545)</x:f>
        <x:v>118666.76244728187</x:v>
      </x:c>
      <x:c r="U545" s="19" t="n">
        <x:f>(INDEX('角色成长'!$K$6:$K$105,D545)+O545*'参数'!$M$21)*(1+'参数'!$B$41*P545)</x:f>
        <x:v>6699.239382105553</x:v>
      </x:c>
      <x:c r="V545" s="19" t="n">
        <x:f>(('参数'!$K$5*(((Q545*(1+'参数'!$B$39*P545))^2/((Q545*(1+'参数'!$B$39*P545))+'参数'!$B$22*(I545)))*(1+'参数'!$B$42*P545)/'参数'!$J$5+((Q545*'参数'!$B$43*(1+'参数'!$B$39*P545))^2/((Q545*'参数'!$B$43*(1+'参数'!$B$39*P545))+'参数'!$B$22*(I545)))/'参数'!$B$44))+(((R545*(1+'参数'!$B$39*P545))^2/((R545*(1+'参数'!$B$39*P545))+'参数'!$B$22*(I545)))*(1+'参数'!$B$42*P545)/'参数'!$J$6+((R545*'参数'!$B$45*(1+'参数'!$B$39*P545))^2/((R545*'参数'!$B$45*(1+'参数'!$B$39*P545))+'参数'!$B$22*(I545)))/'参数'!$B$46)+((S545*(1+'参数'!$B$39*P545))^2/((S545*(1+'参数'!$B$39*P545))+'参数'!$B$22*(I545)))*(1+'参数'!$B$42*P545)/'参数'!$J$7)*(1+'参数'!$B$37*('参数'!$B$38-1))*'参数'!$B$25</x:f>
        <x:v>72276.65152942482</x:v>
      </x:c>
      <x:c r="W545" s="19" t="n">
        <x:f>(('参数'!$K$5*(((Q545*(1+'参数'!$B$39*P545))^2/((Q545*(1+'参数'!$B$39*P545))+'参数'!$B$22*(M545)))*(1+'参数'!$B$42*P545)/'参数'!$J$5+((Q545*'参数'!$B$43*(1+'参数'!$B$39*P545))^2/((Q545*'参数'!$B$43*(1+'参数'!$B$39*P545))+'参数'!$B$22*(M545)))/'参数'!$B$44))+(((R545*(1+'参数'!$B$39*P545))^2/((R545*(1+'参数'!$B$39*P545))+'参数'!$B$22*(M545)))*(1+'参数'!$B$42*P545)/'参数'!$J$6+((R545*'参数'!$B$45*(1+'参数'!$B$39*P545))^2/((R545*'参数'!$B$45*(1+'参数'!$B$39*P545))+'参数'!$B$22*(M545)))/'参数'!$B$46)+((S545*(1+'参数'!$B$39*P545))^2/((S545*(1+'参数'!$B$39*P545))+'参数'!$B$22*(M545)))*(1+'参数'!$B$42*P545)/'参数'!$J$7)*(1+'参数'!$B$37*('参数'!$B$38-1))</x:f>
        <x:v>55684.2511674383</x:v>
      </x:c>
      <x:c r="X545" s="26" t="n">
        <x:f>('参数'!$B$26+'参数'!$B$27*(D545-1)/99)*'参数'!$K$30*AD545</x:f>
        <x:v>30.941848739495796</x:v>
      </x:c>
      <x:c r="Y545" s="26" t="n">
        <x:f>('参数'!$B$28+'参数'!$B$29*(D545-1)/99)*'参数'!$K$30*AD545*IF(AE545=1,'参数'!$B$51,1)</x:f>
        <x:v>98.84201680672267</x:v>
      </x:c>
      <x:c r="Z545" s="22" t="n">
        <x:f>MIN('参数'!$B$36,U545/(U545+'参数'!$B$35))</x:f>
        <x:v>0.6261416482848315</x:v>
      </x:c>
      <x:c r="AA545" s="19" t="n">
        <x:f>T545*'参数'!$B$30/('参数'!$B$32*'参数'!$B$33)/(1-Z545)*AC545</x:f>
        <x:v>11137.52607965792</x:v>
      </x:c>
      <x:c r="AB545" s="19" t="n">
        <x:f>T545*'参数'!$B$31/'参数'!$B$34/(1-Z545)*AC545</x:f>
        <x:v>22275.05215931584</x:v>
      </x:c>
      <x:c r="AC545" s="20" t="n">
        <x:f>'参数'!$L$30*(1+'参数'!$B$53*(B545-1)/119)</x:f>
        <x:v>1.403546218487395</x:v>
      </x:c>
      <x:c r="AD545" s="20" t="n">
        <x:f>1+'参数'!$B$52*(B545-1)/119</x:f>
        <x:v>1.0743697478991596</x:v>
      </x:c>
      <x:c r="AE545" s="19" t="n">
        <x:f>IF(MOD(B545,12)=0,1,0)</x:f>
        <x:v>1</x:v>
      </x:c>
    </x:row>
    <x:row r="546" ht="22" customHeight="1">
      <x:c r="A546" s="18" t="str">
        <x:v>折磨</x:v>
      </x:c>
      <x:c r="B546" s="18" t="n">
        <x:v>61</x:v>
      </x:c>
      <x:c r="C546" s="18" t="n">
        <x:f>ROUNDUP(B546/12,0)</x:f>
        <x:v>6</x:v>
      </x:c>
      <x:c r="D546" s="18" t="n">
        <x:f>ROUND(MAX('参数'!$G$30,E546)+(IF(C546&lt;10,INDEX('参数'!$G$38:$P$38,1,MIN(10,C546+1)),'参数'!$H$30)-MAX('参数'!$G$30,E546))*MOD(B546-1,12)/11,0)</x:f>
        <x:v>100</x:v>
      </x:c>
      <x:c r="E546" s="18" t="n">
        <x:f>INDEX('参数'!$G$38:$P$38,1,C546)</x:f>
        <x:v>100</x:v>
      </x:c>
      <x:c r="F546" s="15" t="n">
        <x:f>'参数'!$I$30</x:f>
        <x:v>1.43</x:v>
      </x:c>
      <x:c r="G546" s="18" t="n">
        <x:f>ROUND(V546*X546/'参数'!$B$56,0)</x:f>
        <x:v>486738</x:v>
      </x:c>
      <x:c r="H546" s="18" t="n">
        <x:f>ROUND((AA546+SQRT(AA546^2+4*AA546*'参数'!$B$22*U546))/2,0)</x:f>
        <x:v>16725</x:v>
      </x:c>
      <x:c r="I546" s="18" t="n">
        <x:f>ROUND(Q546*'参数'!$B$23/'参数'!$B$22,0)</x:f>
        <x:v>2126</x:v>
      </x:c>
      <x:c r="J546" s="18" t="n">
        <x:f>ROUND(G546*'参数'!$B$50,0)</x:f>
        <x:v>1460214</x:v>
      </x:c>
      <x:c r="K546" s="18" t="n">
        <x:f>ROUND(W546*Y546,0)</x:f>
        <x:v>4791653</x:v>
      </x:c>
      <x:c r="L546" s="18" t="n">
        <x:f>ROUND((AB546+SQRT(AB546^2+4*AB546*'参数'!$B$22*U546))/2,0)</x:f>
        <x:v>28776</x:v>
      </x:c>
      <x:c r="M546" s="18" t="n">
        <x:f>ROUND(I546*'参数'!$B$24,0)</x:f>
        <x:v>2658</x:v>
      </x:c>
      <x:c r="N546" s="18" t="n">
        <x:f>'参数'!$B$9*'参数'!$B$10^(D546-1)</x:f>
        <x:v>11195.319600498813</x:v>
      </x:c>
      <x:c r="O546" s="18" t="n">
        <x:f>'参数'!$B$18*'参数'!$B$19^(MIN(E546,MAX(1,5*INT(D546/5)))-1)*F546*'参数'!$J$30*P546</x:f>
        <x:v>2103.552925769118</x:v>
      </x:c>
      <x:c r="P546" s="21" t="n">
        <x:f>MIN(1,(D546-1)/19)</x:f>
        <x:v>1</x:v>
      </x:c>
      <x:c r="Q546" s="18" t="n">
        <x:f>INDEX('角色成长'!$F$6:$F$105,D546)+O546*'参数'!$K$21</x:f>
        <x:v>10629.125838441985</x:v>
      </x:c>
      <x:c r="R546" s="18" t="n">
        <x:f>INDEX('角色成长'!$I$6:$I$105,D546)+O546*'参数'!$K$21</x:f>
        <x:v>9331.125838441985</x:v>
      </x:c>
      <x:c r="S546" s="18" t="n">
        <x:f>INDEX('角色成长'!$L$6:$L$105,D546)+O546*'参数'!$K$21</x:f>
        <x:v>8590.125838441985</x:v>
      </x:c>
      <x:c r="T546" s="18" t="n">
        <x:f>(INDEX('角色成长'!$J$6:$J$105,D546)+O546*'参数'!$L$21)*(1+'参数'!$B$40*P546)</x:f>
        <x:v>118666.76244728187</x:v>
      </x:c>
      <x:c r="U546" s="18" t="n">
        <x:f>(INDEX('角色成长'!$K$6:$K$105,D546)+O546*'参数'!$M$21)*(1+'参数'!$B$41*P546)</x:f>
        <x:v>6699.239382105553</x:v>
      </x:c>
      <x:c r="V546" s="18" t="n">
        <x:f>(('参数'!$K$5*(((Q546*(1+'参数'!$B$39*P546))^2/((Q546*(1+'参数'!$B$39*P546))+'参数'!$B$22*(I546)))*(1+'参数'!$B$42*P546)/'参数'!$J$5+((Q546*'参数'!$B$43*(1+'参数'!$B$39*P546))^2/((Q546*'参数'!$B$43*(1+'参数'!$B$39*P546))+'参数'!$B$22*(I546)))/'参数'!$B$44))+(((R546*(1+'参数'!$B$39*P546))^2/((R546*(1+'参数'!$B$39*P546))+'参数'!$B$22*(I546)))*(1+'参数'!$B$42*P546)/'参数'!$J$6+((R546*'参数'!$B$45*(1+'参数'!$B$39*P546))^2/((R546*'参数'!$B$45*(1+'参数'!$B$39*P546))+'参数'!$B$22*(I546)))/'参数'!$B$46)+((S546*(1+'参数'!$B$39*P546))^2/((S546*(1+'参数'!$B$39*P546))+'参数'!$B$22*(I546)))*(1+'参数'!$B$42*P546)/'参数'!$J$7)*(1+'参数'!$B$37*('参数'!$B$38-1))*'参数'!$B$25</x:f>
        <x:v>72276.65152942482</x:v>
      </x:c>
      <x:c r="W546" s="18" t="n">
        <x:f>(('参数'!$K$5*(((Q546*(1+'参数'!$B$39*P546))^2/((Q546*(1+'参数'!$B$39*P546))+'参数'!$B$22*(M546)))*(1+'参数'!$B$42*P546)/'参数'!$J$5+((Q546*'参数'!$B$43*(1+'参数'!$B$39*P546))^2/((Q546*'参数'!$B$43*(1+'参数'!$B$39*P546))+'参数'!$B$22*(M546)))/'参数'!$B$44))+(((R546*(1+'参数'!$B$39*P546))^2/((R546*(1+'参数'!$B$39*P546))+'参数'!$B$22*(M546)))*(1+'参数'!$B$42*P546)/'参数'!$J$6+((R546*'参数'!$B$45*(1+'参数'!$B$39*P546))^2/((R546*'参数'!$B$45*(1+'参数'!$B$39*P546))+'参数'!$B$22*(M546)))/'参数'!$B$46)+((S546*(1+'参数'!$B$39*P546))^2/((S546*(1+'参数'!$B$39*P546))+'参数'!$B$22*(M546)))*(1+'参数'!$B$42*P546)/'参数'!$J$7)*(1+'参数'!$B$37*('参数'!$B$38-1))</x:f>
        <x:v>55684.2511674383</x:v>
      </x:c>
      <x:c r="X546" s="25" t="n">
        <x:f>('参数'!$B$26+'参数'!$B$27*(D546-1)/99)*'参数'!$K$30*AD546</x:f>
        <x:v>30.9781512605042</x:v>
      </x:c>
      <x:c r="Y546" s="25" t="n">
        <x:f>('参数'!$B$28+'参数'!$B$29*(D546-1)/99)*'参数'!$K$30*AD546*IF(AE546=1,'参数'!$B$51,1)</x:f>
        <x:v>86.05042016806722</x:v>
      </x:c>
      <x:c r="Z546" s="21" t="n">
        <x:f>MIN('参数'!$B$36,U546/(U546+'参数'!$B$35))</x:f>
        <x:v>0.6261416482848315</x:v>
      </x:c>
      <x:c r="AA546" s="18" t="n">
        <x:f>T546*'参数'!$B$30/('参数'!$B$32*'参数'!$B$33)/(1-Z546)*AC546</x:f>
        <x:v>11144.727842399376</x:v>
      </x:c>
      <x:c r="AB546" s="18" t="n">
        <x:f>T546*'参数'!$B$31/'参数'!$B$34/(1-Z546)*AC546</x:f>
        <x:v>22289.45568479875</x:v>
      </x:c>
      <x:c r="AC546" s="15" t="n">
        <x:f>'参数'!$L$30*(1+'参数'!$B$53*(B546-1)/119)</x:f>
        <x:v>1.4044537815126052</x:v>
      </x:c>
      <x:c r="AD546" s="15" t="n">
        <x:f>1+'参数'!$B$52*(B546-1)/119</x:f>
        <x:v>1.0756302521008403</x:v>
      </x:c>
      <x:c r="AE546" s="18" t="n">
        <x:f>IF(MOD(B546,12)=0,1,0)</x:f>
        <x:v>0</x:v>
      </x:c>
    </x:row>
    <x:row r="547" ht="22" customHeight="1">
      <x:c r="A547" s="19" t="str">
        <x:v>折磨</x:v>
      </x:c>
      <x:c r="B547" s="19" t="n">
        <x:v>62</x:v>
      </x:c>
      <x:c r="C547" s="19" t="n">
        <x:f>ROUNDUP(B547/12,0)</x:f>
        <x:v>6</x:v>
      </x:c>
      <x:c r="D547" s="19" t="n">
        <x:f>ROUND(MAX('参数'!$G$30,E547)+(IF(C547&lt;10,INDEX('参数'!$G$38:$P$38,1,MIN(10,C547+1)),'参数'!$H$30)-MAX('参数'!$G$30,E547))*MOD(B547-1,12)/11,0)</x:f>
        <x:v>100</x:v>
      </x:c>
      <x:c r="E547" s="19" t="n">
        <x:f>INDEX('参数'!$G$38:$P$38,1,C547)</x:f>
        <x:v>100</x:v>
      </x:c>
      <x:c r="F547" s="20" t="n">
        <x:f>'参数'!$I$30</x:f>
        <x:v>1.43</x:v>
      </x:c>
      <x:c r="G547" s="19" t="n">
        <x:f>ROUND(V547*X547/'参数'!$B$56,0)</x:f>
        <x:v>487309</x:v>
      </x:c>
      <x:c r="H547" s="19" t="n">
        <x:f>ROUND((AA547+SQRT(AA547^2+4*AA547*'参数'!$B$22*U547))/2,0)</x:f>
        <x:v>16733</x:v>
      </x:c>
      <x:c r="I547" s="19" t="n">
        <x:f>ROUND(Q547*'参数'!$B$23/'参数'!$B$22,0)</x:f>
        <x:v>2126</x:v>
      </x:c>
      <x:c r="J547" s="19" t="n">
        <x:f>ROUND(G547*'参数'!$B$50,0)</x:f>
        <x:v>1461927</x:v>
      </x:c>
      <x:c r="K547" s="19" t="n">
        <x:f>ROUND(W547*Y547,0)</x:f>
        <x:v>4797268</x:v>
      </x:c>
      <x:c r="L547" s="19" t="n">
        <x:f>ROUND((AB547+SQRT(AB547^2+4*AB547*'参数'!$B$22*U547))/2,0)</x:f>
        <x:v>28791</x:v>
      </x:c>
      <x:c r="M547" s="19" t="n">
        <x:f>ROUND(I547*'参数'!$B$24,0)</x:f>
        <x:v>2658</x:v>
      </x:c>
      <x:c r="N547" s="19" t="n">
        <x:f>'参数'!$B$9*'参数'!$B$10^(D547-1)</x:f>
        <x:v>11195.319600498813</x:v>
      </x:c>
      <x:c r="O547" s="19" t="n">
        <x:f>'参数'!$B$18*'参数'!$B$19^(MIN(E547,MAX(1,5*INT(D547/5)))-1)*F547*'参数'!$J$30*P547</x:f>
        <x:v>2103.552925769118</x:v>
      </x:c>
      <x:c r="P547" s="22" t="n">
        <x:f>MIN(1,(D547-1)/19)</x:f>
        <x:v>1</x:v>
      </x:c>
      <x:c r="Q547" s="19" t="n">
        <x:f>INDEX('角色成长'!$F$6:$F$105,D547)+O547*'参数'!$K$21</x:f>
        <x:v>10629.125838441985</x:v>
      </x:c>
      <x:c r="R547" s="19" t="n">
        <x:f>INDEX('角色成长'!$I$6:$I$105,D547)+O547*'参数'!$K$21</x:f>
        <x:v>9331.125838441985</x:v>
      </x:c>
      <x:c r="S547" s="19" t="n">
        <x:f>INDEX('角色成长'!$L$6:$L$105,D547)+O547*'参数'!$K$21</x:f>
        <x:v>8590.125838441985</x:v>
      </x:c>
      <x:c r="T547" s="19" t="n">
        <x:f>(INDEX('角色成长'!$J$6:$J$105,D547)+O547*'参数'!$L$21)*(1+'参数'!$B$40*P547)</x:f>
        <x:v>118666.76244728187</x:v>
      </x:c>
      <x:c r="U547" s="19" t="n">
        <x:f>(INDEX('角色成长'!$K$6:$K$105,D547)+O547*'参数'!$M$21)*(1+'参数'!$B$41*P547)</x:f>
        <x:v>6699.239382105553</x:v>
      </x:c>
      <x:c r="V547" s="19" t="n">
        <x:f>(('参数'!$K$5*(((Q547*(1+'参数'!$B$39*P547))^2/((Q547*(1+'参数'!$B$39*P547))+'参数'!$B$22*(I547)))*(1+'参数'!$B$42*P547)/'参数'!$J$5+((Q547*'参数'!$B$43*(1+'参数'!$B$39*P547))^2/((Q547*'参数'!$B$43*(1+'参数'!$B$39*P547))+'参数'!$B$22*(I547)))/'参数'!$B$44))+(((R547*(1+'参数'!$B$39*P547))^2/((R547*(1+'参数'!$B$39*P547))+'参数'!$B$22*(I547)))*(1+'参数'!$B$42*P547)/'参数'!$J$6+((R547*'参数'!$B$45*(1+'参数'!$B$39*P547))^2/((R547*'参数'!$B$45*(1+'参数'!$B$39*P547))+'参数'!$B$22*(I547)))/'参数'!$B$46)+((S547*(1+'参数'!$B$39*P547))^2/((S547*(1+'参数'!$B$39*P547))+'参数'!$B$22*(I547)))*(1+'参数'!$B$42*P547)/'参数'!$J$7)*(1+'参数'!$B$37*('参数'!$B$38-1))*'参数'!$B$25</x:f>
        <x:v>72276.65152942482</x:v>
      </x:c>
      <x:c r="W547" s="19" t="n">
        <x:f>(('参数'!$K$5*(((Q547*(1+'参数'!$B$39*P547))^2/((Q547*(1+'参数'!$B$39*P547))+'参数'!$B$22*(M547)))*(1+'参数'!$B$42*P547)/'参数'!$J$5+((Q547*'参数'!$B$43*(1+'参数'!$B$39*P547))^2/((Q547*'参数'!$B$43*(1+'参数'!$B$39*P547))+'参数'!$B$22*(M547)))/'参数'!$B$44))+(((R547*(1+'参数'!$B$39*P547))^2/((R547*(1+'参数'!$B$39*P547))+'参数'!$B$22*(M547)))*(1+'参数'!$B$42*P547)/'参数'!$J$6+((R547*'参数'!$B$45*(1+'参数'!$B$39*P547))^2/((R547*'参数'!$B$45*(1+'参数'!$B$39*P547))+'参数'!$B$22*(M547)))/'参数'!$B$46)+((S547*(1+'参数'!$B$39*P547))^2/((S547*(1+'参数'!$B$39*P547))+'参数'!$B$22*(M547)))*(1+'参数'!$B$42*P547)/'参数'!$J$7)*(1+'参数'!$B$37*('参数'!$B$38-1))</x:f>
        <x:v>55684.2511674383</x:v>
      </x:c>
      <x:c r="X547" s="26" t="n">
        <x:f>('参数'!$B$26+'参数'!$B$27*(D547-1)/99)*'参数'!$K$30*AD547</x:f>
        <x:v>31.014453781512604</x:v>
      </x:c>
      <x:c r="Y547" s="26" t="n">
        <x:f>('参数'!$B$28+'参数'!$B$29*(D547-1)/99)*'参数'!$K$30*AD547*IF(AE547=1,'参数'!$B$51,1)</x:f>
        <x:v>86.15126050420167</x:v>
      </x:c>
      <x:c r="Z547" s="22" t="n">
        <x:f>MIN('参数'!$B$36,U547/(U547+'参数'!$B$35))</x:f>
        <x:v>0.6261416482848315</x:v>
      </x:c>
      <x:c r="AA547" s="19" t="n">
        <x:f>T547*'参数'!$B$30/('参数'!$B$32*'参数'!$B$33)/(1-Z547)*AC547</x:f>
        <x:v>11151.92960514083</x:v>
      </x:c>
      <x:c r="AB547" s="19" t="n">
        <x:f>T547*'参数'!$B$31/'参数'!$B$34/(1-Z547)*AC547</x:f>
        <x:v>22303.85921028166</x:v>
      </x:c>
      <x:c r="AC547" s="20" t="n">
        <x:f>'参数'!$L$30*(1+'参数'!$B$53*(B547-1)/119)</x:f>
        <x:v>1.4053613445378152</x:v>
      </x:c>
      <x:c r="AD547" s="20" t="n">
        <x:f>1+'参数'!$B$52*(B547-1)/119</x:f>
        <x:v>1.076890756302521</x:v>
      </x:c>
      <x:c r="AE547" s="19" t="n">
        <x:f>IF(MOD(B547,12)=0,1,0)</x:f>
        <x:v>0</x:v>
      </x:c>
    </x:row>
    <x:row r="548" ht="22" customHeight="1">
      <x:c r="A548" s="18" t="str">
        <x:v>折磨</x:v>
      </x:c>
      <x:c r="B548" s="18" t="n">
        <x:v>63</x:v>
      </x:c>
      <x:c r="C548" s="18" t="n">
        <x:f>ROUNDUP(B548/12,0)</x:f>
        <x:v>6</x:v>
      </x:c>
      <x:c r="D548" s="18" t="n">
        <x:f>ROUND(MAX('参数'!$G$30,E548)+(IF(C548&lt;10,INDEX('参数'!$G$38:$P$38,1,MIN(10,C548+1)),'参数'!$H$30)-MAX('参数'!$G$30,E548))*MOD(B548-1,12)/11,0)</x:f>
        <x:v>100</x:v>
      </x:c>
      <x:c r="E548" s="18" t="n">
        <x:f>INDEX('参数'!$G$38:$P$38,1,C548)</x:f>
        <x:v>100</x:v>
      </x:c>
      <x:c r="F548" s="15" t="n">
        <x:f>'参数'!$I$30</x:f>
        <x:v>1.43</x:v>
      </x:c>
      <x:c r="G548" s="18" t="n">
        <x:f>ROUND(V548*X548/'参数'!$B$56,0)</x:f>
        <x:v>487879</x:v>
      </x:c>
      <x:c r="H548" s="18" t="n">
        <x:f>ROUND((AA548+SQRT(AA548^2+4*AA548*'参数'!$B$22*U548))/2,0)</x:f>
        <x:v>16741</x:v>
      </x:c>
      <x:c r="I548" s="18" t="n">
        <x:f>ROUND(Q548*'参数'!$B$23/'参数'!$B$22,0)</x:f>
        <x:v>2126</x:v>
      </x:c>
      <x:c r="J548" s="18" t="n">
        <x:f>ROUND(G548*'参数'!$B$50,0)</x:f>
        <x:v>1463637</x:v>
      </x:c>
      <x:c r="K548" s="18" t="n">
        <x:f>ROUND(W548*Y548,0)</x:f>
        <x:v>4802884</x:v>
      </x:c>
      <x:c r="L548" s="18" t="n">
        <x:f>ROUND((AB548+SQRT(AB548^2+4*AB548*'参数'!$B$22*U548))/2,0)</x:f>
        <x:v>28806</x:v>
      </x:c>
      <x:c r="M548" s="18" t="n">
        <x:f>ROUND(I548*'参数'!$B$24,0)</x:f>
        <x:v>2658</x:v>
      </x:c>
      <x:c r="N548" s="18" t="n">
        <x:f>'参数'!$B$9*'参数'!$B$10^(D548-1)</x:f>
        <x:v>11195.319600498813</x:v>
      </x:c>
      <x:c r="O548" s="18" t="n">
        <x:f>'参数'!$B$18*'参数'!$B$19^(MIN(E548,MAX(1,5*INT(D548/5)))-1)*F548*'参数'!$J$30*P548</x:f>
        <x:v>2103.552925769118</x:v>
      </x:c>
      <x:c r="P548" s="21" t="n">
        <x:f>MIN(1,(D548-1)/19)</x:f>
        <x:v>1</x:v>
      </x:c>
      <x:c r="Q548" s="18" t="n">
        <x:f>INDEX('角色成长'!$F$6:$F$105,D548)+O548*'参数'!$K$21</x:f>
        <x:v>10629.125838441985</x:v>
      </x:c>
      <x:c r="R548" s="18" t="n">
        <x:f>INDEX('角色成长'!$I$6:$I$105,D548)+O548*'参数'!$K$21</x:f>
        <x:v>9331.125838441985</x:v>
      </x:c>
      <x:c r="S548" s="18" t="n">
        <x:f>INDEX('角色成长'!$L$6:$L$105,D548)+O548*'参数'!$K$21</x:f>
        <x:v>8590.125838441985</x:v>
      </x:c>
      <x:c r="T548" s="18" t="n">
        <x:f>(INDEX('角色成长'!$J$6:$J$105,D548)+O548*'参数'!$L$21)*(1+'参数'!$B$40*P548)</x:f>
        <x:v>118666.76244728187</x:v>
      </x:c>
      <x:c r="U548" s="18" t="n">
        <x:f>(INDEX('角色成长'!$K$6:$K$105,D548)+O548*'参数'!$M$21)*(1+'参数'!$B$41*P548)</x:f>
        <x:v>6699.239382105553</x:v>
      </x:c>
      <x:c r="V548" s="18" t="n">
        <x:f>(('参数'!$K$5*(((Q548*(1+'参数'!$B$39*P548))^2/((Q548*(1+'参数'!$B$39*P548))+'参数'!$B$22*(I548)))*(1+'参数'!$B$42*P548)/'参数'!$J$5+((Q548*'参数'!$B$43*(1+'参数'!$B$39*P548))^2/((Q548*'参数'!$B$43*(1+'参数'!$B$39*P548))+'参数'!$B$22*(I548)))/'参数'!$B$44))+(((R548*(1+'参数'!$B$39*P548))^2/((R548*(1+'参数'!$B$39*P548))+'参数'!$B$22*(I548)))*(1+'参数'!$B$42*P548)/'参数'!$J$6+((R548*'参数'!$B$45*(1+'参数'!$B$39*P548))^2/((R548*'参数'!$B$45*(1+'参数'!$B$39*P548))+'参数'!$B$22*(I548)))/'参数'!$B$46)+((S548*(1+'参数'!$B$39*P548))^2/((S548*(1+'参数'!$B$39*P548))+'参数'!$B$22*(I548)))*(1+'参数'!$B$42*P548)/'参数'!$J$7)*(1+'参数'!$B$37*('参数'!$B$38-1))*'参数'!$B$25</x:f>
        <x:v>72276.65152942482</x:v>
      </x:c>
      <x:c r="W548" s="18" t="n">
        <x:f>(('参数'!$K$5*(((Q548*(1+'参数'!$B$39*P548))^2/((Q548*(1+'参数'!$B$39*P548))+'参数'!$B$22*(M548)))*(1+'参数'!$B$42*P548)/'参数'!$J$5+((Q548*'参数'!$B$43*(1+'参数'!$B$39*P548))^2/((Q548*'参数'!$B$43*(1+'参数'!$B$39*P548))+'参数'!$B$22*(M548)))/'参数'!$B$44))+(((R548*(1+'参数'!$B$39*P548))^2/((R548*(1+'参数'!$B$39*P548))+'参数'!$B$22*(M548)))*(1+'参数'!$B$42*P548)/'参数'!$J$6+((R548*'参数'!$B$45*(1+'参数'!$B$39*P548))^2/((R548*'参数'!$B$45*(1+'参数'!$B$39*P548))+'参数'!$B$22*(M548)))/'参数'!$B$46)+((S548*(1+'参数'!$B$39*P548))^2/((S548*(1+'参数'!$B$39*P548))+'参数'!$B$22*(M548)))*(1+'参数'!$B$42*P548)/'参数'!$J$7)*(1+'参数'!$B$37*('参数'!$B$38-1))</x:f>
        <x:v>55684.2511674383</x:v>
      </x:c>
      <x:c r="X548" s="25" t="n">
        <x:f>('参数'!$B$26+'参数'!$B$27*(D548-1)/99)*'参数'!$K$30*AD548</x:f>
        <x:v>31.05075630252101</x:v>
      </x:c>
      <x:c r="Y548" s="25" t="n">
        <x:f>('参数'!$B$28+'参数'!$B$29*(D548-1)/99)*'参数'!$K$30*AD548*IF(AE548=1,'参数'!$B$51,1)</x:f>
        <x:v>86.25210084033613</x:v>
      </x:c>
      <x:c r="Z548" s="21" t="n">
        <x:f>MIN('参数'!$B$36,U548/(U548+'参数'!$B$35))</x:f>
        <x:v>0.6261416482848315</x:v>
      </x:c>
      <x:c r="AA548" s="18" t="n">
        <x:f>T548*'参数'!$B$30/('参数'!$B$32*'参数'!$B$33)/(1-Z548)*AC548</x:f>
        <x:v>11159.13136788228</x:v>
      </x:c>
      <x:c r="AB548" s="18" t="n">
        <x:f>T548*'参数'!$B$31/'参数'!$B$34/(1-Z548)*AC548</x:f>
        <x:v>22318.26273576456</x:v>
      </x:c>
      <x:c r="AC548" s="15" t="n">
        <x:f>'参数'!$L$30*(1+'参数'!$B$53*(B548-1)/119)</x:f>
        <x:v>1.4062689075630252</x:v>
      </x:c>
      <x:c r="AD548" s="15" t="n">
        <x:f>1+'参数'!$B$52*(B548-1)/119</x:f>
        <x:v>1.0781512605042016</x:v>
      </x:c>
      <x:c r="AE548" s="18" t="n">
        <x:f>IF(MOD(B548,12)=0,1,0)</x:f>
        <x:v>0</x:v>
      </x:c>
    </x:row>
    <x:row r="549" ht="22" customHeight="1">
      <x:c r="A549" s="19" t="str">
        <x:v>折磨</x:v>
      </x:c>
      <x:c r="B549" s="19" t="n">
        <x:v>64</x:v>
      </x:c>
      <x:c r="C549" s="19" t="n">
        <x:f>ROUNDUP(B549/12,0)</x:f>
        <x:v>6</x:v>
      </x:c>
      <x:c r="D549" s="19" t="n">
        <x:f>ROUND(MAX('参数'!$G$30,E549)+(IF(C549&lt;10,INDEX('参数'!$G$38:$P$38,1,MIN(10,C549+1)),'参数'!$H$30)-MAX('参数'!$G$30,E549))*MOD(B549-1,12)/11,0)</x:f>
        <x:v>100</x:v>
      </x:c>
      <x:c r="E549" s="19" t="n">
        <x:f>INDEX('参数'!$G$38:$P$38,1,C549)</x:f>
        <x:v>100</x:v>
      </x:c>
      <x:c r="F549" s="20" t="n">
        <x:f>'参数'!$I$30</x:f>
        <x:v>1.43</x:v>
      </x:c>
      <x:c r="G549" s="19" t="n">
        <x:f>ROUND(V549*X549/'参数'!$B$56,0)</x:f>
        <x:v>488450</x:v>
      </x:c>
      <x:c r="H549" s="19" t="n">
        <x:f>ROUND((AA549+SQRT(AA549^2+4*AA549*'参数'!$B$22*U549))/2,0)</x:f>
        <x:v>16749</x:v>
      </x:c>
      <x:c r="I549" s="19" t="n">
        <x:f>ROUND(Q549*'参数'!$B$23/'参数'!$B$22,0)</x:f>
        <x:v>2126</x:v>
      </x:c>
      <x:c r="J549" s="19" t="n">
        <x:f>ROUND(G549*'参数'!$B$50,0)</x:f>
        <x:v>1465350</x:v>
      </x:c>
      <x:c r="K549" s="19" t="n">
        <x:f>ROUND(W549*Y549,0)</x:f>
        <x:v>4808499</x:v>
      </x:c>
      <x:c r="L549" s="19" t="n">
        <x:f>ROUND((AB549+SQRT(AB549^2+4*AB549*'参数'!$B$22*U549))/2,0)</x:f>
        <x:v>28821</x:v>
      </x:c>
      <x:c r="M549" s="19" t="n">
        <x:f>ROUND(I549*'参数'!$B$24,0)</x:f>
        <x:v>2658</x:v>
      </x:c>
      <x:c r="N549" s="19" t="n">
        <x:f>'参数'!$B$9*'参数'!$B$10^(D549-1)</x:f>
        <x:v>11195.319600498813</x:v>
      </x:c>
      <x:c r="O549" s="19" t="n">
        <x:f>'参数'!$B$18*'参数'!$B$19^(MIN(E549,MAX(1,5*INT(D549/5)))-1)*F549*'参数'!$J$30*P549</x:f>
        <x:v>2103.552925769118</x:v>
      </x:c>
      <x:c r="P549" s="22" t="n">
        <x:f>MIN(1,(D549-1)/19)</x:f>
        <x:v>1</x:v>
      </x:c>
      <x:c r="Q549" s="19" t="n">
        <x:f>INDEX('角色成长'!$F$6:$F$105,D549)+O549*'参数'!$K$21</x:f>
        <x:v>10629.125838441985</x:v>
      </x:c>
      <x:c r="R549" s="19" t="n">
        <x:f>INDEX('角色成长'!$I$6:$I$105,D549)+O549*'参数'!$K$21</x:f>
        <x:v>9331.125838441985</x:v>
      </x:c>
      <x:c r="S549" s="19" t="n">
        <x:f>INDEX('角色成长'!$L$6:$L$105,D549)+O549*'参数'!$K$21</x:f>
        <x:v>8590.125838441985</x:v>
      </x:c>
      <x:c r="T549" s="19" t="n">
        <x:f>(INDEX('角色成长'!$J$6:$J$105,D549)+O549*'参数'!$L$21)*(1+'参数'!$B$40*P549)</x:f>
        <x:v>118666.76244728187</x:v>
      </x:c>
      <x:c r="U549" s="19" t="n">
        <x:f>(INDEX('角色成长'!$K$6:$K$105,D549)+O549*'参数'!$M$21)*(1+'参数'!$B$41*P549)</x:f>
        <x:v>6699.239382105553</x:v>
      </x:c>
      <x:c r="V549" s="19" t="n">
        <x:f>(('参数'!$K$5*(((Q549*(1+'参数'!$B$39*P549))^2/((Q549*(1+'参数'!$B$39*P549))+'参数'!$B$22*(I549)))*(1+'参数'!$B$42*P549)/'参数'!$J$5+((Q549*'参数'!$B$43*(1+'参数'!$B$39*P549))^2/((Q549*'参数'!$B$43*(1+'参数'!$B$39*P549))+'参数'!$B$22*(I549)))/'参数'!$B$44))+(((R549*(1+'参数'!$B$39*P549))^2/((R549*(1+'参数'!$B$39*P549))+'参数'!$B$22*(I549)))*(1+'参数'!$B$42*P549)/'参数'!$J$6+((R549*'参数'!$B$45*(1+'参数'!$B$39*P549))^2/((R549*'参数'!$B$45*(1+'参数'!$B$39*P549))+'参数'!$B$22*(I549)))/'参数'!$B$46)+((S549*(1+'参数'!$B$39*P549))^2/((S549*(1+'参数'!$B$39*P549))+'参数'!$B$22*(I549)))*(1+'参数'!$B$42*P549)/'参数'!$J$7)*(1+'参数'!$B$37*('参数'!$B$38-1))*'参数'!$B$25</x:f>
        <x:v>72276.65152942482</x:v>
      </x:c>
      <x:c r="W549" s="19" t="n">
        <x:f>(('参数'!$K$5*(((Q549*(1+'参数'!$B$39*P549))^2/((Q549*(1+'参数'!$B$39*P549))+'参数'!$B$22*(M549)))*(1+'参数'!$B$42*P549)/'参数'!$J$5+((Q549*'参数'!$B$43*(1+'参数'!$B$39*P549))^2/((Q549*'参数'!$B$43*(1+'参数'!$B$39*P549))+'参数'!$B$22*(M549)))/'参数'!$B$44))+(((R549*(1+'参数'!$B$39*P549))^2/((R549*(1+'参数'!$B$39*P549))+'参数'!$B$22*(M549)))*(1+'参数'!$B$42*P549)/'参数'!$J$6+((R549*'参数'!$B$45*(1+'参数'!$B$39*P549))^2/((R549*'参数'!$B$45*(1+'参数'!$B$39*P549))+'参数'!$B$22*(M549)))/'参数'!$B$46)+((S549*(1+'参数'!$B$39*P549))^2/((S549*(1+'参数'!$B$39*P549))+'参数'!$B$22*(M549)))*(1+'参数'!$B$42*P549)/'参数'!$J$7)*(1+'参数'!$B$37*('参数'!$B$38-1))</x:f>
        <x:v>55684.2511674383</x:v>
      </x:c>
      <x:c r="X549" s="26" t="n">
        <x:f>('参数'!$B$26+'参数'!$B$27*(D549-1)/99)*'参数'!$K$30*AD549</x:f>
        <x:v>31.08705882352941</x:v>
      </x:c>
      <x:c r="Y549" s="26" t="n">
        <x:f>('参数'!$B$28+'参数'!$B$29*(D549-1)/99)*'参数'!$K$30*AD549*IF(AE549=1,'参数'!$B$51,1)</x:f>
        <x:v>86.35294117647058</x:v>
      </x:c>
      <x:c r="Z549" s="22" t="n">
        <x:f>MIN('参数'!$B$36,U549/(U549+'参数'!$B$35))</x:f>
        <x:v>0.6261416482848315</x:v>
      </x:c>
      <x:c r="AA549" s="19" t="n">
        <x:f>T549*'参数'!$B$30/('参数'!$B$32*'参数'!$B$33)/(1-Z549)*AC549</x:f>
        <x:v>11166.333130623734</x:v>
      </x:c>
      <x:c r="AB549" s="19" t="n">
        <x:f>T549*'参数'!$B$31/'参数'!$B$34/(1-Z549)*AC549</x:f>
        <x:v>22332.66626124747</x:v>
      </x:c>
      <x:c r="AC549" s="20" t="n">
        <x:f>'参数'!$L$30*(1+'参数'!$B$53*(B549-1)/119)</x:f>
        <x:v>1.4071764705882353</x:v>
      </x:c>
      <x:c r="AD549" s="20" t="n">
        <x:f>1+'参数'!$B$52*(B549-1)/119</x:f>
        <x:v>1.0794117647058823</x:v>
      </x:c>
      <x:c r="AE549" s="19" t="n">
        <x:f>IF(MOD(B549,12)=0,1,0)</x:f>
        <x:v>0</x:v>
      </x:c>
    </x:row>
    <x:row r="550" ht="22" customHeight="1">
      <x:c r="A550" s="18" t="str">
        <x:v>折磨</x:v>
      </x:c>
      <x:c r="B550" s="18" t="n">
        <x:v>65</x:v>
      </x:c>
      <x:c r="C550" s="18" t="n">
        <x:f>ROUNDUP(B550/12,0)</x:f>
        <x:v>6</x:v>
      </x:c>
      <x:c r="D550" s="18" t="n">
        <x:f>ROUND(MAX('参数'!$G$30,E550)+(IF(C550&lt;10,INDEX('参数'!$G$38:$P$38,1,MIN(10,C550+1)),'参数'!$H$30)-MAX('参数'!$G$30,E550))*MOD(B550-1,12)/11,0)</x:f>
        <x:v>100</x:v>
      </x:c>
      <x:c r="E550" s="18" t="n">
        <x:f>INDEX('参数'!$G$38:$P$38,1,C550)</x:f>
        <x:v>100</x:v>
      </x:c>
      <x:c r="F550" s="15" t="n">
        <x:f>'参数'!$I$30</x:f>
        <x:v>1.43</x:v>
      </x:c>
      <x:c r="G550" s="18" t="n">
        <x:f>ROUND(V550*X550/'参数'!$B$56,0)</x:f>
        <x:v>489020</x:v>
      </x:c>
      <x:c r="H550" s="18" t="n">
        <x:f>ROUND((AA550+SQRT(AA550^2+4*AA550*'参数'!$B$22*U550))/2,0)</x:f>
        <x:v>16757</x:v>
      </x:c>
      <x:c r="I550" s="18" t="n">
        <x:f>ROUND(Q550*'参数'!$B$23/'参数'!$B$22,0)</x:f>
        <x:v>2126</x:v>
      </x:c>
      <x:c r="J550" s="18" t="n">
        <x:f>ROUND(G550*'参数'!$B$50,0)</x:f>
        <x:v>1467060</x:v>
      </x:c>
      <x:c r="K550" s="18" t="n">
        <x:f>ROUND(W550*Y550,0)</x:f>
        <x:v>4814114</x:v>
      </x:c>
      <x:c r="L550" s="18" t="n">
        <x:f>ROUND((AB550+SQRT(AB550^2+4*AB550*'参数'!$B$22*U550))/2,0)</x:f>
        <x:v>28837</x:v>
      </x:c>
      <x:c r="M550" s="18" t="n">
        <x:f>ROUND(I550*'参数'!$B$24,0)</x:f>
        <x:v>2658</x:v>
      </x:c>
      <x:c r="N550" s="18" t="n">
        <x:f>'参数'!$B$9*'参数'!$B$10^(D550-1)</x:f>
        <x:v>11195.319600498813</x:v>
      </x:c>
      <x:c r="O550" s="18" t="n">
        <x:f>'参数'!$B$18*'参数'!$B$19^(MIN(E550,MAX(1,5*INT(D550/5)))-1)*F550*'参数'!$J$30*P550</x:f>
        <x:v>2103.552925769118</x:v>
      </x:c>
      <x:c r="P550" s="21" t="n">
        <x:f>MIN(1,(D550-1)/19)</x:f>
        <x:v>1</x:v>
      </x:c>
      <x:c r="Q550" s="18" t="n">
        <x:f>INDEX('角色成长'!$F$6:$F$105,D550)+O550*'参数'!$K$21</x:f>
        <x:v>10629.125838441985</x:v>
      </x:c>
      <x:c r="R550" s="18" t="n">
        <x:f>INDEX('角色成长'!$I$6:$I$105,D550)+O550*'参数'!$K$21</x:f>
        <x:v>9331.125838441985</x:v>
      </x:c>
      <x:c r="S550" s="18" t="n">
        <x:f>INDEX('角色成长'!$L$6:$L$105,D550)+O550*'参数'!$K$21</x:f>
        <x:v>8590.125838441985</x:v>
      </x:c>
      <x:c r="T550" s="18" t="n">
        <x:f>(INDEX('角色成长'!$J$6:$J$105,D550)+O550*'参数'!$L$21)*(1+'参数'!$B$40*P550)</x:f>
        <x:v>118666.76244728187</x:v>
      </x:c>
      <x:c r="U550" s="18" t="n">
        <x:f>(INDEX('角色成长'!$K$6:$K$105,D550)+O550*'参数'!$M$21)*(1+'参数'!$B$41*P550)</x:f>
        <x:v>6699.239382105553</x:v>
      </x:c>
      <x:c r="V550" s="18" t="n">
        <x:f>(('参数'!$K$5*(((Q550*(1+'参数'!$B$39*P550))^2/((Q550*(1+'参数'!$B$39*P550))+'参数'!$B$22*(I550)))*(1+'参数'!$B$42*P550)/'参数'!$J$5+((Q550*'参数'!$B$43*(1+'参数'!$B$39*P550))^2/((Q550*'参数'!$B$43*(1+'参数'!$B$39*P550))+'参数'!$B$22*(I550)))/'参数'!$B$44))+(((R550*(1+'参数'!$B$39*P550))^2/((R550*(1+'参数'!$B$39*P550))+'参数'!$B$22*(I550)))*(1+'参数'!$B$42*P550)/'参数'!$J$6+((R550*'参数'!$B$45*(1+'参数'!$B$39*P550))^2/((R550*'参数'!$B$45*(1+'参数'!$B$39*P550))+'参数'!$B$22*(I550)))/'参数'!$B$46)+((S550*(1+'参数'!$B$39*P550))^2/((S550*(1+'参数'!$B$39*P550))+'参数'!$B$22*(I550)))*(1+'参数'!$B$42*P550)/'参数'!$J$7)*(1+'参数'!$B$37*('参数'!$B$38-1))*'参数'!$B$25</x:f>
        <x:v>72276.65152942482</x:v>
      </x:c>
      <x:c r="W550" s="18" t="n">
        <x:f>(('参数'!$K$5*(((Q550*(1+'参数'!$B$39*P550))^2/((Q550*(1+'参数'!$B$39*P550))+'参数'!$B$22*(M550)))*(1+'参数'!$B$42*P550)/'参数'!$J$5+((Q550*'参数'!$B$43*(1+'参数'!$B$39*P550))^2/((Q550*'参数'!$B$43*(1+'参数'!$B$39*P550))+'参数'!$B$22*(M550)))/'参数'!$B$44))+(((R550*(1+'参数'!$B$39*P550))^2/((R550*(1+'参数'!$B$39*P550))+'参数'!$B$22*(M550)))*(1+'参数'!$B$42*P550)/'参数'!$J$6+((R550*'参数'!$B$45*(1+'参数'!$B$39*P550))^2/((R550*'参数'!$B$45*(1+'参数'!$B$39*P550))+'参数'!$B$22*(M550)))/'参数'!$B$46)+((S550*(1+'参数'!$B$39*P550))^2/((S550*(1+'参数'!$B$39*P550))+'参数'!$B$22*(M550)))*(1+'参数'!$B$42*P550)/'参数'!$J$7)*(1+'参数'!$B$37*('参数'!$B$38-1))</x:f>
        <x:v>55684.2511674383</x:v>
      </x:c>
      <x:c r="X550" s="25" t="n">
        <x:f>('参数'!$B$26+'参数'!$B$27*(D550-1)/99)*'参数'!$K$30*AD550</x:f>
        <x:v>31.123361344537813</x:v>
      </x:c>
      <x:c r="Y550" s="25" t="n">
        <x:f>('参数'!$B$28+'参数'!$B$29*(D550-1)/99)*'参数'!$K$30*AD550*IF(AE550=1,'参数'!$B$51,1)</x:f>
        <x:v>86.45378151260503</x:v>
      </x:c>
      <x:c r="Z550" s="21" t="n">
        <x:f>MIN('参数'!$B$36,U550/(U550+'参数'!$B$35))</x:f>
        <x:v>0.6261416482848315</x:v>
      </x:c>
      <x:c r="AA550" s="18" t="n">
        <x:f>T550*'参数'!$B$30/('参数'!$B$32*'参数'!$B$33)/(1-Z550)*AC550</x:f>
        <x:v>11173.53489336519</x:v>
      </x:c>
      <x:c r="AB550" s="18" t="n">
        <x:f>T550*'参数'!$B$31/'参数'!$B$34/(1-Z550)*AC550</x:f>
        <x:v>22347.06978673038</x:v>
      </x:c>
      <x:c r="AC550" s="15" t="n">
        <x:f>'参数'!$L$30*(1+'参数'!$B$53*(B550-1)/119)</x:f>
        <x:v>1.4080840336134455</x:v>
      </x:c>
      <x:c r="AD550" s="15" t="n">
        <x:f>1+'参数'!$B$52*(B550-1)/119</x:f>
        <x:v>1.080672268907563</x:v>
      </x:c>
      <x:c r="AE550" s="18" t="n">
        <x:f>IF(MOD(B550,12)=0,1,0)</x:f>
        <x:v>0</x:v>
      </x:c>
    </x:row>
    <x:row r="551" ht="22" customHeight="1">
      <x:c r="A551" s="19" t="str">
        <x:v>折磨</x:v>
      </x:c>
      <x:c r="B551" s="19" t="n">
        <x:v>66</x:v>
      </x:c>
      <x:c r="C551" s="19" t="n">
        <x:f>ROUNDUP(B551/12,0)</x:f>
        <x:v>6</x:v>
      </x:c>
      <x:c r="D551" s="19" t="n">
        <x:f>ROUND(MAX('参数'!$G$30,E551)+(IF(C551&lt;10,INDEX('参数'!$G$38:$P$38,1,MIN(10,C551+1)),'参数'!$H$30)-MAX('参数'!$G$30,E551))*MOD(B551-1,12)/11,0)</x:f>
        <x:v>100</x:v>
      </x:c>
      <x:c r="E551" s="19" t="n">
        <x:f>INDEX('参数'!$G$38:$P$38,1,C551)</x:f>
        <x:v>100</x:v>
      </x:c>
      <x:c r="F551" s="20" t="n">
        <x:f>'参数'!$I$30</x:f>
        <x:v>1.43</x:v>
      </x:c>
      <x:c r="G551" s="19" t="n">
        <x:f>ROUND(V551*X551/'参数'!$B$56,0)</x:f>
        <x:v>489590</x:v>
      </x:c>
      <x:c r="H551" s="19" t="n">
        <x:f>ROUND((AA551+SQRT(AA551^2+4*AA551*'参数'!$B$22*U551))/2,0)</x:f>
        <x:v>16765</x:v>
      </x:c>
      <x:c r="I551" s="19" t="n">
        <x:f>ROUND(Q551*'参数'!$B$23/'参数'!$B$22,0)</x:f>
        <x:v>2126</x:v>
      </x:c>
      <x:c r="J551" s="19" t="n">
        <x:f>ROUND(G551*'参数'!$B$50,0)</x:f>
        <x:v>1468770</x:v>
      </x:c>
      <x:c r="K551" s="19" t="n">
        <x:f>ROUND(W551*Y551,0)</x:f>
        <x:v>4819729</x:v>
      </x:c>
      <x:c r="L551" s="19" t="n">
        <x:f>ROUND((AB551+SQRT(AB551^2+4*AB551*'参数'!$B$22*U551))/2,0)</x:f>
        <x:v>28852</x:v>
      </x:c>
      <x:c r="M551" s="19" t="n">
        <x:f>ROUND(I551*'参数'!$B$24,0)</x:f>
        <x:v>2658</x:v>
      </x:c>
      <x:c r="N551" s="19" t="n">
        <x:f>'参数'!$B$9*'参数'!$B$10^(D551-1)</x:f>
        <x:v>11195.319600498813</x:v>
      </x:c>
      <x:c r="O551" s="19" t="n">
        <x:f>'参数'!$B$18*'参数'!$B$19^(MIN(E551,MAX(1,5*INT(D551/5)))-1)*F551*'参数'!$J$30*P551</x:f>
        <x:v>2103.552925769118</x:v>
      </x:c>
      <x:c r="P551" s="22" t="n">
        <x:f>MIN(1,(D551-1)/19)</x:f>
        <x:v>1</x:v>
      </x:c>
      <x:c r="Q551" s="19" t="n">
        <x:f>INDEX('角色成长'!$F$6:$F$105,D551)+O551*'参数'!$K$21</x:f>
        <x:v>10629.125838441985</x:v>
      </x:c>
      <x:c r="R551" s="19" t="n">
        <x:f>INDEX('角色成长'!$I$6:$I$105,D551)+O551*'参数'!$K$21</x:f>
        <x:v>9331.125838441985</x:v>
      </x:c>
      <x:c r="S551" s="19" t="n">
        <x:f>INDEX('角色成长'!$L$6:$L$105,D551)+O551*'参数'!$K$21</x:f>
        <x:v>8590.125838441985</x:v>
      </x:c>
      <x:c r="T551" s="19" t="n">
        <x:f>(INDEX('角色成长'!$J$6:$J$105,D551)+O551*'参数'!$L$21)*(1+'参数'!$B$40*P551)</x:f>
        <x:v>118666.76244728187</x:v>
      </x:c>
      <x:c r="U551" s="19" t="n">
        <x:f>(INDEX('角色成长'!$K$6:$K$105,D551)+O551*'参数'!$M$21)*(1+'参数'!$B$41*P551)</x:f>
        <x:v>6699.239382105553</x:v>
      </x:c>
      <x:c r="V551" s="19" t="n">
        <x:f>(('参数'!$K$5*(((Q551*(1+'参数'!$B$39*P551))^2/((Q551*(1+'参数'!$B$39*P551))+'参数'!$B$22*(I551)))*(1+'参数'!$B$42*P551)/'参数'!$J$5+((Q551*'参数'!$B$43*(1+'参数'!$B$39*P551))^2/((Q551*'参数'!$B$43*(1+'参数'!$B$39*P551))+'参数'!$B$22*(I551)))/'参数'!$B$44))+(((R551*(1+'参数'!$B$39*P551))^2/((R551*(1+'参数'!$B$39*P551))+'参数'!$B$22*(I551)))*(1+'参数'!$B$42*P551)/'参数'!$J$6+((R551*'参数'!$B$45*(1+'参数'!$B$39*P551))^2/((R551*'参数'!$B$45*(1+'参数'!$B$39*P551))+'参数'!$B$22*(I551)))/'参数'!$B$46)+((S551*(1+'参数'!$B$39*P551))^2/((S551*(1+'参数'!$B$39*P551))+'参数'!$B$22*(I551)))*(1+'参数'!$B$42*P551)/'参数'!$J$7)*(1+'参数'!$B$37*('参数'!$B$38-1))*'参数'!$B$25</x:f>
        <x:v>72276.65152942482</x:v>
      </x:c>
      <x:c r="W551" s="19" t="n">
        <x:f>(('参数'!$K$5*(((Q551*(1+'参数'!$B$39*P551))^2/((Q551*(1+'参数'!$B$39*P551))+'参数'!$B$22*(M551)))*(1+'参数'!$B$42*P551)/'参数'!$J$5+((Q551*'参数'!$B$43*(1+'参数'!$B$39*P551))^2/((Q551*'参数'!$B$43*(1+'参数'!$B$39*P551))+'参数'!$B$22*(M551)))/'参数'!$B$44))+(((R551*(1+'参数'!$B$39*P551))^2/((R551*(1+'参数'!$B$39*P551))+'参数'!$B$22*(M551)))*(1+'参数'!$B$42*P551)/'参数'!$J$6+((R551*'参数'!$B$45*(1+'参数'!$B$39*P551))^2/((R551*'参数'!$B$45*(1+'参数'!$B$39*P551))+'参数'!$B$22*(M551)))/'参数'!$B$46)+((S551*(1+'参数'!$B$39*P551))^2/((S551*(1+'参数'!$B$39*P551))+'参数'!$B$22*(M551)))*(1+'参数'!$B$42*P551)/'参数'!$J$7)*(1+'参数'!$B$37*('参数'!$B$38-1))</x:f>
        <x:v>55684.2511674383</x:v>
      </x:c>
      <x:c r="X551" s="26" t="n">
        <x:f>('参数'!$B$26+'参数'!$B$27*(D551-1)/99)*'参数'!$K$30*AD551</x:f>
        <x:v>31.159663865546218</x:v>
      </x:c>
      <x:c r="Y551" s="26" t="n">
        <x:f>('参数'!$B$28+'参数'!$B$29*(D551-1)/99)*'参数'!$K$30*AD551*IF(AE551=1,'参数'!$B$51,1)</x:f>
        <x:v>86.55462184873949</x:v>
      </x:c>
      <x:c r="Z551" s="22" t="n">
        <x:f>MIN('参数'!$B$36,U551/(U551+'参数'!$B$35))</x:f>
        <x:v>0.6261416482848315</x:v>
      </x:c>
      <x:c r="AA551" s="19" t="n">
        <x:f>T551*'参数'!$B$30/('参数'!$B$32*'参数'!$B$33)/(1-Z551)*AC551</x:f>
        <x:v>11180.736656106643</x:v>
      </x:c>
      <x:c r="AB551" s="19" t="n">
        <x:f>T551*'参数'!$B$31/'参数'!$B$34/(1-Z551)*AC551</x:f>
        <x:v>22361.473312213286</x:v>
      </x:c>
      <x:c r="AC551" s="20" t="n">
        <x:f>'参数'!$L$30*(1+'参数'!$B$53*(B551-1)/119)</x:f>
        <x:v>1.4089915966386557</x:v>
      </x:c>
      <x:c r="AD551" s="20" t="n">
        <x:f>1+'参数'!$B$52*(B551-1)/119</x:f>
        <x:v>1.0819327731092436</x:v>
      </x:c>
      <x:c r="AE551" s="19" t="n">
        <x:f>IF(MOD(B551,12)=0,1,0)</x:f>
        <x:v>0</x:v>
      </x:c>
    </x:row>
    <x:row r="552" ht="22" customHeight="1">
      <x:c r="A552" s="18" t="str">
        <x:v>折磨</x:v>
      </x:c>
      <x:c r="B552" s="18" t="n">
        <x:v>67</x:v>
      </x:c>
      <x:c r="C552" s="18" t="n">
        <x:f>ROUNDUP(B552/12,0)</x:f>
        <x:v>6</x:v>
      </x:c>
      <x:c r="D552" s="18" t="n">
        <x:f>ROUND(MAX('参数'!$G$30,E552)+(IF(C552&lt;10,INDEX('参数'!$G$38:$P$38,1,MIN(10,C552+1)),'参数'!$H$30)-MAX('参数'!$G$30,E552))*MOD(B552-1,12)/11,0)</x:f>
        <x:v>100</x:v>
      </x:c>
      <x:c r="E552" s="18" t="n">
        <x:f>INDEX('参数'!$G$38:$P$38,1,C552)</x:f>
        <x:v>100</x:v>
      </x:c>
      <x:c r="F552" s="15" t="n">
        <x:f>'参数'!$I$30</x:f>
        <x:v>1.43</x:v>
      </x:c>
      <x:c r="G552" s="18" t="n">
        <x:f>ROUND(V552*X552/'参数'!$B$56,0)</x:f>
        <x:v>490161</x:v>
      </x:c>
      <x:c r="H552" s="18" t="n">
        <x:f>ROUND((AA552+SQRT(AA552^2+4*AA552*'参数'!$B$22*U552))/2,0)</x:f>
        <x:v>16773</x:v>
      </x:c>
      <x:c r="I552" s="18" t="n">
        <x:f>ROUND(Q552*'参数'!$B$23/'参数'!$B$22,0)</x:f>
        <x:v>2126</x:v>
      </x:c>
      <x:c r="J552" s="18" t="n">
        <x:f>ROUND(G552*'参数'!$B$50,0)</x:f>
        <x:v>1470483</x:v>
      </x:c>
      <x:c r="K552" s="18" t="n">
        <x:f>ROUND(W552*Y552,0)</x:f>
        <x:v>4825345</x:v>
      </x:c>
      <x:c r="L552" s="18" t="n">
        <x:f>ROUND((AB552+SQRT(AB552^2+4*AB552*'参数'!$B$22*U552))/2,0)</x:f>
        <x:v>28867</x:v>
      </x:c>
      <x:c r="M552" s="18" t="n">
        <x:f>ROUND(I552*'参数'!$B$24,0)</x:f>
        <x:v>2658</x:v>
      </x:c>
      <x:c r="N552" s="18" t="n">
        <x:f>'参数'!$B$9*'参数'!$B$10^(D552-1)</x:f>
        <x:v>11195.319600498813</x:v>
      </x:c>
      <x:c r="O552" s="18" t="n">
        <x:f>'参数'!$B$18*'参数'!$B$19^(MIN(E552,MAX(1,5*INT(D552/5)))-1)*F552*'参数'!$J$30*P552</x:f>
        <x:v>2103.552925769118</x:v>
      </x:c>
      <x:c r="P552" s="21" t="n">
        <x:f>MIN(1,(D552-1)/19)</x:f>
        <x:v>1</x:v>
      </x:c>
      <x:c r="Q552" s="18" t="n">
        <x:f>INDEX('角色成长'!$F$6:$F$105,D552)+O552*'参数'!$K$21</x:f>
        <x:v>10629.125838441985</x:v>
      </x:c>
      <x:c r="R552" s="18" t="n">
        <x:f>INDEX('角色成长'!$I$6:$I$105,D552)+O552*'参数'!$K$21</x:f>
        <x:v>9331.125838441985</x:v>
      </x:c>
      <x:c r="S552" s="18" t="n">
        <x:f>INDEX('角色成长'!$L$6:$L$105,D552)+O552*'参数'!$K$21</x:f>
        <x:v>8590.125838441985</x:v>
      </x:c>
      <x:c r="T552" s="18" t="n">
        <x:f>(INDEX('角色成长'!$J$6:$J$105,D552)+O552*'参数'!$L$21)*(1+'参数'!$B$40*P552)</x:f>
        <x:v>118666.76244728187</x:v>
      </x:c>
      <x:c r="U552" s="18" t="n">
        <x:f>(INDEX('角色成长'!$K$6:$K$105,D552)+O552*'参数'!$M$21)*(1+'参数'!$B$41*P552)</x:f>
        <x:v>6699.239382105553</x:v>
      </x:c>
      <x:c r="V552" s="18" t="n">
        <x:f>(('参数'!$K$5*(((Q552*(1+'参数'!$B$39*P552))^2/((Q552*(1+'参数'!$B$39*P552))+'参数'!$B$22*(I552)))*(1+'参数'!$B$42*P552)/'参数'!$J$5+((Q552*'参数'!$B$43*(1+'参数'!$B$39*P552))^2/((Q552*'参数'!$B$43*(1+'参数'!$B$39*P552))+'参数'!$B$22*(I552)))/'参数'!$B$44))+(((R552*(1+'参数'!$B$39*P552))^2/((R552*(1+'参数'!$B$39*P552))+'参数'!$B$22*(I552)))*(1+'参数'!$B$42*P552)/'参数'!$J$6+((R552*'参数'!$B$45*(1+'参数'!$B$39*P552))^2/((R552*'参数'!$B$45*(1+'参数'!$B$39*P552))+'参数'!$B$22*(I552)))/'参数'!$B$46)+((S552*(1+'参数'!$B$39*P552))^2/((S552*(1+'参数'!$B$39*P552))+'参数'!$B$22*(I552)))*(1+'参数'!$B$42*P552)/'参数'!$J$7)*(1+'参数'!$B$37*('参数'!$B$38-1))*'参数'!$B$25</x:f>
        <x:v>72276.65152942482</x:v>
      </x:c>
      <x:c r="W552" s="18" t="n">
        <x:f>(('参数'!$K$5*(((Q552*(1+'参数'!$B$39*P552))^2/((Q552*(1+'参数'!$B$39*P552))+'参数'!$B$22*(M552)))*(1+'参数'!$B$42*P552)/'参数'!$J$5+((Q552*'参数'!$B$43*(1+'参数'!$B$39*P552))^2/((Q552*'参数'!$B$43*(1+'参数'!$B$39*P552))+'参数'!$B$22*(M552)))/'参数'!$B$44))+(((R552*(1+'参数'!$B$39*P552))^2/((R552*(1+'参数'!$B$39*P552))+'参数'!$B$22*(M552)))*(1+'参数'!$B$42*P552)/'参数'!$J$6+((R552*'参数'!$B$45*(1+'参数'!$B$39*P552))^2/((R552*'参数'!$B$45*(1+'参数'!$B$39*P552))+'参数'!$B$22*(M552)))/'参数'!$B$46)+((S552*(1+'参数'!$B$39*P552))^2/((S552*(1+'参数'!$B$39*P552))+'参数'!$B$22*(M552)))*(1+'参数'!$B$42*P552)/'参数'!$J$7)*(1+'参数'!$B$37*('参数'!$B$38-1))</x:f>
        <x:v>55684.2511674383</x:v>
      </x:c>
      <x:c r="X552" s="25" t="n">
        <x:f>('参数'!$B$26+'参数'!$B$27*(D552-1)/99)*'参数'!$K$30*AD552</x:f>
        <x:v>31.19596638655462</x:v>
      </x:c>
      <x:c r="Y552" s="25" t="n">
        <x:f>('参数'!$B$28+'参数'!$B$29*(D552-1)/99)*'参数'!$K$30*AD552*IF(AE552=1,'参数'!$B$51,1)</x:f>
        <x:v>86.65546218487394</x:v>
      </x:c>
      <x:c r="Z552" s="21" t="n">
        <x:f>MIN('参数'!$B$36,U552/(U552+'参数'!$B$35))</x:f>
        <x:v>0.6261416482848315</x:v>
      </x:c>
      <x:c r="AA552" s="18" t="n">
        <x:f>T552*'参数'!$B$30/('参数'!$B$32*'参数'!$B$33)/(1-Z552)*AC552</x:f>
        <x:v>11187.938418848094</x:v>
      </x:c>
      <x:c r="AB552" s="18" t="n">
        <x:f>T552*'参数'!$B$31/'参数'!$B$34/(1-Z552)*AC552</x:f>
        <x:v>22375.87683769619</x:v>
      </x:c>
      <x:c r="AC552" s="15" t="n">
        <x:f>'参数'!$L$30*(1+'参数'!$B$53*(B552-1)/119)</x:f>
        <x:v>1.4098991596638655</x:v>
      </x:c>
      <x:c r="AD552" s="15" t="n">
        <x:f>1+'参数'!$B$52*(B552-1)/119</x:f>
        <x:v>1.0831932773109243</x:v>
      </x:c>
      <x:c r="AE552" s="18" t="n">
        <x:f>IF(MOD(B552,12)=0,1,0)</x:f>
        <x:v>0</x:v>
      </x:c>
    </x:row>
    <x:row r="553" ht="22" customHeight="1">
      <x:c r="A553" s="19" t="str">
        <x:v>折磨</x:v>
      </x:c>
      <x:c r="B553" s="19" t="n">
        <x:v>68</x:v>
      </x:c>
      <x:c r="C553" s="19" t="n">
        <x:f>ROUNDUP(B553/12,0)</x:f>
        <x:v>6</x:v>
      </x:c>
      <x:c r="D553" s="19" t="n">
        <x:f>ROUND(MAX('参数'!$G$30,E553)+(IF(C553&lt;10,INDEX('参数'!$G$38:$P$38,1,MIN(10,C553+1)),'参数'!$H$30)-MAX('参数'!$G$30,E553))*MOD(B553-1,12)/11,0)</x:f>
        <x:v>100</x:v>
      </x:c>
      <x:c r="E553" s="19" t="n">
        <x:f>INDEX('参数'!$G$38:$P$38,1,C553)</x:f>
        <x:v>100</x:v>
      </x:c>
      <x:c r="F553" s="20" t="n">
        <x:f>'参数'!$I$30</x:f>
        <x:v>1.43</x:v>
      </x:c>
      <x:c r="G553" s="19" t="n">
        <x:f>ROUND(V553*X553/'参数'!$B$56,0)</x:f>
        <x:v>490731</x:v>
      </x:c>
      <x:c r="H553" s="19" t="n">
        <x:f>ROUND((AA553+SQRT(AA553^2+4*AA553*'参数'!$B$22*U553))/2,0)</x:f>
        <x:v>16782</x:v>
      </x:c>
      <x:c r="I553" s="19" t="n">
        <x:f>ROUND(Q553*'参数'!$B$23/'参数'!$B$22,0)</x:f>
        <x:v>2126</x:v>
      </x:c>
      <x:c r="J553" s="19" t="n">
        <x:f>ROUND(G553*'参数'!$B$50,0)</x:f>
        <x:v>1472193</x:v>
      </x:c>
      <x:c r="K553" s="19" t="n">
        <x:f>ROUND(W553*Y553,0)</x:f>
        <x:v>4830960</x:v>
      </x:c>
      <x:c r="L553" s="19" t="n">
        <x:f>ROUND((AB553+SQRT(AB553^2+4*AB553*'参数'!$B$22*U553))/2,0)</x:f>
        <x:v>28882</x:v>
      </x:c>
      <x:c r="M553" s="19" t="n">
        <x:f>ROUND(I553*'参数'!$B$24,0)</x:f>
        <x:v>2658</x:v>
      </x:c>
      <x:c r="N553" s="19" t="n">
        <x:f>'参数'!$B$9*'参数'!$B$10^(D553-1)</x:f>
        <x:v>11195.319600498813</x:v>
      </x:c>
      <x:c r="O553" s="19" t="n">
        <x:f>'参数'!$B$18*'参数'!$B$19^(MIN(E553,MAX(1,5*INT(D553/5)))-1)*F553*'参数'!$J$30*P553</x:f>
        <x:v>2103.552925769118</x:v>
      </x:c>
      <x:c r="P553" s="22" t="n">
        <x:f>MIN(1,(D553-1)/19)</x:f>
        <x:v>1</x:v>
      </x:c>
      <x:c r="Q553" s="19" t="n">
        <x:f>INDEX('角色成长'!$F$6:$F$105,D553)+O553*'参数'!$K$21</x:f>
        <x:v>10629.125838441985</x:v>
      </x:c>
      <x:c r="R553" s="19" t="n">
        <x:f>INDEX('角色成长'!$I$6:$I$105,D553)+O553*'参数'!$K$21</x:f>
        <x:v>9331.125838441985</x:v>
      </x:c>
      <x:c r="S553" s="19" t="n">
        <x:f>INDEX('角色成长'!$L$6:$L$105,D553)+O553*'参数'!$K$21</x:f>
        <x:v>8590.125838441985</x:v>
      </x:c>
      <x:c r="T553" s="19" t="n">
        <x:f>(INDEX('角色成长'!$J$6:$J$105,D553)+O553*'参数'!$L$21)*(1+'参数'!$B$40*P553)</x:f>
        <x:v>118666.76244728187</x:v>
      </x:c>
      <x:c r="U553" s="19" t="n">
        <x:f>(INDEX('角色成长'!$K$6:$K$105,D553)+O553*'参数'!$M$21)*(1+'参数'!$B$41*P553)</x:f>
        <x:v>6699.239382105553</x:v>
      </x:c>
      <x:c r="V553" s="19" t="n">
        <x:f>(('参数'!$K$5*(((Q553*(1+'参数'!$B$39*P553))^2/((Q553*(1+'参数'!$B$39*P553))+'参数'!$B$22*(I553)))*(1+'参数'!$B$42*P553)/'参数'!$J$5+((Q553*'参数'!$B$43*(1+'参数'!$B$39*P553))^2/((Q553*'参数'!$B$43*(1+'参数'!$B$39*P553))+'参数'!$B$22*(I553)))/'参数'!$B$44))+(((R553*(1+'参数'!$B$39*P553))^2/((R553*(1+'参数'!$B$39*P553))+'参数'!$B$22*(I553)))*(1+'参数'!$B$42*P553)/'参数'!$J$6+((R553*'参数'!$B$45*(1+'参数'!$B$39*P553))^2/((R553*'参数'!$B$45*(1+'参数'!$B$39*P553))+'参数'!$B$22*(I553)))/'参数'!$B$46)+((S553*(1+'参数'!$B$39*P553))^2/((S553*(1+'参数'!$B$39*P553))+'参数'!$B$22*(I553)))*(1+'参数'!$B$42*P553)/'参数'!$J$7)*(1+'参数'!$B$37*('参数'!$B$38-1))*'参数'!$B$25</x:f>
        <x:v>72276.65152942482</x:v>
      </x:c>
      <x:c r="W553" s="19" t="n">
        <x:f>(('参数'!$K$5*(((Q553*(1+'参数'!$B$39*P553))^2/((Q553*(1+'参数'!$B$39*P553))+'参数'!$B$22*(M553)))*(1+'参数'!$B$42*P553)/'参数'!$J$5+((Q553*'参数'!$B$43*(1+'参数'!$B$39*P553))^2/((Q553*'参数'!$B$43*(1+'参数'!$B$39*P553))+'参数'!$B$22*(M553)))/'参数'!$B$44))+(((R553*(1+'参数'!$B$39*P553))^2/((R553*(1+'参数'!$B$39*P553))+'参数'!$B$22*(M553)))*(1+'参数'!$B$42*P553)/'参数'!$J$6+((R553*'参数'!$B$45*(1+'参数'!$B$39*P553))^2/((R553*'参数'!$B$45*(1+'参数'!$B$39*P553))+'参数'!$B$22*(M553)))/'参数'!$B$46)+((S553*(1+'参数'!$B$39*P553))^2/((S553*(1+'参数'!$B$39*P553))+'参数'!$B$22*(M553)))*(1+'参数'!$B$42*P553)/'参数'!$J$7)*(1+'参数'!$B$37*('参数'!$B$38-1))</x:f>
        <x:v>55684.2511674383</x:v>
      </x:c>
      <x:c r="X553" s="26" t="n">
        <x:f>('参数'!$B$26+'参数'!$B$27*(D553-1)/99)*'参数'!$K$30*AD553</x:f>
        <x:v>31.232268907563025</x:v>
      </x:c>
      <x:c r="Y553" s="26" t="n">
        <x:f>('参数'!$B$28+'参数'!$B$29*(D553-1)/99)*'参数'!$K$30*AD553*IF(AE553=1,'参数'!$B$51,1)</x:f>
        <x:v>86.7563025210084</x:v>
      </x:c>
      <x:c r="Z553" s="22" t="n">
        <x:f>MIN('参数'!$B$36,U553/(U553+'参数'!$B$35))</x:f>
        <x:v>0.6261416482848315</x:v>
      </x:c>
      <x:c r="AA553" s="19" t="n">
        <x:f>T553*'参数'!$B$30/('参数'!$B$32*'参数'!$B$33)/(1-Z553)*AC553</x:f>
        <x:v>11195.14018158955</x:v>
      </x:c>
      <x:c r="AB553" s="19" t="n">
        <x:f>T553*'参数'!$B$31/'参数'!$B$34/(1-Z553)*AC553</x:f>
        <x:v>22390.2803631791</x:v>
      </x:c>
      <x:c r="AC553" s="20" t="n">
        <x:f>'参数'!$L$30*(1+'参数'!$B$53*(B553-1)/119)</x:f>
        <x:v>1.4108067226890757</x:v>
      </x:c>
      <x:c r="AD553" s="20" t="n">
        <x:f>1+'参数'!$B$52*(B553-1)/119</x:f>
        <x:v>1.084453781512605</x:v>
      </x:c>
      <x:c r="AE553" s="19" t="n">
        <x:f>IF(MOD(B553,12)=0,1,0)</x:f>
        <x:v>0</x:v>
      </x:c>
    </x:row>
    <x:row r="554" ht="22" customHeight="1">
      <x:c r="A554" s="18" t="str">
        <x:v>折磨</x:v>
      </x:c>
      <x:c r="B554" s="18" t="n">
        <x:v>69</x:v>
      </x:c>
      <x:c r="C554" s="18" t="n">
        <x:f>ROUNDUP(B554/12,0)</x:f>
        <x:v>6</x:v>
      </x:c>
      <x:c r="D554" s="18" t="n">
        <x:f>ROUND(MAX('参数'!$G$30,E554)+(IF(C554&lt;10,INDEX('参数'!$G$38:$P$38,1,MIN(10,C554+1)),'参数'!$H$30)-MAX('参数'!$G$30,E554))*MOD(B554-1,12)/11,0)</x:f>
        <x:v>100</x:v>
      </x:c>
      <x:c r="E554" s="18" t="n">
        <x:f>INDEX('参数'!$G$38:$P$38,1,C554)</x:f>
        <x:v>100</x:v>
      </x:c>
      <x:c r="F554" s="15" t="n">
        <x:f>'参数'!$I$30</x:f>
        <x:v>1.43</x:v>
      </x:c>
      <x:c r="G554" s="18" t="n">
        <x:f>ROUND(V554*X554/'参数'!$B$56,0)</x:f>
        <x:v>491302</x:v>
      </x:c>
      <x:c r="H554" s="18" t="n">
        <x:f>ROUND((AA554+SQRT(AA554^2+4*AA554*'参数'!$B$22*U554))/2,0)</x:f>
        <x:v>16790</x:v>
      </x:c>
      <x:c r="I554" s="18" t="n">
        <x:f>ROUND(Q554*'参数'!$B$23/'参数'!$B$22,0)</x:f>
        <x:v>2126</x:v>
      </x:c>
      <x:c r="J554" s="18" t="n">
        <x:f>ROUND(G554*'参数'!$B$50,0)</x:f>
        <x:v>1473906</x:v>
      </x:c>
      <x:c r="K554" s="18" t="n">
        <x:f>ROUND(W554*Y554,0)</x:f>
        <x:v>4836575</x:v>
      </x:c>
      <x:c r="L554" s="18" t="n">
        <x:f>ROUND((AB554+SQRT(AB554^2+4*AB554*'参数'!$B$22*U554))/2,0)</x:f>
        <x:v>28897</x:v>
      </x:c>
      <x:c r="M554" s="18" t="n">
        <x:f>ROUND(I554*'参数'!$B$24,0)</x:f>
        <x:v>2658</x:v>
      </x:c>
      <x:c r="N554" s="18" t="n">
        <x:f>'参数'!$B$9*'参数'!$B$10^(D554-1)</x:f>
        <x:v>11195.319600498813</x:v>
      </x:c>
      <x:c r="O554" s="18" t="n">
        <x:f>'参数'!$B$18*'参数'!$B$19^(MIN(E554,MAX(1,5*INT(D554/5)))-1)*F554*'参数'!$J$30*P554</x:f>
        <x:v>2103.552925769118</x:v>
      </x:c>
      <x:c r="P554" s="21" t="n">
        <x:f>MIN(1,(D554-1)/19)</x:f>
        <x:v>1</x:v>
      </x:c>
      <x:c r="Q554" s="18" t="n">
        <x:f>INDEX('角色成长'!$F$6:$F$105,D554)+O554*'参数'!$K$21</x:f>
        <x:v>10629.125838441985</x:v>
      </x:c>
      <x:c r="R554" s="18" t="n">
        <x:f>INDEX('角色成长'!$I$6:$I$105,D554)+O554*'参数'!$K$21</x:f>
        <x:v>9331.125838441985</x:v>
      </x:c>
      <x:c r="S554" s="18" t="n">
        <x:f>INDEX('角色成长'!$L$6:$L$105,D554)+O554*'参数'!$K$21</x:f>
        <x:v>8590.125838441985</x:v>
      </x:c>
      <x:c r="T554" s="18" t="n">
        <x:f>(INDEX('角色成长'!$J$6:$J$105,D554)+O554*'参数'!$L$21)*(1+'参数'!$B$40*P554)</x:f>
        <x:v>118666.76244728187</x:v>
      </x:c>
      <x:c r="U554" s="18" t="n">
        <x:f>(INDEX('角色成长'!$K$6:$K$105,D554)+O554*'参数'!$M$21)*(1+'参数'!$B$41*P554)</x:f>
        <x:v>6699.239382105553</x:v>
      </x:c>
      <x:c r="V554" s="18" t="n">
        <x:f>(('参数'!$K$5*(((Q554*(1+'参数'!$B$39*P554))^2/((Q554*(1+'参数'!$B$39*P554))+'参数'!$B$22*(I554)))*(1+'参数'!$B$42*P554)/'参数'!$J$5+((Q554*'参数'!$B$43*(1+'参数'!$B$39*P554))^2/((Q554*'参数'!$B$43*(1+'参数'!$B$39*P554))+'参数'!$B$22*(I554)))/'参数'!$B$44))+(((R554*(1+'参数'!$B$39*P554))^2/((R554*(1+'参数'!$B$39*P554))+'参数'!$B$22*(I554)))*(1+'参数'!$B$42*P554)/'参数'!$J$6+((R554*'参数'!$B$45*(1+'参数'!$B$39*P554))^2/((R554*'参数'!$B$45*(1+'参数'!$B$39*P554))+'参数'!$B$22*(I554)))/'参数'!$B$46)+((S554*(1+'参数'!$B$39*P554))^2/((S554*(1+'参数'!$B$39*P554))+'参数'!$B$22*(I554)))*(1+'参数'!$B$42*P554)/'参数'!$J$7)*(1+'参数'!$B$37*('参数'!$B$38-1))*'参数'!$B$25</x:f>
        <x:v>72276.65152942482</x:v>
      </x:c>
      <x:c r="W554" s="18" t="n">
        <x:f>(('参数'!$K$5*(((Q554*(1+'参数'!$B$39*P554))^2/((Q554*(1+'参数'!$B$39*P554))+'参数'!$B$22*(M554)))*(1+'参数'!$B$42*P554)/'参数'!$J$5+((Q554*'参数'!$B$43*(1+'参数'!$B$39*P554))^2/((Q554*'参数'!$B$43*(1+'参数'!$B$39*P554))+'参数'!$B$22*(M554)))/'参数'!$B$44))+(((R554*(1+'参数'!$B$39*P554))^2/((R554*(1+'参数'!$B$39*P554))+'参数'!$B$22*(M554)))*(1+'参数'!$B$42*P554)/'参数'!$J$6+((R554*'参数'!$B$45*(1+'参数'!$B$39*P554))^2/((R554*'参数'!$B$45*(1+'参数'!$B$39*P554))+'参数'!$B$22*(M554)))/'参数'!$B$46)+((S554*(1+'参数'!$B$39*P554))^2/((S554*(1+'参数'!$B$39*P554))+'参数'!$B$22*(M554)))*(1+'参数'!$B$42*P554)/'参数'!$J$7)*(1+'参数'!$B$37*('参数'!$B$38-1))</x:f>
        <x:v>55684.2511674383</x:v>
      </x:c>
      <x:c r="X554" s="25" t="n">
        <x:f>('参数'!$B$26+'参数'!$B$27*(D554-1)/99)*'参数'!$K$30*AD554</x:f>
        <x:v>31.268571428571427</x:v>
      </x:c>
      <x:c r="Y554" s="25" t="n">
        <x:f>('参数'!$B$28+'参数'!$B$29*(D554-1)/99)*'参数'!$K$30*AD554*IF(AE554=1,'参数'!$B$51,1)</x:f>
        <x:v>86.85714285714285</x:v>
      </x:c>
      <x:c r="Z554" s="21" t="n">
        <x:f>MIN('参数'!$B$36,U554/(U554+'参数'!$B$35))</x:f>
        <x:v>0.6261416482848315</x:v>
      </x:c>
      <x:c r="AA554" s="18" t="n">
        <x:f>T554*'参数'!$B$30/('参数'!$B$32*'参数'!$B$33)/(1-Z554)*AC554</x:f>
        <x:v>11202.341944331003</x:v>
      </x:c>
      <x:c r="AB554" s="18" t="n">
        <x:f>T554*'参数'!$B$31/'参数'!$B$34/(1-Z554)*AC554</x:f>
        <x:v>22404.683888662006</x:v>
      </x:c>
      <x:c r="AC554" s="15" t="n">
        <x:f>'参数'!$L$30*(1+'参数'!$B$53*(B554-1)/119)</x:f>
        <x:v>1.411714285714286</x:v>
      </x:c>
      <x:c r="AD554" s="15" t="n">
        <x:f>1+'参数'!$B$52*(B554-1)/119</x:f>
        <x:v>1.0857142857142856</x:v>
      </x:c>
      <x:c r="AE554" s="18" t="n">
        <x:f>IF(MOD(B554,12)=0,1,0)</x:f>
        <x:v>0</x:v>
      </x:c>
    </x:row>
    <x:row r="555" ht="22" customHeight="1">
      <x:c r="A555" s="19" t="str">
        <x:v>折磨</x:v>
      </x:c>
      <x:c r="B555" s="19" t="n">
        <x:v>70</x:v>
      </x:c>
      <x:c r="C555" s="19" t="n">
        <x:f>ROUNDUP(B555/12,0)</x:f>
        <x:v>6</x:v>
      </x:c>
      <x:c r="D555" s="19" t="n">
        <x:f>ROUND(MAX('参数'!$G$30,E555)+(IF(C555&lt;10,INDEX('参数'!$G$38:$P$38,1,MIN(10,C555+1)),'参数'!$H$30)-MAX('参数'!$G$30,E555))*MOD(B555-1,12)/11,0)</x:f>
        <x:v>100</x:v>
      </x:c>
      <x:c r="E555" s="19" t="n">
        <x:f>INDEX('参数'!$G$38:$P$38,1,C555)</x:f>
        <x:v>100</x:v>
      </x:c>
      <x:c r="F555" s="20" t="n">
        <x:f>'参数'!$I$30</x:f>
        <x:v>1.43</x:v>
      </x:c>
      <x:c r="G555" s="19" t="n">
        <x:f>ROUND(V555*X555/'参数'!$B$56,0)</x:f>
        <x:v>491872</x:v>
      </x:c>
      <x:c r="H555" s="19" t="n">
        <x:f>ROUND((AA555+SQRT(AA555^2+4*AA555*'参数'!$B$22*U555))/2,0)</x:f>
        <x:v>16798</x:v>
      </x:c>
      <x:c r="I555" s="19" t="n">
        <x:f>ROUND(Q555*'参数'!$B$23/'参数'!$B$22,0)</x:f>
        <x:v>2126</x:v>
      </x:c>
      <x:c r="J555" s="19" t="n">
        <x:f>ROUND(G555*'参数'!$B$50,0)</x:f>
        <x:v>1475616</x:v>
      </x:c>
      <x:c r="K555" s="19" t="n">
        <x:f>ROUND(W555*Y555,0)</x:f>
        <x:v>4842190</x:v>
      </x:c>
      <x:c r="L555" s="19" t="n">
        <x:f>ROUND((AB555+SQRT(AB555^2+4*AB555*'参数'!$B$22*U555))/2,0)</x:f>
        <x:v>28912</x:v>
      </x:c>
      <x:c r="M555" s="19" t="n">
        <x:f>ROUND(I555*'参数'!$B$24,0)</x:f>
        <x:v>2658</x:v>
      </x:c>
      <x:c r="N555" s="19" t="n">
        <x:f>'参数'!$B$9*'参数'!$B$10^(D555-1)</x:f>
        <x:v>11195.319600498813</x:v>
      </x:c>
      <x:c r="O555" s="19" t="n">
        <x:f>'参数'!$B$18*'参数'!$B$19^(MIN(E555,MAX(1,5*INT(D555/5)))-1)*F555*'参数'!$J$30*P555</x:f>
        <x:v>2103.552925769118</x:v>
      </x:c>
      <x:c r="P555" s="22" t="n">
        <x:f>MIN(1,(D555-1)/19)</x:f>
        <x:v>1</x:v>
      </x:c>
      <x:c r="Q555" s="19" t="n">
        <x:f>INDEX('角色成长'!$F$6:$F$105,D555)+O555*'参数'!$K$21</x:f>
        <x:v>10629.125838441985</x:v>
      </x:c>
      <x:c r="R555" s="19" t="n">
        <x:f>INDEX('角色成长'!$I$6:$I$105,D555)+O555*'参数'!$K$21</x:f>
        <x:v>9331.125838441985</x:v>
      </x:c>
      <x:c r="S555" s="19" t="n">
        <x:f>INDEX('角色成长'!$L$6:$L$105,D555)+O555*'参数'!$K$21</x:f>
        <x:v>8590.125838441985</x:v>
      </x:c>
      <x:c r="T555" s="19" t="n">
        <x:f>(INDEX('角色成长'!$J$6:$J$105,D555)+O555*'参数'!$L$21)*(1+'参数'!$B$40*P555)</x:f>
        <x:v>118666.76244728187</x:v>
      </x:c>
      <x:c r="U555" s="19" t="n">
        <x:f>(INDEX('角色成长'!$K$6:$K$105,D555)+O555*'参数'!$M$21)*(1+'参数'!$B$41*P555)</x:f>
        <x:v>6699.239382105553</x:v>
      </x:c>
      <x:c r="V555" s="19" t="n">
        <x:f>(('参数'!$K$5*(((Q555*(1+'参数'!$B$39*P555))^2/((Q555*(1+'参数'!$B$39*P555))+'参数'!$B$22*(I555)))*(1+'参数'!$B$42*P555)/'参数'!$J$5+((Q555*'参数'!$B$43*(1+'参数'!$B$39*P555))^2/((Q555*'参数'!$B$43*(1+'参数'!$B$39*P555))+'参数'!$B$22*(I555)))/'参数'!$B$44))+(((R555*(1+'参数'!$B$39*P555))^2/((R555*(1+'参数'!$B$39*P555))+'参数'!$B$22*(I555)))*(1+'参数'!$B$42*P555)/'参数'!$J$6+((R555*'参数'!$B$45*(1+'参数'!$B$39*P555))^2/((R555*'参数'!$B$45*(1+'参数'!$B$39*P555))+'参数'!$B$22*(I555)))/'参数'!$B$46)+((S555*(1+'参数'!$B$39*P555))^2/((S555*(1+'参数'!$B$39*P555))+'参数'!$B$22*(I555)))*(1+'参数'!$B$42*P555)/'参数'!$J$7)*(1+'参数'!$B$37*('参数'!$B$38-1))*'参数'!$B$25</x:f>
        <x:v>72276.65152942482</x:v>
      </x:c>
      <x:c r="W555" s="19" t="n">
        <x:f>(('参数'!$K$5*(((Q555*(1+'参数'!$B$39*P555))^2/((Q555*(1+'参数'!$B$39*P555))+'参数'!$B$22*(M555)))*(1+'参数'!$B$42*P555)/'参数'!$J$5+((Q555*'参数'!$B$43*(1+'参数'!$B$39*P555))^2/((Q555*'参数'!$B$43*(1+'参数'!$B$39*P555))+'参数'!$B$22*(M555)))/'参数'!$B$44))+(((R555*(1+'参数'!$B$39*P555))^2/((R555*(1+'参数'!$B$39*P555))+'参数'!$B$22*(M555)))*(1+'参数'!$B$42*P555)/'参数'!$J$6+((R555*'参数'!$B$45*(1+'参数'!$B$39*P555))^2/((R555*'参数'!$B$45*(1+'参数'!$B$39*P555))+'参数'!$B$22*(M555)))/'参数'!$B$46)+((S555*(1+'参数'!$B$39*P555))^2/((S555*(1+'参数'!$B$39*P555))+'参数'!$B$22*(M555)))*(1+'参数'!$B$42*P555)/'参数'!$J$7)*(1+'参数'!$B$37*('参数'!$B$38-1))</x:f>
        <x:v>55684.2511674383</x:v>
      </x:c>
      <x:c r="X555" s="26" t="n">
        <x:f>('参数'!$B$26+'参数'!$B$27*(D555-1)/99)*'参数'!$K$30*AD555</x:f>
        <x:v>31.30487394957983</x:v>
      </x:c>
      <x:c r="Y555" s="26" t="n">
        <x:f>('参数'!$B$28+'参数'!$B$29*(D555-1)/99)*'参数'!$K$30*AD555*IF(AE555=1,'参数'!$B$51,1)</x:f>
        <x:v>86.9579831932773</x:v>
      </x:c>
      <x:c r="Z555" s="22" t="n">
        <x:f>MIN('参数'!$B$36,U555/(U555+'参数'!$B$35))</x:f>
        <x:v>0.6261416482848315</x:v>
      </x:c>
      <x:c r="AA555" s="19" t="n">
        <x:f>T555*'参数'!$B$30/('参数'!$B$32*'参数'!$B$33)/(1-Z555)*AC555</x:f>
        <x:v>11209.543707072457</x:v>
      </x:c>
      <x:c r="AB555" s="19" t="n">
        <x:f>T555*'参数'!$B$31/'参数'!$B$34/(1-Z555)*AC555</x:f>
        <x:v>22419.087414144913</x:v>
      </x:c>
      <x:c r="AC555" s="20" t="n">
        <x:f>'参数'!$L$30*(1+'参数'!$B$53*(B555-1)/119)</x:f>
        <x:v>1.412621848739496</x:v>
      </x:c>
      <x:c r="AD555" s="20" t="n">
        <x:f>1+'参数'!$B$52*(B555-1)/119</x:f>
        <x:v>1.0869747899159663</x:v>
      </x:c>
      <x:c r="AE555" s="19" t="n">
        <x:f>IF(MOD(B555,12)=0,1,0)</x:f>
        <x:v>0</x:v>
      </x:c>
    </x:row>
    <x:row r="556" ht="22" customHeight="1">
      <x:c r="A556" s="18" t="str">
        <x:v>折磨</x:v>
      </x:c>
      <x:c r="B556" s="18" t="n">
        <x:v>71</x:v>
      </x:c>
      <x:c r="C556" s="18" t="n">
        <x:f>ROUNDUP(B556/12,0)</x:f>
        <x:v>6</x:v>
      </x:c>
      <x:c r="D556" s="18" t="n">
        <x:f>ROUND(MAX('参数'!$G$30,E556)+(IF(C556&lt;10,INDEX('参数'!$G$38:$P$38,1,MIN(10,C556+1)),'参数'!$H$30)-MAX('参数'!$G$30,E556))*MOD(B556-1,12)/11,0)</x:f>
        <x:v>100</x:v>
      </x:c>
      <x:c r="E556" s="18" t="n">
        <x:f>INDEX('参数'!$G$38:$P$38,1,C556)</x:f>
        <x:v>100</x:v>
      </x:c>
      <x:c r="F556" s="15" t="n">
        <x:f>'参数'!$I$30</x:f>
        <x:v>1.43</x:v>
      </x:c>
      <x:c r="G556" s="18" t="n">
        <x:f>ROUND(V556*X556/'参数'!$B$56,0)</x:f>
        <x:v>492442</x:v>
      </x:c>
      <x:c r="H556" s="18" t="n">
        <x:f>ROUND((AA556+SQRT(AA556^2+4*AA556*'参数'!$B$22*U556))/2,0)</x:f>
        <x:v>16806</x:v>
      </x:c>
      <x:c r="I556" s="18" t="n">
        <x:f>ROUND(Q556*'参数'!$B$23/'参数'!$B$22,0)</x:f>
        <x:v>2126</x:v>
      </x:c>
      <x:c r="J556" s="18" t="n">
        <x:f>ROUND(G556*'参数'!$B$50,0)</x:f>
        <x:v>1477326</x:v>
      </x:c>
      <x:c r="K556" s="18" t="n">
        <x:f>ROUND(W556*Y556,0)</x:f>
        <x:v>4847805</x:v>
      </x:c>
      <x:c r="L556" s="18" t="n">
        <x:f>ROUND((AB556+SQRT(AB556^2+4*AB556*'参数'!$B$22*U556))/2,0)</x:f>
        <x:v>28928</x:v>
      </x:c>
      <x:c r="M556" s="18" t="n">
        <x:f>ROUND(I556*'参数'!$B$24,0)</x:f>
        <x:v>2658</x:v>
      </x:c>
      <x:c r="N556" s="18" t="n">
        <x:f>'参数'!$B$9*'参数'!$B$10^(D556-1)</x:f>
        <x:v>11195.319600498813</x:v>
      </x:c>
      <x:c r="O556" s="18" t="n">
        <x:f>'参数'!$B$18*'参数'!$B$19^(MIN(E556,MAX(1,5*INT(D556/5)))-1)*F556*'参数'!$J$30*P556</x:f>
        <x:v>2103.552925769118</x:v>
      </x:c>
      <x:c r="P556" s="21" t="n">
        <x:f>MIN(1,(D556-1)/19)</x:f>
        <x:v>1</x:v>
      </x:c>
      <x:c r="Q556" s="18" t="n">
        <x:f>INDEX('角色成长'!$F$6:$F$105,D556)+O556*'参数'!$K$21</x:f>
        <x:v>10629.125838441985</x:v>
      </x:c>
      <x:c r="R556" s="18" t="n">
        <x:f>INDEX('角色成长'!$I$6:$I$105,D556)+O556*'参数'!$K$21</x:f>
        <x:v>9331.125838441985</x:v>
      </x:c>
      <x:c r="S556" s="18" t="n">
        <x:f>INDEX('角色成长'!$L$6:$L$105,D556)+O556*'参数'!$K$21</x:f>
        <x:v>8590.125838441985</x:v>
      </x:c>
      <x:c r="T556" s="18" t="n">
        <x:f>(INDEX('角色成长'!$J$6:$J$105,D556)+O556*'参数'!$L$21)*(1+'参数'!$B$40*P556)</x:f>
        <x:v>118666.76244728187</x:v>
      </x:c>
      <x:c r="U556" s="18" t="n">
        <x:f>(INDEX('角色成长'!$K$6:$K$105,D556)+O556*'参数'!$M$21)*(1+'参数'!$B$41*P556)</x:f>
        <x:v>6699.239382105553</x:v>
      </x:c>
      <x:c r="V556" s="18" t="n">
        <x:f>(('参数'!$K$5*(((Q556*(1+'参数'!$B$39*P556))^2/((Q556*(1+'参数'!$B$39*P556))+'参数'!$B$22*(I556)))*(1+'参数'!$B$42*P556)/'参数'!$J$5+((Q556*'参数'!$B$43*(1+'参数'!$B$39*P556))^2/((Q556*'参数'!$B$43*(1+'参数'!$B$39*P556))+'参数'!$B$22*(I556)))/'参数'!$B$44))+(((R556*(1+'参数'!$B$39*P556))^2/((R556*(1+'参数'!$B$39*P556))+'参数'!$B$22*(I556)))*(1+'参数'!$B$42*P556)/'参数'!$J$6+((R556*'参数'!$B$45*(1+'参数'!$B$39*P556))^2/((R556*'参数'!$B$45*(1+'参数'!$B$39*P556))+'参数'!$B$22*(I556)))/'参数'!$B$46)+((S556*(1+'参数'!$B$39*P556))^2/((S556*(1+'参数'!$B$39*P556))+'参数'!$B$22*(I556)))*(1+'参数'!$B$42*P556)/'参数'!$J$7)*(1+'参数'!$B$37*('参数'!$B$38-1))*'参数'!$B$25</x:f>
        <x:v>72276.65152942482</x:v>
      </x:c>
      <x:c r="W556" s="18" t="n">
        <x:f>(('参数'!$K$5*(((Q556*(1+'参数'!$B$39*P556))^2/((Q556*(1+'参数'!$B$39*P556))+'参数'!$B$22*(M556)))*(1+'参数'!$B$42*P556)/'参数'!$J$5+((Q556*'参数'!$B$43*(1+'参数'!$B$39*P556))^2/((Q556*'参数'!$B$43*(1+'参数'!$B$39*P556))+'参数'!$B$22*(M556)))/'参数'!$B$44))+(((R556*(1+'参数'!$B$39*P556))^2/((R556*(1+'参数'!$B$39*P556))+'参数'!$B$22*(M556)))*(1+'参数'!$B$42*P556)/'参数'!$J$6+((R556*'参数'!$B$45*(1+'参数'!$B$39*P556))^2/((R556*'参数'!$B$45*(1+'参数'!$B$39*P556))+'参数'!$B$22*(M556)))/'参数'!$B$46)+((S556*(1+'参数'!$B$39*P556))^2/((S556*(1+'参数'!$B$39*P556))+'参数'!$B$22*(M556)))*(1+'参数'!$B$42*P556)/'参数'!$J$7)*(1+'参数'!$B$37*('参数'!$B$38-1))</x:f>
        <x:v>55684.2511674383</x:v>
      </x:c>
      <x:c r="X556" s="25" t="n">
        <x:f>('参数'!$B$26+'参数'!$B$27*(D556-1)/99)*'参数'!$K$30*AD556</x:f>
        <x:v>31.341176470588234</x:v>
      </x:c>
      <x:c r="Y556" s="25" t="n">
        <x:f>('参数'!$B$28+'参数'!$B$29*(D556-1)/99)*'参数'!$K$30*AD556*IF(AE556=1,'参数'!$B$51,1)</x:f>
        <x:v>87.05882352941175</x:v>
      </x:c>
      <x:c r="Z556" s="21" t="n">
        <x:f>MIN('参数'!$B$36,U556/(U556+'参数'!$B$35))</x:f>
        <x:v>0.6261416482848315</x:v>
      </x:c>
      <x:c r="AA556" s="18" t="n">
        <x:f>T556*'参数'!$B$30/('参数'!$B$32*'参数'!$B$33)/(1-Z556)*AC556</x:f>
        <x:v>11216.745469813912</x:v>
      </x:c>
      <x:c r="AB556" s="18" t="n">
        <x:f>T556*'参数'!$B$31/'参数'!$B$34/(1-Z556)*AC556</x:f>
        <x:v>22433.490939627824</x:v>
      </x:c>
      <x:c r="AC556" s="15" t="n">
        <x:f>'参数'!$L$30*(1+'参数'!$B$53*(B556-1)/119)</x:f>
        <x:v>1.4135294117647061</x:v>
      </x:c>
      <x:c r="AD556" s="15" t="n">
        <x:f>1+'参数'!$B$52*(B556-1)/119</x:f>
        <x:v>1.088235294117647</x:v>
      </x:c>
      <x:c r="AE556" s="18" t="n">
        <x:f>IF(MOD(B556,12)=0,1,0)</x:f>
        <x:v>0</x:v>
      </x:c>
    </x:row>
    <x:row r="557" ht="22" customHeight="1">
      <x:c r="A557" s="19" t="str">
        <x:v>折磨</x:v>
      </x:c>
      <x:c r="B557" s="19" t="n">
        <x:v>72</x:v>
      </x:c>
      <x:c r="C557" s="19" t="n">
        <x:f>ROUNDUP(B557/12,0)</x:f>
        <x:v>6</x:v>
      </x:c>
      <x:c r="D557" s="19" t="n">
        <x:f>ROUND(MAX('参数'!$G$30,E557)+(IF(C557&lt;10,INDEX('参数'!$G$38:$P$38,1,MIN(10,C557+1)),'参数'!$H$30)-MAX('参数'!$G$30,E557))*MOD(B557-1,12)/11,0)</x:f>
        <x:v>100</x:v>
      </x:c>
      <x:c r="E557" s="19" t="n">
        <x:f>INDEX('参数'!$G$38:$P$38,1,C557)</x:f>
        <x:v>100</x:v>
      </x:c>
      <x:c r="F557" s="20" t="n">
        <x:f>'参数'!$I$30</x:f>
        <x:v>1.43</x:v>
      </x:c>
      <x:c r="G557" s="19" t="n">
        <x:f>ROUND(V557*X557/'参数'!$B$56,0)</x:f>
        <x:v>493013</x:v>
      </x:c>
      <x:c r="H557" s="19" t="n">
        <x:f>ROUND((AA557+SQRT(AA557^2+4*AA557*'参数'!$B$22*U557))/2,0)</x:f>
        <x:v>16814</x:v>
      </x:c>
      <x:c r="I557" s="19" t="n">
        <x:f>ROUND(Q557*'参数'!$B$23/'参数'!$B$22,0)</x:f>
        <x:v>2126</x:v>
      </x:c>
      <x:c r="J557" s="19" t="n">
        <x:f>ROUND(G557*'参数'!$B$50,0)</x:f>
        <x:v>1479039</x:v>
      </x:c>
      <x:c r="K557" s="19" t="n">
        <x:f>ROUND(W557*Y557,0)</x:f>
        <x:v>5581434</x:v>
      </x:c>
      <x:c r="L557" s="19" t="n">
        <x:f>ROUND((AB557+SQRT(AB557^2+4*AB557*'参数'!$B$22*U557))/2,0)</x:f>
        <x:v>28943</x:v>
      </x:c>
      <x:c r="M557" s="19" t="n">
        <x:f>ROUND(I557*'参数'!$B$24,0)</x:f>
        <x:v>2658</x:v>
      </x:c>
      <x:c r="N557" s="19" t="n">
        <x:f>'参数'!$B$9*'参数'!$B$10^(D557-1)</x:f>
        <x:v>11195.319600498813</x:v>
      </x:c>
      <x:c r="O557" s="19" t="n">
        <x:f>'参数'!$B$18*'参数'!$B$19^(MIN(E557,MAX(1,5*INT(D557/5)))-1)*F557*'参数'!$J$30*P557</x:f>
        <x:v>2103.552925769118</x:v>
      </x:c>
      <x:c r="P557" s="22" t="n">
        <x:f>MIN(1,(D557-1)/19)</x:f>
        <x:v>1</x:v>
      </x:c>
      <x:c r="Q557" s="19" t="n">
        <x:f>INDEX('角色成长'!$F$6:$F$105,D557)+O557*'参数'!$K$21</x:f>
        <x:v>10629.125838441985</x:v>
      </x:c>
      <x:c r="R557" s="19" t="n">
        <x:f>INDEX('角色成长'!$I$6:$I$105,D557)+O557*'参数'!$K$21</x:f>
        <x:v>9331.125838441985</x:v>
      </x:c>
      <x:c r="S557" s="19" t="n">
        <x:f>INDEX('角色成长'!$L$6:$L$105,D557)+O557*'参数'!$K$21</x:f>
        <x:v>8590.125838441985</x:v>
      </x:c>
      <x:c r="T557" s="19" t="n">
        <x:f>(INDEX('角色成长'!$J$6:$J$105,D557)+O557*'参数'!$L$21)*(1+'参数'!$B$40*P557)</x:f>
        <x:v>118666.76244728187</x:v>
      </x:c>
      <x:c r="U557" s="19" t="n">
        <x:f>(INDEX('角色成长'!$K$6:$K$105,D557)+O557*'参数'!$M$21)*(1+'参数'!$B$41*P557)</x:f>
        <x:v>6699.239382105553</x:v>
      </x:c>
      <x:c r="V557" s="19" t="n">
        <x:f>(('参数'!$K$5*(((Q557*(1+'参数'!$B$39*P557))^2/((Q557*(1+'参数'!$B$39*P557))+'参数'!$B$22*(I557)))*(1+'参数'!$B$42*P557)/'参数'!$J$5+((Q557*'参数'!$B$43*(1+'参数'!$B$39*P557))^2/((Q557*'参数'!$B$43*(1+'参数'!$B$39*P557))+'参数'!$B$22*(I557)))/'参数'!$B$44))+(((R557*(1+'参数'!$B$39*P557))^2/((R557*(1+'参数'!$B$39*P557))+'参数'!$B$22*(I557)))*(1+'参数'!$B$42*P557)/'参数'!$J$6+((R557*'参数'!$B$45*(1+'参数'!$B$39*P557))^2/((R557*'参数'!$B$45*(1+'参数'!$B$39*P557))+'参数'!$B$22*(I557)))/'参数'!$B$46)+((S557*(1+'参数'!$B$39*P557))^2/((S557*(1+'参数'!$B$39*P557))+'参数'!$B$22*(I557)))*(1+'参数'!$B$42*P557)/'参数'!$J$7)*(1+'参数'!$B$37*('参数'!$B$38-1))*'参数'!$B$25</x:f>
        <x:v>72276.65152942482</x:v>
      </x:c>
      <x:c r="W557" s="19" t="n">
        <x:f>(('参数'!$K$5*(((Q557*(1+'参数'!$B$39*P557))^2/((Q557*(1+'参数'!$B$39*P557))+'参数'!$B$22*(M557)))*(1+'参数'!$B$42*P557)/'参数'!$J$5+((Q557*'参数'!$B$43*(1+'参数'!$B$39*P557))^2/((Q557*'参数'!$B$43*(1+'参数'!$B$39*P557))+'参数'!$B$22*(M557)))/'参数'!$B$44))+(((R557*(1+'参数'!$B$39*P557))^2/((R557*(1+'参数'!$B$39*P557))+'参数'!$B$22*(M557)))*(1+'参数'!$B$42*P557)/'参数'!$J$6+((R557*'参数'!$B$45*(1+'参数'!$B$39*P557))^2/((R557*'参数'!$B$45*(1+'参数'!$B$39*P557))+'参数'!$B$22*(M557)))/'参数'!$B$46)+((S557*(1+'参数'!$B$39*P557))^2/((S557*(1+'参数'!$B$39*P557))+'参数'!$B$22*(M557)))*(1+'参数'!$B$42*P557)/'参数'!$J$7)*(1+'参数'!$B$37*('参数'!$B$38-1))</x:f>
        <x:v>55684.2511674383</x:v>
      </x:c>
      <x:c r="X557" s="26" t="n">
        <x:f>('参数'!$B$26+'参数'!$B$27*(D557-1)/99)*'参数'!$K$30*AD557</x:f>
        <x:v>31.377478991596636</x:v>
      </x:c>
      <x:c r="Y557" s="26" t="n">
        <x:f>('参数'!$B$28+'参数'!$B$29*(D557-1)/99)*'参数'!$K$30*AD557*IF(AE557=1,'参数'!$B$51,1)</x:f>
        <x:v>100.23361344537813</x:v>
      </x:c>
      <x:c r="Z557" s="22" t="n">
        <x:f>MIN('参数'!$B$36,U557/(U557+'参数'!$B$35))</x:f>
        <x:v>0.6261416482848315</x:v>
      </x:c>
      <x:c r="AA557" s="19" t="n">
        <x:f>T557*'参数'!$B$30/('参数'!$B$32*'参数'!$B$33)/(1-Z557)*AC557</x:f>
        <x:v>11223.947232555363</x:v>
      </x:c>
      <x:c r="AB557" s="19" t="n">
        <x:f>T557*'参数'!$B$31/'参数'!$B$34/(1-Z557)*AC557</x:f>
        <x:v>22447.894465110727</x:v>
      </x:c>
      <x:c r="AC557" s="20" t="n">
        <x:f>'参数'!$L$30*(1+'参数'!$B$53*(B557-1)/119)</x:f>
        <x:v>1.414436974789916</x:v>
      </x:c>
      <x:c r="AD557" s="20" t="n">
        <x:f>1+'参数'!$B$52*(B557-1)/119</x:f>
        <x:v>1.0894957983193276</x:v>
      </x:c>
      <x:c r="AE557" s="19" t="n">
        <x:f>IF(MOD(B557,12)=0,1,0)</x:f>
        <x:v>1</x:v>
      </x:c>
    </x:row>
    <x:row r="558" ht="22" customHeight="1">
      <x:c r="A558" s="18" t="str">
        <x:v>折磨</x:v>
      </x:c>
      <x:c r="B558" s="18" t="n">
        <x:v>73</x:v>
      </x:c>
      <x:c r="C558" s="18" t="n">
        <x:f>ROUNDUP(B558/12,0)</x:f>
        <x:v>7</x:v>
      </x:c>
      <x:c r="D558" s="18" t="n">
        <x:f>ROUND(MAX('参数'!$G$30,E558)+(IF(C558&lt;10,INDEX('参数'!$G$38:$P$38,1,MIN(10,C558+1)),'参数'!$H$30)-MAX('参数'!$G$30,E558))*MOD(B558-1,12)/11,0)</x:f>
        <x:v>100</x:v>
      </x:c>
      <x:c r="E558" s="18" t="n">
        <x:f>INDEX('参数'!$G$38:$P$38,1,C558)</x:f>
        <x:v>100</x:v>
      </x:c>
      <x:c r="F558" s="15" t="n">
        <x:f>'参数'!$I$30</x:f>
        <x:v>1.43</x:v>
      </x:c>
      <x:c r="G558" s="18" t="n">
        <x:f>ROUND(V558*X558/'参数'!$B$56,0)</x:f>
        <x:v>493583</x:v>
      </x:c>
      <x:c r="H558" s="18" t="n">
        <x:f>ROUND((AA558+SQRT(AA558^2+4*AA558*'参数'!$B$22*U558))/2,0)</x:f>
        <x:v>16822</x:v>
      </x:c>
      <x:c r="I558" s="18" t="n">
        <x:f>ROUND(Q558*'参数'!$B$23/'参数'!$B$22,0)</x:f>
        <x:v>2126</x:v>
      </x:c>
      <x:c r="J558" s="18" t="n">
        <x:f>ROUND(G558*'参数'!$B$50,0)</x:f>
        <x:v>1480749</x:v>
      </x:c>
      <x:c r="K558" s="18" t="n">
        <x:f>ROUND(W558*Y558,0)</x:f>
        <x:v>4859036</x:v>
      </x:c>
      <x:c r="L558" s="18" t="n">
        <x:f>ROUND((AB558+SQRT(AB558^2+4*AB558*'参数'!$B$22*U558))/2,0)</x:f>
        <x:v>28958</x:v>
      </x:c>
      <x:c r="M558" s="18" t="n">
        <x:f>ROUND(I558*'参数'!$B$24,0)</x:f>
        <x:v>2658</x:v>
      </x:c>
      <x:c r="N558" s="18" t="n">
        <x:f>'参数'!$B$9*'参数'!$B$10^(D558-1)</x:f>
        <x:v>11195.319600498813</x:v>
      </x:c>
      <x:c r="O558" s="18" t="n">
        <x:f>'参数'!$B$18*'参数'!$B$19^(MIN(E558,MAX(1,5*INT(D558/5)))-1)*F558*'参数'!$J$30*P558</x:f>
        <x:v>2103.552925769118</x:v>
      </x:c>
      <x:c r="P558" s="21" t="n">
        <x:f>MIN(1,(D558-1)/19)</x:f>
        <x:v>1</x:v>
      </x:c>
      <x:c r="Q558" s="18" t="n">
        <x:f>INDEX('角色成长'!$F$6:$F$105,D558)+O558*'参数'!$K$21</x:f>
        <x:v>10629.125838441985</x:v>
      </x:c>
      <x:c r="R558" s="18" t="n">
        <x:f>INDEX('角色成长'!$I$6:$I$105,D558)+O558*'参数'!$K$21</x:f>
        <x:v>9331.125838441985</x:v>
      </x:c>
      <x:c r="S558" s="18" t="n">
        <x:f>INDEX('角色成长'!$L$6:$L$105,D558)+O558*'参数'!$K$21</x:f>
        <x:v>8590.125838441985</x:v>
      </x:c>
      <x:c r="T558" s="18" t="n">
        <x:f>(INDEX('角色成长'!$J$6:$J$105,D558)+O558*'参数'!$L$21)*(1+'参数'!$B$40*P558)</x:f>
        <x:v>118666.76244728187</x:v>
      </x:c>
      <x:c r="U558" s="18" t="n">
        <x:f>(INDEX('角色成长'!$K$6:$K$105,D558)+O558*'参数'!$M$21)*(1+'参数'!$B$41*P558)</x:f>
        <x:v>6699.239382105553</x:v>
      </x:c>
      <x:c r="V558" s="18" t="n">
        <x:f>(('参数'!$K$5*(((Q558*(1+'参数'!$B$39*P558))^2/((Q558*(1+'参数'!$B$39*P558))+'参数'!$B$22*(I558)))*(1+'参数'!$B$42*P558)/'参数'!$J$5+((Q558*'参数'!$B$43*(1+'参数'!$B$39*P558))^2/((Q558*'参数'!$B$43*(1+'参数'!$B$39*P558))+'参数'!$B$22*(I558)))/'参数'!$B$44))+(((R558*(1+'参数'!$B$39*P558))^2/((R558*(1+'参数'!$B$39*P558))+'参数'!$B$22*(I558)))*(1+'参数'!$B$42*P558)/'参数'!$J$6+((R558*'参数'!$B$45*(1+'参数'!$B$39*P558))^2/((R558*'参数'!$B$45*(1+'参数'!$B$39*P558))+'参数'!$B$22*(I558)))/'参数'!$B$46)+((S558*(1+'参数'!$B$39*P558))^2/((S558*(1+'参数'!$B$39*P558))+'参数'!$B$22*(I558)))*(1+'参数'!$B$42*P558)/'参数'!$J$7)*(1+'参数'!$B$37*('参数'!$B$38-1))*'参数'!$B$25</x:f>
        <x:v>72276.65152942482</x:v>
      </x:c>
      <x:c r="W558" s="18" t="n">
        <x:f>(('参数'!$K$5*(((Q558*(1+'参数'!$B$39*P558))^2/((Q558*(1+'参数'!$B$39*P558))+'参数'!$B$22*(M558)))*(1+'参数'!$B$42*P558)/'参数'!$J$5+((Q558*'参数'!$B$43*(1+'参数'!$B$39*P558))^2/((Q558*'参数'!$B$43*(1+'参数'!$B$39*P558))+'参数'!$B$22*(M558)))/'参数'!$B$44))+(((R558*(1+'参数'!$B$39*P558))^2/((R558*(1+'参数'!$B$39*P558))+'参数'!$B$22*(M558)))*(1+'参数'!$B$42*P558)/'参数'!$J$6+((R558*'参数'!$B$45*(1+'参数'!$B$39*P558))^2/((R558*'参数'!$B$45*(1+'参数'!$B$39*P558))+'参数'!$B$22*(M558)))/'参数'!$B$46)+((S558*(1+'参数'!$B$39*P558))^2/((S558*(1+'参数'!$B$39*P558))+'参数'!$B$22*(M558)))*(1+'参数'!$B$42*P558)/'参数'!$J$7)*(1+'参数'!$B$37*('参数'!$B$38-1))</x:f>
        <x:v>55684.2511674383</x:v>
      </x:c>
      <x:c r="X558" s="25" t="n">
        <x:f>('参数'!$B$26+'参数'!$B$27*(D558-1)/99)*'参数'!$K$30*AD558</x:f>
        <x:v>31.41378151260504</x:v>
      </x:c>
      <x:c r="Y558" s="25" t="n">
        <x:f>('参数'!$B$28+'参数'!$B$29*(D558-1)/99)*'参数'!$K$30*AD558*IF(AE558=1,'参数'!$B$51,1)</x:f>
        <x:v>87.26050420168066</x:v>
      </x:c>
      <x:c r="Z558" s="21" t="n">
        <x:f>MIN('参数'!$B$36,U558/(U558+'参数'!$B$35))</x:f>
        <x:v>0.6261416482848315</x:v>
      </x:c>
      <x:c r="AA558" s="18" t="n">
        <x:f>T558*'参数'!$B$30/('参数'!$B$32*'参数'!$B$33)/(1-Z558)*AC558</x:f>
        <x:v>11231.148995296817</x:v>
      </x:c>
      <x:c r="AB558" s="18" t="n">
        <x:f>T558*'参数'!$B$31/'参数'!$B$34/(1-Z558)*AC558</x:f>
        <x:v>22462.297990593634</x:v>
      </x:c>
      <x:c r="AC558" s="15" t="n">
        <x:f>'参数'!$L$30*(1+'参数'!$B$53*(B558-1)/119)</x:f>
        <x:v>1.4153445378151261</x:v>
      </x:c>
      <x:c r="AD558" s="15" t="n">
        <x:f>1+'参数'!$B$52*(B558-1)/119</x:f>
        <x:v>1.0907563025210083</x:v>
      </x:c>
      <x:c r="AE558" s="18" t="n">
        <x:f>IF(MOD(B558,12)=0,1,0)</x:f>
        <x:v>0</x:v>
      </x:c>
    </x:row>
    <x:row r="559" ht="22" customHeight="1">
      <x:c r="A559" s="19" t="str">
        <x:v>折磨</x:v>
      </x:c>
      <x:c r="B559" s="19" t="n">
        <x:v>74</x:v>
      </x:c>
      <x:c r="C559" s="19" t="n">
        <x:f>ROUNDUP(B559/12,0)</x:f>
        <x:v>7</x:v>
      </x:c>
      <x:c r="D559" s="19" t="n">
        <x:f>ROUND(MAX('参数'!$G$30,E559)+(IF(C559&lt;10,INDEX('参数'!$G$38:$P$38,1,MIN(10,C559+1)),'参数'!$H$30)-MAX('参数'!$G$30,E559))*MOD(B559-1,12)/11,0)</x:f>
        <x:v>100</x:v>
      </x:c>
      <x:c r="E559" s="19" t="n">
        <x:f>INDEX('参数'!$G$38:$P$38,1,C559)</x:f>
        <x:v>100</x:v>
      </x:c>
      <x:c r="F559" s="20" t="n">
        <x:f>'参数'!$I$30</x:f>
        <x:v>1.43</x:v>
      </x:c>
      <x:c r="G559" s="19" t="n">
        <x:f>ROUND(V559*X559/'参数'!$B$56,0)</x:f>
        <x:v>494154</x:v>
      </x:c>
      <x:c r="H559" s="19" t="n">
        <x:f>ROUND((AA559+SQRT(AA559^2+4*AA559*'参数'!$B$22*U559))/2,0)</x:f>
        <x:v>16830</x:v>
      </x:c>
      <x:c r="I559" s="19" t="n">
        <x:f>ROUND(Q559*'参数'!$B$23/'参数'!$B$22,0)</x:f>
        <x:v>2126</x:v>
      </x:c>
      <x:c r="J559" s="19" t="n">
        <x:f>ROUND(G559*'参数'!$B$50,0)</x:f>
        <x:v>1482462</x:v>
      </x:c>
      <x:c r="K559" s="19" t="n">
        <x:f>ROUND(W559*Y559,0)</x:f>
        <x:v>4864651</x:v>
      </x:c>
      <x:c r="L559" s="19" t="n">
        <x:f>ROUND((AB559+SQRT(AB559^2+4*AB559*'参数'!$B$22*U559))/2,0)</x:f>
        <x:v>28973</x:v>
      </x:c>
      <x:c r="M559" s="19" t="n">
        <x:f>ROUND(I559*'参数'!$B$24,0)</x:f>
        <x:v>2658</x:v>
      </x:c>
      <x:c r="N559" s="19" t="n">
        <x:f>'参数'!$B$9*'参数'!$B$10^(D559-1)</x:f>
        <x:v>11195.319600498813</x:v>
      </x:c>
      <x:c r="O559" s="19" t="n">
        <x:f>'参数'!$B$18*'参数'!$B$19^(MIN(E559,MAX(1,5*INT(D559/5)))-1)*F559*'参数'!$J$30*P559</x:f>
        <x:v>2103.552925769118</x:v>
      </x:c>
      <x:c r="P559" s="22" t="n">
        <x:f>MIN(1,(D559-1)/19)</x:f>
        <x:v>1</x:v>
      </x:c>
      <x:c r="Q559" s="19" t="n">
        <x:f>INDEX('角色成长'!$F$6:$F$105,D559)+O559*'参数'!$K$21</x:f>
        <x:v>10629.125838441985</x:v>
      </x:c>
      <x:c r="R559" s="19" t="n">
        <x:f>INDEX('角色成长'!$I$6:$I$105,D559)+O559*'参数'!$K$21</x:f>
        <x:v>9331.125838441985</x:v>
      </x:c>
      <x:c r="S559" s="19" t="n">
        <x:f>INDEX('角色成长'!$L$6:$L$105,D559)+O559*'参数'!$K$21</x:f>
        <x:v>8590.125838441985</x:v>
      </x:c>
      <x:c r="T559" s="19" t="n">
        <x:f>(INDEX('角色成长'!$J$6:$J$105,D559)+O559*'参数'!$L$21)*(1+'参数'!$B$40*P559)</x:f>
        <x:v>118666.76244728187</x:v>
      </x:c>
      <x:c r="U559" s="19" t="n">
        <x:f>(INDEX('角色成长'!$K$6:$K$105,D559)+O559*'参数'!$M$21)*(1+'参数'!$B$41*P559)</x:f>
        <x:v>6699.239382105553</x:v>
      </x:c>
      <x:c r="V559" s="19" t="n">
        <x:f>(('参数'!$K$5*(((Q559*(1+'参数'!$B$39*P559))^2/((Q559*(1+'参数'!$B$39*P559))+'参数'!$B$22*(I559)))*(1+'参数'!$B$42*P559)/'参数'!$J$5+((Q559*'参数'!$B$43*(1+'参数'!$B$39*P559))^2/((Q559*'参数'!$B$43*(1+'参数'!$B$39*P559))+'参数'!$B$22*(I559)))/'参数'!$B$44))+(((R559*(1+'参数'!$B$39*P559))^2/((R559*(1+'参数'!$B$39*P559))+'参数'!$B$22*(I559)))*(1+'参数'!$B$42*P559)/'参数'!$J$6+((R559*'参数'!$B$45*(1+'参数'!$B$39*P559))^2/((R559*'参数'!$B$45*(1+'参数'!$B$39*P559))+'参数'!$B$22*(I559)))/'参数'!$B$46)+((S559*(1+'参数'!$B$39*P559))^2/((S559*(1+'参数'!$B$39*P559))+'参数'!$B$22*(I559)))*(1+'参数'!$B$42*P559)/'参数'!$J$7)*(1+'参数'!$B$37*('参数'!$B$38-1))*'参数'!$B$25</x:f>
        <x:v>72276.65152942482</x:v>
      </x:c>
      <x:c r="W559" s="19" t="n">
        <x:f>(('参数'!$K$5*(((Q559*(1+'参数'!$B$39*P559))^2/((Q559*(1+'参数'!$B$39*P559))+'参数'!$B$22*(M559)))*(1+'参数'!$B$42*P559)/'参数'!$J$5+((Q559*'参数'!$B$43*(1+'参数'!$B$39*P559))^2/((Q559*'参数'!$B$43*(1+'参数'!$B$39*P559))+'参数'!$B$22*(M559)))/'参数'!$B$44))+(((R559*(1+'参数'!$B$39*P559))^2/((R559*(1+'参数'!$B$39*P559))+'参数'!$B$22*(M559)))*(1+'参数'!$B$42*P559)/'参数'!$J$6+((R559*'参数'!$B$45*(1+'参数'!$B$39*P559))^2/((R559*'参数'!$B$45*(1+'参数'!$B$39*P559))+'参数'!$B$22*(M559)))/'参数'!$B$46)+((S559*(1+'参数'!$B$39*P559))^2/((S559*(1+'参数'!$B$39*P559))+'参数'!$B$22*(M559)))*(1+'参数'!$B$42*P559)/'参数'!$J$7)*(1+'参数'!$B$37*('参数'!$B$38-1))</x:f>
        <x:v>55684.2511674383</x:v>
      </x:c>
      <x:c r="X559" s="26" t="n">
        <x:f>('参数'!$B$26+'参数'!$B$27*(D559-1)/99)*'参数'!$K$30*AD559</x:f>
        <x:v>31.450084033613443</x:v>
      </x:c>
      <x:c r="Y559" s="26" t="n">
        <x:f>('参数'!$B$28+'参数'!$B$29*(D559-1)/99)*'参数'!$K$30*AD559*IF(AE559=1,'参数'!$B$51,1)</x:f>
        <x:v>87.36134453781511</x:v>
      </x:c>
      <x:c r="Z559" s="22" t="n">
        <x:f>MIN('参数'!$B$36,U559/(U559+'参数'!$B$35))</x:f>
        <x:v>0.6261416482848315</x:v>
      </x:c>
      <x:c r="AA559" s="19" t="n">
        <x:f>T559*'参数'!$B$30/('参数'!$B$32*'参数'!$B$33)/(1-Z559)*AC559</x:f>
        <x:v>11238.350758038272</x:v>
      </x:c>
      <x:c r="AB559" s="19" t="n">
        <x:f>T559*'参数'!$B$31/'参数'!$B$34/(1-Z559)*AC559</x:f>
        <x:v>22476.701516076544</x:v>
      </x:c>
      <x:c r="AC559" s="20" t="n">
        <x:f>'参数'!$L$30*(1+'参数'!$B$53*(B559-1)/119)</x:f>
        <x:v>1.4162521008403364</x:v>
      </x:c>
      <x:c r="AD559" s="20" t="n">
        <x:f>1+'参数'!$B$52*(B559-1)/119</x:f>
        <x:v>1.092016806722689</x:v>
      </x:c>
      <x:c r="AE559" s="19" t="n">
        <x:f>IF(MOD(B559,12)=0,1,0)</x:f>
        <x:v>0</x:v>
      </x:c>
    </x:row>
    <x:row r="560" ht="22" customHeight="1">
      <x:c r="A560" s="18" t="str">
        <x:v>折磨</x:v>
      </x:c>
      <x:c r="B560" s="18" t="n">
        <x:v>75</x:v>
      </x:c>
      <x:c r="C560" s="18" t="n">
        <x:f>ROUNDUP(B560/12,0)</x:f>
        <x:v>7</x:v>
      </x:c>
      <x:c r="D560" s="18" t="n">
        <x:f>ROUND(MAX('参数'!$G$30,E560)+(IF(C560&lt;10,INDEX('参数'!$G$38:$P$38,1,MIN(10,C560+1)),'参数'!$H$30)-MAX('参数'!$G$30,E560))*MOD(B560-1,12)/11,0)</x:f>
        <x:v>100</x:v>
      </x:c>
      <x:c r="E560" s="18" t="n">
        <x:f>INDEX('参数'!$G$38:$P$38,1,C560)</x:f>
        <x:v>100</x:v>
      </x:c>
      <x:c r="F560" s="15" t="n">
        <x:f>'参数'!$I$30</x:f>
        <x:v>1.43</x:v>
      </x:c>
      <x:c r="G560" s="18" t="n">
        <x:f>ROUND(V560*X560/'参数'!$B$56,0)</x:f>
        <x:v>494724</x:v>
      </x:c>
      <x:c r="H560" s="18" t="n">
        <x:f>ROUND((AA560+SQRT(AA560^2+4*AA560*'参数'!$B$22*U560))/2,0)</x:f>
        <x:v>16838</x:v>
      </x:c>
      <x:c r="I560" s="18" t="n">
        <x:f>ROUND(Q560*'参数'!$B$23/'参数'!$B$22,0)</x:f>
        <x:v>2126</x:v>
      </x:c>
      <x:c r="J560" s="18" t="n">
        <x:f>ROUND(G560*'参数'!$B$50,0)</x:f>
        <x:v>1484172</x:v>
      </x:c>
      <x:c r="K560" s="18" t="n">
        <x:f>ROUND(W560*Y560,0)</x:f>
        <x:v>4870266</x:v>
      </x:c>
      <x:c r="L560" s="18" t="n">
        <x:f>ROUND((AB560+SQRT(AB560^2+4*AB560*'参数'!$B$22*U560))/2,0)</x:f>
        <x:v>28988</x:v>
      </x:c>
      <x:c r="M560" s="18" t="n">
        <x:f>ROUND(I560*'参数'!$B$24,0)</x:f>
        <x:v>2658</x:v>
      </x:c>
      <x:c r="N560" s="18" t="n">
        <x:f>'参数'!$B$9*'参数'!$B$10^(D560-1)</x:f>
        <x:v>11195.319600498813</x:v>
      </x:c>
      <x:c r="O560" s="18" t="n">
        <x:f>'参数'!$B$18*'参数'!$B$19^(MIN(E560,MAX(1,5*INT(D560/5)))-1)*F560*'参数'!$J$30*P560</x:f>
        <x:v>2103.552925769118</x:v>
      </x:c>
      <x:c r="P560" s="21" t="n">
        <x:f>MIN(1,(D560-1)/19)</x:f>
        <x:v>1</x:v>
      </x:c>
      <x:c r="Q560" s="18" t="n">
        <x:f>INDEX('角色成长'!$F$6:$F$105,D560)+O560*'参数'!$K$21</x:f>
        <x:v>10629.125838441985</x:v>
      </x:c>
      <x:c r="R560" s="18" t="n">
        <x:f>INDEX('角色成长'!$I$6:$I$105,D560)+O560*'参数'!$K$21</x:f>
        <x:v>9331.125838441985</x:v>
      </x:c>
      <x:c r="S560" s="18" t="n">
        <x:f>INDEX('角色成长'!$L$6:$L$105,D560)+O560*'参数'!$K$21</x:f>
        <x:v>8590.125838441985</x:v>
      </x:c>
      <x:c r="T560" s="18" t="n">
        <x:f>(INDEX('角色成长'!$J$6:$J$105,D560)+O560*'参数'!$L$21)*(1+'参数'!$B$40*P560)</x:f>
        <x:v>118666.76244728187</x:v>
      </x:c>
      <x:c r="U560" s="18" t="n">
        <x:f>(INDEX('角色成长'!$K$6:$K$105,D560)+O560*'参数'!$M$21)*(1+'参数'!$B$41*P560)</x:f>
        <x:v>6699.239382105553</x:v>
      </x:c>
      <x:c r="V560" s="18" t="n">
        <x:f>(('参数'!$K$5*(((Q560*(1+'参数'!$B$39*P560))^2/((Q560*(1+'参数'!$B$39*P560))+'参数'!$B$22*(I560)))*(1+'参数'!$B$42*P560)/'参数'!$J$5+((Q560*'参数'!$B$43*(1+'参数'!$B$39*P560))^2/((Q560*'参数'!$B$43*(1+'参数'!$B$39*P560))+'参数'!$B$22*(I560)))/'参数'!$B$44))+(((R560*(1+'参数'!$B$39*P560))^2/((R560*(1+'参数'!$B$39*P560))+'参数'!$B$22*(I560)))*(1+'参数'!$B$42*P560)/'参数'!$J$6+((R560*'参数'!$B$45*(1+'参数'!$B$39*P560))^2/((R560*'参数'!$B$45*(1+'参数'!$B$39*P560))+'参数'!$B$22*(I560)))/'参数'!$B$46)+((S560*(1+'参数'!$B$39*P560))^2/((S560*(1+'参数'!$B$39*P560))+'参数'!$B$22*(I560)))*(1+'参数'!$B$42*P560)/'参数'!$J$7)*(1+'参数'!$B$37*('参数'!$B$38-1))*'参数'!$B$25</x:f>
        <x:v>72276.65152942482</x:v>
      </x:c>
      <x:c r="W560" s="18" t="n">
        <x:f>(('参数'!$K$5*(((Q560*(1+'参数'!$B$39*P560))^2/((Q560*(1+'参数'!$B$39*P560))+'参数'!$B$22*(M560)))*(1+'参数'!$B$42*P560)/'参数'!$J$5+((Q560*'参数'!$B$43*(1+'参数'!$B$39*P560))^2/((Q560*'参数'!$B$43*(1+'参数'!$B$39*P560))+'参数'!$B$22*(M560)))/'参数'!$B$44))+(((R560*(1+'参数'!$B$39*P560))^2/((R560*(1+'参数'!$B$39*P560))+'参数'!$B$22*(M560)))*(1+'参数'!$B$42*P560)/'参数'!$J$6+((R560*'参数'!$B$45*(1+'参数'!$B$39*P560))^2/((R560*'参数'!$B$45*(1+'参数'!$B$39*P560))+'参数'!$B$22*(M560)))/'参数'!$B$46)+((S560*(1+'参数'!$B$39*P560))^2/((S560*(1+'参数'!$B$39*P560))+'参数'!$B$22*(M560)))*(1+'参数'!$B$42*P560)/'参数'!$J$7)*(1+'参数'!$B$37*('参数'!$B$38-1))</x:f>
        <x:v>55684.2511674383</x:v>
      </x:c>
      <x:c r="X560" s="25" t="n">
        <x:f>('参数'!$B$26+'参数'!$B$27*(D560-1)/99)*'参数'!$K$30*AD560</x:f>
        <x:v>31.486386554621852</x:v>
      </x:c>
      <x:c r="Y560" s="25" t="n">
        <x:f>('参数'!$B$28+'参数'!$B$29*(D560-1)/99)*'参数'!$K$30*AD560*IF(AE560=1,'参数'!$B$51,1)</x:f>
        <x:v>87.46218487394958</x:v>
      </x:c>
      <x:c r="Z560" s="21" t="n">
        <x:f>MIN('参数'!$B$36,U560/(U560+'参数'!$B$35))</x:f>
        <x:v>0.6261416482848315</x:v>
      </x:c>
      <x:c r="AA560" s="18" t="n">
        <x:f>T560*'参数'!$B$30/('参数'!$B$32*'参数'!$B$33)/(1-Z560)*AC560</x:f>
        <x:v>11245.552520779724</x:v>
      </x:c>
      <x:c r="AB560" s="18" t="n">
        <x:f>T560*'参数'!$B$31/'参数'!$B$34/(1-Z560)*AC560</x:f>
        <x:v>22491.105041559447</x:v>
      </x:c>
      <x:c r="AC560" s="15" t="n">
        <x:f>'参数'!$L$30*(1+'参数'!$B$53*(B560-1)/119)</x:f>
        <x:v>1.4171596638655461</x:v>
      </x:c>
      <x:c r="AD560" s="15" t="n">
        <x:f>1+'参数'!$B$52*(B560-1)/119</x:f>
        <x:v>1.0932773109243699</x:v>
      </x:c>
      <x:c r="AE560" s="18" t="n">
        <x:f>IF(MOD(B560,12)=0,1,0)</x:f>
        <x:v>0</x:v>
      </x:c>
    </x:row>
    <x:row r="561" ht="22" customHeight="1">
      <x:c r="A561" s="19" t="str">
        <x:v>折磨</x:v>
      </x:c>
      <x:c r="B561" s="19" t="n">
        <x:v>76</x:v>
      </x:c>
      <x:c r="C561" s="19" t="n">
        <x:f>ROUNDUP(B561/12,0)</x:f>
        <x:v>7</x:v>
      </x:c>
      <x:c r="D561" s="19" t="n">
        <x:f>ROUND(MAX('参数'!$G$30,E561)+(IF(C561&lt;10,INDEX('参数'!$G$38:$P$38,1,MIN(10,C561+1)),'参数'!$H$30)-MAX('参数'!$G$30,E561))*MOD(B561-1,12)/11,0)</x:f>
        <x:v>100</x:v>
      </x:c>
      <x:c r="E561" s="19" t="n">
        <x:f>INDEX('参数'!$G$38:$P$38,1,C561)</x:f>
        <x:v>100</x:v>
      </x:c>
      <x:c r="F561" s="20" t="n">
        <x:f>'参数'!$I$30</x:f>
        <x:v>1.43</x:v>
      </x:c>
      <x:c r="G561" s="19" t="n">
        <x:f>ROUND(V561*X561/'参数'!$B$56,0)</x:f>
        <x:v>495294</x:v>
      </x:c>
      <x:c r="H561" s="19" t="n">
        <x:f>ROUND((AA561+SQRT(AA561^2+4*AA561*'参数'!$B$22*U561))/2,0)</x:f>
        <x:v>16846</x:v>
      </x:c>
      <x:c r="I561" s="19" t="n">
        <x:f>ROUND(Q561*'参数'!$B$23/'参数'!$B$22,0)</x:f>
        <x:v>2126</x:v>
      </x:c>
      <x:c r="J561" s="19" t="n">
        <x:f>ROUND(G561*'参数'!$B$50,0)</x:f>
        <x:v>1485882</x:v>
      </x:c>
      <x:c r="K561" s="19" t="n">
        <x:f>ROUND(W561*Y561,0)</x:f>
        <x:v>4875881</x:v>
      </x:c>
      <x:c r="L561" s="19" t="n">
        <x:f>ROUND((AB561+SQRT(AB561^2+4*AB561*'参数'!$B$22*U561))/2,0)</x:f>
        <x:v>29003</x:v>
      </x:c>
      <x:c r="M561" s="19" t="n">
        <x:f>ROUND(I561*'参数'!$B$24,0)</x:f>
        <x:v>2658</x:v>
      </x:c>
      <x:c r="N561" s="19" t="n">
        <x:f>'参数'!$B$9*'参数'!$B$10^(D561-1)</x:f>
        <x:v>11195.319600498813</x:v>
      </x:c>
      <x:c r="O561" s="19" t="n">
        <x:f>'参数'!$B$18*'参数'!$B$19^(MIN(E561,MAX(1,5*INT(D561/5)))-1)*F561*'参数'!$J$30*P561</x:f>
        <x:v>2103.552925769118</x:v>
      </x:c>
      <x:c r="P561" s="22" t="n">
        <x:f>MIN(1,(D561-1)/19)</x:f>
        <x:v>1</x:v>
      </x:c>
      <x:c r="Q561" s="19" t="n">
        <x:f>INDEX('角色成长'!$F$6:$F$105,D561)+O561*'参数'!$K$21</x:f>
        <x:v>10629.125838441985</x:v>
      </x:c>
      <x:c r="R561" s="19" t="n">
        <x:f>INDEX('角色成长'!$I$6:$I$105,D561)+O561*'参数'!$K$21</x:f>
        <x:v>9331.125838441985</x:v>
      </x:c>
      <x:c r="S561" s="19" t="n">
        <x:f>INDEX('角色成长'!$L$6:$L$105,D561)+O561*'参数'!$K$21</x:f>
        <x:v>8590.125838441985</x:v>
      </x:c>
      <x:c r="T561" s="19" t="n">
        <x:f>(INDEX('角色成长'!$J$6:$J$105,D561)+O561*'参数'!$L$21)*(1+'参数'!$B$40*P561)</x:f>
        <x:v>118666.76244728187</x:v>
      </x:c>
      <x:c r="U561" s="19" t="n">
        <x:f>(INDEX('角色成长'!$K$6:$K$105,D561)+O561*'参数'!$M$21)*(1+'参数'!$B$41*P561)</x:f>
        <x:v>6699.239382105553</x:v>
      </x:c>
      <x:c r="V561" s="19" t="n">
        <x:f>(('参数'!$K$5*(((Q561*(1+'参数'!$B$39*P561))^2/((Q561*(1+'参数'!$B$39*P561))+'参数'!$B$22*(I561)))*(1+'参数'!$B$42*P561)/'参数'!$J$5+((Q561*'参数'!$B$43*(1+'参数'!$B$39*P561))^2/((Q561*'参数'!$B$43*(1+'参数'!$B$39*P561))+'参数'!$B$22*(I561)))/'参数'!$B$44))+(((R561*(1+'参数'!$B$39*P561))^2/((R561*(1+'参数'!$B$39*P561))+'参数'!$B$22*(I561)))*(1+'参数'!$B$42*P561)/'参数'!$J$6+((R561*'参数'!$B$45*(1+'参数'!$B$39*P561))^2/((R561*'参数'!$B$45*(1+'参数'!$B$39*P561))+'参数'!$B$22*(I561)))/'参数'!$B$46)+((S561*(1+'参数'!$B$39*P561))^2/((S561*(1+'参数'!$B$39*P561))+'参数'!$B$22*(I561)))*(1+'参数'!$B$42*P561)/'参数'!$J$7)*(1+'参数'!$B$37*('参数'!$B$38-1))*'参数'!$B$25</x:f>
        <x:v>72276.65152942482</x:v>
      </x:c>
      <x:c r="W561" s="19" t="n">
        <x:f>(('参数'!$K$5*(((Q561*(1+'参数'!$B$39*P561))^2/((Q561*(1+'参数'!$B$39*P561))+'参数'!$B$22*(M561)))*(1+'参数'!$B$42*P561)/'参数'!$J$5+((Q561*'参数'!$B$43*(1+'参数'!$B$39*P561))^2/((Q561*'参数'!$B$43*(1+'参数'!$B$39*P561))+'参数'!$B$22*(M561)))/'参数'!$B$44))+(((R561*(1+'参数'!$B$39*P561))^2/((R561*(1+'参数'!$B$39*P561))+'参数'!$B$22*(M561)))*(1+'参数'!$B$42*P561)/'参数'!$J$6+((R561*'参数'!$B$45*(1+'参数'!$B$39*P561))^2/((R561*'参数'!$B$45*(1+'参数'!$B$39*P561))+'参数'!$B$22*(M561)))/'参数'!$B$46)+((S561*(1+'参数'!$B$39*P561))^2/((S561*(1+'参数'!$B$39*P561))+'参数'!$B$22*(M561)))*(1+'参数'!$B$42*P561)/'参数'!$J$7)*(1+'参数'!$B$37*('参数'!$B$38-1))</x:f>
        <x:v>55684.2511674383</x:v>
      </x:c>
      <x:c r="X561" s="26" t="n">
        <x:f>('参数'!$B$26+'参数'!$B$27*(D561-1)/99)*'参数'!$K$30*AD561</x:f>
        <x:v>31.522689075630257</x:v>
      </x:c>
      <x:c r="Y561" s="26" t="n">
        <x:f>('参数'!$B$28+'参数'!$B$29*(D561-1)/99)*'参数'!$K$30*AD561*IF(AE561=1,'参数'!$B$51,1)</x:f>
        <x:v>87.56302521008405</x:v>
      </x:c>
      <x:c r="Z561" s="22" t="n">
        <x:f>MIN('参数'!$B$36,U561/(U561+'参数'!$B$35))</x:f>
        <x:v>0.6261416482848315</x:v>
      </x:c>
      <x:c r="AA561" s="19" t="n">
        <x:f>T561*'参数'!$B$30/('参数'!$B$32*'参数'!$B$33)/(1-Z561)*AC561</x:f>
        <x:v>11252.754283521177</x:v>
      </x:c>
      <x:c r="AB561" s="19" t="n">
        <x:f>T561*'参数'!$B$31/'参数'!$B$34/(1-Z561)*AC561</x:f>
        <x:v>22505.508567042354</x:v>
      </x:c>
      <x:c r="AC561" s="20" t="n">
        <x:f>'参数'!$L$30*(1+'参数'!$B$53*(B561-1)/119)</x:f>
        <x:v>1.4180672268907564</x:v>
      </x:c>
      <x:c r="AD561" s="20" t="n">
        <x:f>1+'参数'!$B$52*(B561-1)/119</x:f>
        <x:v>1.0945378151260505</x:v>
      </x:c>
      <x:c r="AE561" s="19" t="n">
        <x:f>IF(MOD(B561,12)=0,1,0)</x:f>
        <x:v>0</x:v>
      </x:c>
    </x:row>
    <x:row r="562" ht="22" customHeight="1">
      <x:c r="A562" s="18" t="str">
        <x:v>折磨</x:v>
      </x:c>
      <x:c r="B562" s="18" t="n">
        <x:v>77</x:v>
      </x:c>
      <x:c r="C562" s="18" t="n">
        <x:f>ROUNDUP(B562/12,0)</x:f>
        <x:v>7</x:v>
      </x:c>
      <x:c r="D562" s="18" t="n">
        <x:f>ROUND(MAX('参数'!$G$30,E562)+(IF(C562&lt;10,INDEX('参数'!$G$38:$P$38,1,MIN(10,C562+1)),'参数'!$H$30)-MAX('参数'!$G$30,E562))*MOD(B562-1,12)/11,0)</x:f>
        <x:v>100</x:v>
      </x:c>
      <x:c r="E562" s="18" t="n">
        <x:f>INDEX('参数'!$G$38:$P$38,1,C562)</x:f>
        <x:v>100</x:v>
      </x:c>
      <x:c r="F562" s="15" t="n">
        <x:f>'参数'!$I$30</x:f>
        <x:v>1.43</x:v>
      </x:c>
      <x:c r="G562" s="18" t="n">
        <x:f>ROUND(V562*X562/'参数'!$B$56,0)</x:f>
        <x:v>495865</x:v>
      </x:c>
      <x:c r="H562" s="18" t="n">
        <x:f>ROUND((AA562+SQRT(AA562^2+4*AA562*'参数'!$B$22*U562))/2,0)</x:f>
        <x:v>16854</x:v>
      </x:c>
      <x:c r="I562" s="18" t="n">
        <x:f>ROUND(Q562*'参数'!$B$23/'参数'!$B$22,0)</x:f>
        <x:v>2126</x:v>
      </x:c>
      <x:c r="J562" s="18" t="n">
        <x:f>ROUND(G562*'参数'!$B$50,0)</x:f>
        <x:v>1487595</x:v>
      </x:c>
      <x:c r="K562" s="18" t="n">
        <x:f>ROUND(W562*Y562,0)</x:f>
        <x:v>4881497</x:v>
      </x:c>
      <x:c r="L562" s="18" t="n">
        <x:f>ROUND((AB562+SQRT(AB562^2+4*AB562*'参数'!$B$22*U562))/2,0)</x:f>
        <x:v>29019</x:v>
      </x:c>
      <x:c r="M562" s="18" t="n">
        <x:f>ROUND(I562*'参数'!$B$24,0)</x:f>
        <x:v>2658</x:v>
      </x:c>
      <x:c r="N562" s="18" t="n">
        <x:f>'参数'!$B$9*'参数'!$B$10^(D562-1)</x:f>
        <x:v>11195.319600498813</x:v>
      </x:c>
      <x:c r="O562" s="18" t="n">
        <x:f>'参数'!$B$18*'参数'!$B$19^(MIN(E562,MAX(1,5*INT(D562/5)))-1)*F562*'参数'!$J$30*P562</x:f>
        <x:v>2103.552925769118</x:v>
      </x:c>
      <x:c r="P562" s="21" t="n">
        <x:f>MIN(1,(D562-1)/19)</x:f>
        <x:v>1</x:v>
      </x:c>
      <x:c r="Q562" s="18" t="n">
        <x:f>INDEX('角色成长'!$F$6:$F$105,D562)+O562*'参数'!$K$21</x:f>
        <x:v>10629.125838441985</x:v>
      </x:c>
      <x:c r="R562" s="18" t="n">
        <x:f>INDEX('角色成长'!$I$6:$I$105,D562)+O562*'参数'!$K$21</x:f>
        <x:v>9331.125838441985</x:v>
      </x:c>
      <x:c r="S562" s="18" t="n">
        <x:f>INDEX('角色成长'!$L$6:$L$105,D562)+O562*'参数'!$K$21</x:f>
        <x:v>8590.125838441985</x:v>
      </x:c>
      <x:c r="T562" s="18" t="n">
        <x:f>(INDEX('角色成长'!$J$6:$J$105,D562)+O562*'参数'!$L$21)*(1+'参数'!$B$40*P562)</x:f>
        <x:v>118666.76244728187</x:v>
      </x:c>
      <x:c r="U562" s="18" t="n">
        <x:f>(INDEX('角色成长'!$K$6:$K$105,D562)+O562*'参数'!$M$21)*(1+'参数'!$B$41*P562)</x:f>
        <x:v>6699.239382105553</x:v>
      </x:c>
      <x:c r="V562" s="18" t="n">
        <x:f>(('参数'!$K$5*(((Q562*(1+'参数'!$B$39*P562))^2/((Q562*(1+'参数'!$B$39*P562))+'参数'!$B$22*(I562)))*(1+'参数'!$B$42*P562)/'参数'!$J$5+((Q562*'参数'!$B$43*(1+'参数'!$B$39*P562))^2/((Q562*'参数'!$B$43*(1+'参数'!$B$39*P562))+'参数'!$B$22*(I562)))/'参数'!$B$44))+(((R562*(1+'参数'!$B$39*P562))^2/((R562*(1+'参数'!$B$39*P562))+'参数'!$B$22*(I562)))*(1+'参数'!$B$42*P562)/'参数'!$J$6+((R562*'参数'!$B$45*(1+'参数'!$B$39*P562))^2/((R562*'参数'!$B$45*(1+'参数'!$B$39*P562))+'参数'!$B$22*(I562)))/'参数'!$B$46)+((S562*(1+'参数'!$B$39*P562))^2/((S562*(1+'参数'!$B$39*P562))+'参数'!$B$22*(I562)))*(1+'参数'!$B$42*P562)/'参数'!$J$7)*(1+'参数'!$B$37*('参数'!$B$38-1))*'参数'!$B$25</x:f>
        <x:v>72276.65152942482</x:v>
      </x:c>
      <x:c r="W562" s="18" t="n">
        <x:f>(('参数'!$K$5*(((Q562*(1+'参数'!$B$39*P562))^2/((Q562*(1+'参数'!$B$39*P562))+'参数'!$B$22*(M562)))*(1+'参数'!$B$42*P562)/'参数'!$J$5+((Q562*'参数'!$B$43*(1+'参数'!$B$39*P562))^2/((Q562*'参数'!$B$43*(1+'参数'!$B$39*P562))+'参数'!$B$22*(M562)))/'参数'!$B$44))+(((R562*(1+'参数'!$B$39*P562))^2/((R562*(1+'参数'!$B$39*P562))+'参数'!$B$22*(M562)))*(1+'参数'!$B$42*P562)/'参数'!$J$6+((R562*'参数'!$B$45*(1+'参数'!$B$39*P562))^2/((R562*'参数'!$B$45*(1+'参数'!$B$39*P562))+'参数'!$B$22*(M562)))/'参数'!$B$46)+((S562*(1+'参数'!$B$39*P562))^2/((S562*(1+'参数'!$B$39*P562))+'参数'!$B$22*(M562)))*(1+'参数'!$B$42*P562)/'参数'!$J$7)*(1+'参数'!$B$37*('参数'!$B$38-1))</x:f>
        <x:v>55684.2511674383</x:v>
      </x:c>
      <x:c r="X562" s="25" t="n">
        <x:f>('参数'!$B$26+'参数'!$B$27*(D562-1)/99)*'参数'!$K$30*AD562</x:f>
        <x:v>31.55899159663866</x:v>
      </x:c>
      <x:c r="Y562" s="25" t="n">
        <x:f>('参数'!$B$28+'参数'!$B$29*(D562-1)/99)*'参数'!$K$30*AD562*IF(AE562=1,'参数'!$B$51,1)</x:f>
        <x:v>87.66386554621849</x:v>
      </x:c>
      <x:c r="Z562" s="21" t="n">
        <x:f>MIN('参数'!$B$36,U562/(U562+'参数'!$B$35))</x:f>
        <x:v>0.6261416482848315</x:v>
      </x:c>
      <x:c r="AA562" s="18" t="n">
        <x:f>T562*'参数'!$B$30/('参数'!$B$32*'参数'!$B$33)/(1-Z562)*AC562</x:f>
        <x:v>11259.95604626263</x:v>
      </x:c>
      <x:c r="AB562" s="18" t="n">
        <x:f>T562*'参数'!$B$31/'参数'!$B$34/(1-Z562)*AC562</x:f>
        <x:v>22519.91209252526</x:v>
      </x:c>
      <x:c r="AC562" s="15" t="n">
        <x:f>'参数'!$L$30*(1+'参数'!$B$53*(B562-1)/119)</x:f>
        <x:v>1.4189747899159664</x:v>
      </x:c>
      <x:c r="AD562" s="15" t="n">
        <x:f>1+'参数'!$B$52*(B562-1)/119</x:f>
        <x:v>1.0957983193277312</x:v>
      </x:c>
      <x:c r="AE562" s="18" t="n">
        <x:f>IF(MOD(B562,12)=0,1,0)</x:f>
        <x:v>0</x:v>
      </x:c>
    </x:row>
    <x:row r="563" ht="22" customHeight="1">
      <x:c r="A563" s="19" t="str">
        <x:v>折磨</x:v>
      </x:c>
      <x:c r="B563" s="19" t="n">
        <x:v>78</x:v>
      </x:c>
      <x:c r="C563" s="19" t="n">
        <x:f>ROUNDUP(B563/12,0)</x:f>
        <x:v>7</x:v>
      </x:c>
      <x:c r="D563" s="19" t="n">
        <x:f>ROUND(MAX('参数'!$G$30,E563)+(IF(C563&lt;10,INDEX('参数'!$G$38:$P$38,1,MIN(10,C563+1)),'参数'!$H$30)-MAX('参数'!$G$30,E563))*MOD(B563-1,12)/11,0)</x:f>
        <x:v>100</x:v>
      </x:c>
      <x:c r="E563" s="19" t="n">
        <x:f>INDEX('参数'!$G$38:$P$38,1,C563)</x:f>
        <x:v>100</x:v>
      </x:c>
      <x:c r="F563" s="20" t="n">
        <x:f>'参数'!$I$30</x:f>
        <x:v>1.43</x:v>
      </x:c>
      <x:c r="G563" s="19" t="n">
        <x:f>ROUND(V563*X563/'参数'!$B$56,0)</x:f>
        <x:v>496435</x:v>
      </x:c>
      <x:c r="H563" s="19" t="n">
        <x:f>ROUND((AA563+SQRT(AA563^2+4*AA563*'参数'!$B$22*U563))/2,0)</x:f>
        <x:v>16863</x:v>
      </x:c>
      <x:c r="I563" s="19" t="n">
        <x:f>ROUND(Q563*'参数'!$B$23/'参数'!$B$22,0)</x:f>
        <x:v>2126</x:v>
      </x:c>
      <x:c r="J563" s="19" t="n">
        <x:f>ROUND(G563*'参数'!$B$50,0)</x:f>
        <x:v>1489305</x:v>
      </x:c>
      <x:c r="K563" s="19" t="n">
        <x:f>ROUND(W563*Y563,0)</x:f>
        <x:v>4887112</x:v>
      </x:c>
      <x:c r="L563" s="19" t="n">
        <x:f>ROUND((AB563+SQRT(AB563^2+4*AB563*'参数'!$B$22*U563))/2,0)</x:f>
        <x:v>29034</x:v>
      </x:c>
      <x:c r="M563" s="19" t="n">
        <x:f>ROUND(I563*'参数'!$B$24,0)</x:f>
        <x:v>2658</x:v>
      </x:c>
      <x:c r="N563" s="19" t="n">
        <x:f>'参数'!$B$9*'参数'!$B$10^(D563-1)</x:f>
        <x:v>11195.319600498813</x:v>
      </x:c>
      <x:c r="O563" s="19" t="n">
        <x:f>'参数'!$B$18*'参数'!$B$19^(MIN(E563,MAX(1,5*INT(D563/5)))-1)*F563*'参数'!$J$30*P563</x:f>
        <x:v>2103.552925769118</x:v>
      </x:c>
      <x:c r="P563" s="22" t="n">
        <x:f>MIN(1,(D563-1)/19)</x:f>
        <x:v>1</x:v>
      </x:c>
      <x:c r="Q563" s="19" t="n">
        <x:f>INDEX('角色成长'!$F$6:$F$105,D563)+O563*'参数'!$K$21</x:f>
        <x:v>10629.125838441985</x:v>
      </x:c>
      <x:c r="R563" s="19" t="n">
        <x:f>INDEX('角色成长'!$I$6:$I$105,D563)+O563*'参数'!$K$21</x:f>
        <x:v>9331.125838441985</x:v>
      </x:c>
      <x:c r="S563" s="19" t="n">
        <x:f>INDEX('角色成长'!$L$6:$L$105,D563)+O563*'参数'!$K$21</x:f>
        <x:v>8590.125838441985</x:v>
      </x:c>
      <x:c r="T563" s="19" t="n">
        <x:f>(INDEX('角色成长'!$J$6:$J$105,D563)+O563*'参数'!$L$21)*(1+'参数'!$B$40*P563)</x:f>
        <x:v>118666.76244728187</x:v>
      </x:c>
      <x:c r="U563" s="19" t="n">
        <x:f>(INDEX('角色成长'!$K$6:$K$105,D563)+O563*'参数'!$M$21)*(1+'参数'!$B$41*P563)</x:f>
        <x:v>6699.239382105553</x:v>
      </x:c>
      <x:c r="V563" s="19" t="n">
        <x:f>(('参数'!$K$5*(((Q563*(1+'参数'!$B$39*P563))^2/((Q563*(1+'参数'!$B$39*P563))+'参数'!$B$22*(I563)))*(1+'参数'!$B$42*P563)/'参数'!$J$5+((Q563*'参数'!$B$43*(1+'参数'!$B$39*P563))^2/((Q563*'参数'!$B$43*(1+'参数'!$B$39*P563))+'参数'!$B$22*(I563)))/'参数'!$B$44))+(((R563*(1+'参数'!$B$39*P563))^2/((R563*(1+'参数'!$B$39*P563))+'参数'!$B$22*(I563)))*(1+'参数'!$B$42*P563)/'参数'!$J$6+((R563*'参数'!$B$45*(1+'参数'!$B$39*P563))^2/((R563*'参数'!$B$45*(1+'参数'!$B$39*P563))+'参数'!$B$22*(I563)))/'参数'!$B$46)+((S563*(1+'参数'!$B$39*P563))^2/((S563*(1+'参数'!$B$39*P563))+'参数'!$B$22*(I563)))*(1+'参数'!$B$42*P563)/'参数'!$J$7)*(1+'参数'!$B$37*('参数'!$B$38-1))*'参数'!$B$25</x:f>
        <x:v>72276.65152942482</x:v>
      </x:c>
      <x:c r="W563" s="19" t="n">
        <x:f>(('参数'!$K$5*(((Q563*(1+'参数'!$B$39*P563))^2/((Q563*(1+'参数'!$B$39*P563))+'参数'!$B$22*(M563)))*(1+'参数'!$B$42*P563)/'参数'!$J$5+((Q563*'参数'!$B$43*(1+'参数'!$B$39*P563))^2/((Q563*'参数'!$B$43*(1+'参数'!$B$39*P563))+'参数'!$B$22*(M563)))/'参数'!$B$44))+(((R563*(1+'参数'!$B$39*P563))^2/((R563*(1+'参数'!$B$39*P563))+'参数'!$B$22*(M563)))*(1+'参数'!$B$42*P563)/'参数'!$J$6+((R563*'参数'!$B$45*(1+'参数'!$B$39*P563))^2/((R563*'参数'!$B$45*(1+'参数'!$B$39*P563))+'参数'!$B$22*(M563)))/'参数'!$B$46)+((S563*(1+'参数'!$B$39*P563))^2/((S563*(1+'参数'!$B$39*P563))+'参数'!$B$22*(M563)))*(1+'参数'!$B$42*P563)/'参数'!$J$7)*(1+'参数'!$B$37*('参数'!$B$38-1))</x:f>
        <x:v>55684.2511674383</x:v>
      </x:c>
      <x:c r="X563" s="26" t="n">
        <x:f>('参数'!$B$26+'参数'!$B$27*(D563-1)/99)*'参数'!$K$30*AD563</x:f>
        <x:v>31.59529411764706</x:v>
      </x:c>
      <x:c r="Y563" s="26" t="n">
        <x:f>('参数'!$B$28+'参数'!$B$29*(D563-1)/99)*'参数'!$K$30*AD563*IF(AE563=1,'参数'!$B$51,1)</x:f>
        <x:v>87.76470588235296</x:v>
      </x:c>
      <x:c r="Z563" s="22" t="n">
        <x:f>MIN('参数'!$B$36,U563/(U563+'参数'!$B$35))</x:f>
        <x:v>0.6261416482848315</x:v>
      </x:c>
      <x:c r="AA563" s="19" t="n">
        <x:f>T563*'参数'!$B$30/('参数'!$B$32*'参数'!$B$33)/(1-Z563)*AC563</x:f>
        <x:v>11267.157809004086</x:v>
      </x:c>
      <x:c r="AB563" s="19" t="n">
        <x:f>T563*'参数'!$B$31/'参数'!$B$34/(1-Z563)*AC563</x:f>
        <x:v>22534.31561800817</x:v>
      </x:c>
      <x:c r="AC563" s="20" t="n">
        <x:f>'参数'!$L$30*(1+'参数'!$B$53*(B563-1)/119)</x:f>
        <x:v>1.4198823529411766</x:v>
      </x:c>
      <x:c r="AD563" s="20" t="n">
        <x:f>1+'参数'!$B$52*(B563-1)/119</x:f>
        <x:v>1.0970588235294119</x:v>
      </x:c>
      <x:c r="AE563" s="19" t="n">
        <x:f>IF(MOD(B563,12)=0,1,0)</x:f>
        <x:v>0</x:v>
      </x:c>
    </x:row>
    <x:row r="564" ht="22" customHeight="1">
      <x:c r="A564" s="18" t="str">
        <x:v>折磨</x:v>
      </x:c>
      <x:c r="B564" s="18" t="n">
        <x:v>79</x:v>
      </x:c>
      <x:c r="C564" s="18" t="n">
        <x:f>ROUNDUP(B564/12,0)</x:f>
        <x:v>7</x:v>
      </x:c>
      <x:c r="D564" s="18" t="n">
        <x:f>ROUND(MAX('参数'!$G$30,E564)+(IF(C564&lt;10,INDEX('参数'!$G$38:$P$38,1,MIN(10,C564+1)),'参数'!$H$30)-MAX('参数'!$G$30,E564))*MOD(B564-1,12)/11,0)</x:f>
        <x:v>100</x:v>
      </x:c>
      <x:c r="E564" s="18" t="n">
        <x:f>INDEX('参数'!$G$38:$P$38,1,C564)</x:f>
        <x:v>100</x:v>
      </x:c>
      <x:c r="F564" s="15" t="n">
        <x:f>'参数'!$I$30</x:f>
        <x:v>1.43</x:v>
      </x:c>
      <x:c r="G564" s="18" t="n">
        <x:f>ROUND(V564*X564/'参数'!$B$56,0)</x:f>
        <x:v>497006</x:v>
      </x:c>
      <x:c r="H564" s="18" t="n">
        <x:f>ROUND((AA564+SQRT(AA564^2+4*AA564*'参数'!$B$22*U564))/2,0)</x:f>
        <x:v>16871</x:v>
      </x:c>
      <x:c r="I564" s="18" t="n">
        <x:f>ROUND(Q564*'参数'!$B$23/'参数'!$B$22,0)</x:f>
        <x:v>2126</x:v>
      </x:c>
      <x:c r="J564" s="18" t="n">
        <x:f>ROUND(G564*'参数'!$B$50,0)</x:f>
        <x:v>1491018</x:v>
      </x:c>
      <x:c r="K564" s="18" t="n">
        <x:f>ROUND(W564*Y564,0)</x:f>
        <x:v>4892727</x:v>
      </x:c>
      <x:c r="L564" s="18" t="n">
        <x:f>ROUND((AB564+SQRT(AB564^2+4*AB564*'参数'!$B$22*U564))/2,0)</x:f>
        <x:v>29049</x:v>
      </x:c>
      <x:c r="M564" s="18" t="n">
        <x:f>ROUND(I564*'参数'!$B$24,0)</x:f>
        <x:v>2658</x:v>
      </x:c>
      <x:c r="N564" s="18" t="n">
        <x:f>'参数'!$B$9*'参数'!$B$10^(D564-1)</x:f>
        <x:v>11195.319600498813</x:v>
      </x:c>
      <x:c r="O564" s="18" t="n">
        <x:f>'参数'!$B$18*'参数'!$B$19^(MIN(E564,MAX(1,5*INT(D564/5)))-1)*F564*'参数'!$J$30*P564</x:f>
        <x:v>2103.552925769118</x:v>
      </x:c>
      <x:c r="P564" s="21" t="n">
        <x:f>MIN(1,(D564-1)/19)</x:f>
        <x:v>1</x:v>
      </x:c>
      <x:c r="Q564" s="18" t="n">
        <x:f>INDEX('角色成长'!$F$6:$F$105,D564)+O564*'参数'!$K$21</x:f>
        <x:v>10629.125838441985</x:v>
      </x:c>
      <x:c r="R564" s="18" t="n">
        <x:f>INDEX('角色成长'!$I$6:$I$105,D564)+O564*'参数'!$K$21</x:f>
        <x:v>9331.125838441985</x:v>
      </x:c>
      <x:c r="S564" s="18" t="n">
        <x:f>INDEX('角色成长'!$L$6:$L$105,D564)+O564*'参数'!$K$21</x:f>
        <x:v>8590.125838441985</x:v>
      </x:c>
      <x:c r="T564" s="18" t="n">
        <x:f>(INDEX('角色成长'!$J$6:$J$105,D564)+O564*'参数'!$L$21)*(1+'参数'!$B$40*P564)</x:f>
        <x:v>118666.76244728187</x:v>
      </x:c>
      <x:c r="U564" s="18" t="n">
        <x:f>(INDEX('角色成长'!$K$6:$K$105,D564)+O564*'参数'!$M$21)*(1+'参数'!$B$41*P564)</x:f>
        <x:v>6699.239382105553</x:v>
      </x:c>
      <x:c r="V564" s="18" t="n">
        <x:f>(('参数'!$K$5*(((Q564*(1+'参数'!$B$39*P564))^2/((Q564*(1+'参数'!$B$39*P564))+'参数'!$B$22*(I564)))*(1+'参数'!$B$42*P564)/'参数'!$J$5+((Q564*'参数'!$B$43*(1+'参数'!$B$39*P564))^2/((Q564*'参数'!$B$43*(1+'参数'!$B$39*P564))+'参数'!$B$22*(I564)))/'参数'!$B$44))+(((R564*(1+'参数'!$B$39*P564))^2/((R564*(1+'参数'!$B$39*P564))+'参数'!$B$22*(I564)))*(1+'参数'!$B$42*P564)/'参数'!$J$6+((R564*'参数'!$B$45*(1+'参数'!$B$39*P564))^2/((R564*'参数'!$B$45*(1+'参数'!$B$39*P564))+'参数'!$B$22*(I564)))/'参数'!$B$46)+((S564*(1+'参数'!$B$39*P564))^2/((S564*(1+'参数'!$B$39*P564))+'参数'!$B$22*(I564)))*(1+'参数'!$B$42*P564)/'参数'!$J$7)*(1+'参数'!$B$37*('参数'!$B$38-1))*'参数'!$B$25</x:f>
        <x:v>72276.65152942482</x:v>
      </x:c>
      <x:c r="W564" s="18" t="n">
        <x:f>(('参数'!$K$5*(((Q564*(1+'参数'!$B$39*P564))^2/((Q564*(1+'参数'!$B$39*P564))+'参数'!$B$22*(M564)))*(1+'参数'!$B$42*P564)/'参数'!$J$5+((Q564*'参数'!$B$43*(1+'参数'!$B$39*P564))^2/((Q564*'参数'!$B$43*(1+'参数'!$B$39*P564))+'参数'!$B$22*(M564)))/'参数'!$B$44))+(((R564*(1+'参数'!$B$39*P564))^2/((R564*(1+'参数'!$B$39*P564))+'参数'!$B$22*(M564)))*(1+'参数'!$B$42*P564)/'参数'!$J$6+((R564*'参数'!$B$45*(1+'参数'!$B$39*P564))^2/((R564*'参数'!$B$45*(1+'参数'!$B$39*P564))+'参数'!$B$22*(M564)))/'参数'!$B$46)+((S564*(1+'参数'!$B$39*P564))^2/((S564*(1+'参数'!$B$39*P564))+'参数'!$B$22*(M564)))*(1+'参数'!$B$42*P564)/'参数'!$J$7)*(1+'参数'!$B$37*('参数'!$B$38-1))</x:f>
        <x:v>55684.2511674383</x:v>
      </x:c>
      <x:c r="X564" s="25" t="n">
        <x:f>('参数'!$B$26+'参数'!$B$27*(D564-1)/99)*'参数'!$K$30*AD564</x:f>
        <x:v>31.631596638655466</x:v>
      </x:c>
      <x:c r="Y564" s="25" t="n">
        <x:f>('参数'!$B$28+'参数'!$B$29*(D564-1)/99)*'参数'!$K$30*AD564*IF(AE564=1,'参数'!$B$51,1)</x:f>
        <x:v>87.8655462184874</x:v>
      </x:c>
      <x:c r="Z564" s="21" t="n">
        <x:f>MIN('参数'!$B$36,U564/(U564+'参数'!$B$35))</x:f>
        <x:v>0.6261416482848315</x:v>
      </x:c>
      <x:c r="AA564" s="18" t="n">
        <x:f>T564*'参数'!$B$30/('参数'!$B$32*'参数'!$B$33)/(1-Z564)*AC564</x:f>
        <x:v>11274.35957174554</x:v>
      </x:c>
      <x:c r="AB564" s="18" t="n">
        <x:f>T564*'参数'!$B$31/'参数'!$B$34/(1-Z564)*AC564</x:f>
        <x:v>22548.71914349108</x:v>
      </x:c>
      <x:c r="AC564" s="15" t="n">
        <x:f>'参数'!$L$30*(1+'参数'!$B$53*(B564-1)/119)</x:f>
        <x:v>1.4207899159663868</x:v>
      </x:c>
      <x:c r="AD564" s="15" t="n">
        <x:f>1+'参数'!$B$52*(B564-1)/119</x:f>
        <x:v>1.0983193277310925</x:v>
      </x:c>
      <x:c r="AE564" s="18" t="n">
        <x:f>IF(MOD(B564,12)=0,1,0)</x:f>
        <x:v>0</x:v>
      </x:c>
    </x:row>
    <x:row r="565" ht="22" customHeight="1">
      <x:c r="A565" s="19" t="str">
        <x:v>折磨</x:v>
      </x:c>
      <x:c r="B565" s="19" t="n">
        <x:v>80</x:v>
      </x:c>
      <x:c r="C565" s="19" t="n">
        <x:f>ROUNDUP(B565/12,0)</x:f>
        <x:v>7</x:v>
      </x:c>
      <x:c r="D565" s="19" t="n">
        <x:f>ROUND(MAX('参数'!$G$30,E565)+(IF(C565&lt;10,INDEX('参数'!$G$38:$P$38,1,MIN(10,C565+1)),'参数'!$H$30)-MAX('参数'!$G$30,E565))*MOD(B565-1,12)/11,0)</x:f>
        <x:v>100</x:v>
      </x:c>
      <x:c r="E565" s="19" t="n">
        <x:f>INDEX('参数'!$G$38:$P$38,1,C565)</x:f>
        <x:v>100</x:v>
      </x:c>
      <x:c r="F565" s="20" t="n">
        <x:f>'参数'!$I$30</x:f>
        <x:v>1.43</x:v>
      </x:c>
      <x:c r="G565" s="19" t="n">
        <x:f>ROUND(V565*X565/'参数'!$B$56,0)</x:f>
        <x:v>497576</x:v>
      </x:c>
      <x:c r="H565" s="19" t="n">
        <x:f>ROUND((AA565+SQRT(AA565^2+4*AA565*'参数'!$B$22*U565))/2,0)</x:f>
        <x:v>16879</x:v>
      </x:c>
      <x:c r="I565" s="19" t="n">
        <x:f>ROUND(Q565*'参数'!$B$23/'参数'!$B$22,0)</x:f>
        <x:v>2126</x:v>
      </x:c>
      <x:c r="J565" s="19" t="n">
        <x:f>ROUND(G565*'参数'!$B$50,0)</x:f>
        <x:v>1492728</x:v>
      </x:c>
      <x:c r="K565" s="19" t="n">
        <x:f>ROUND(W565*Y565,0)</x:f>
        <x:v>4898342</x:v>
      </x:c>
      <x:c r="L565" s="19" t="n">
        <x:f>ROUND((AB565+SQRT(AB565^2+4*AB565*'参数'!$B$22*U565))/2,0)</x:f>
        <x:v>29064</x:v>
      </x:c>
      <x:c r="M565" s="19" t="n">
        <x:f>ROUND(I565*'参数'!$B$24,0)</x:f>
        <x:v>2658</x:v>
      </x:c>
      <x:c r="N565" s="19" t="n">
        <x:f>'参数'!$B$9*'参数'!$B$10^(D565-1)</x:f>
        <x:v>11195.319600498813</x:v>
      </x:c>
      <x:c r="O565" s="19" t="n">
        <x:f>'参数'!$B$18*'参数'!$B$19^(MIN(E565,MAX(1,5*INT(D565/5)))-1)*F565*'参数'!$J$30*P565</x:f>
        <x:v>2103.552925769118</x:v>
      </x:c>
      <x:c r="P565" s="22" t="n">
        <x:f>MIN(1,(D565-1)/19)</x:f>
        <x:v>1</x:v>
      </x:c>
      <x:c r="Q565" s="19" t="n">
        <x:f>INDEX('角色成长'!$F$6:$F$105,D565)+O565*'参数'!$K$21</x:f>
        <x:v>10629.125838441985</x:v>
      </x:c>
      <x:c r="R565" s="19" t="n">
        <x:f>INDEX('角色成长'!$I$6:$I$105,D565)+O565*'参数'!$K$21</x:f>
        <x:v>9331.125838441985</x:v>
      </x:c>
      <x:c r="S565" s="19" t="n">
        <x:f>INDEX('角色成长'!$L$6:$L$105,D565)+O565*'参数'!$K$21</x:f>
        <x:v>8590.125838441985</x:v>
      </x:c>
      <x:c r="T565" s="19" t="n">
        <x:f>(INDEX('角色成长'!$J$6:$J$105,D565)+O565*'参数'!$L$21)*(1+'参数'!$B$40*P565)</x:f>
        <x:v>118666.76244728187</x:v>
      </x:c>
      <x:c r="U565" s="19" t="n">
        <x:f>(INDEX('角色成长'!$K$6:$K$105,D565)+O565*'参数'!$M$21)*(1+'参数'!$B$41*P565)</x:f>
        <x:v>6699.239382105553</x:v>
      </x:c>
      <x:c r="V565" s="19" t="n">
        <x:f>(('参数'!$K$5*(((Q565*(1+'参数'!$B$39*P565))^2/((Q565*(1+'参数'!$B$39*P565))+'参数'!$B$22*(I565)))*(1+'参数'!$B$42*P565)/'参数'!$J$5+((Q565*'参数'!$B$43*(1+'参数'!$B$39*P565))^2/((Q565*'参数'!$B$43*(1+'参数'!$B$39*P565))+'参数'!$B$22*(I565)))/'参数'!$B$44))+(((R565*(1+'参数'!$B$39*P565))^2/((R565*(1+'参数'!$B$39*P565))+'参数'!$B$22*(I565)))*(1+'参数'!$B$42*P565)/'参数'!$J$6+((R565*'参数'!$B$45*(1+'参数'!$B$39*P565))^2/((R565*'参数'!$B$45*(1+'参数'!$B$39*P565))+'参数'!$B$22*(I565)))/'参数'!$B$46)+((S565*(1+'参数'!$B$39*P565))^2/((S565*(1+'参数'!$B$39*P565))+'参数'!$B$22*(I565)))*(1+'参数'!$B$42*P565)/'参数'!$J$7)*(1+'参数'!$B$37*('参数'!$B$38-1))*'参数'!$B$25</x:f>
        <x:v>72276.65152942482</x:v>
      </x:c>
      <x:c r="W565" s="19" t="n">
        <x:f>(('参数'!$K$5*(((Q565*(1+'参数'!$B$39*P565))^2/((Q565*(1+'参数'!$B$39*P565))+'参数'!$B$22*(M565)))*(1+'参数'!$B$42*P565)/'参数'!$J$5+((Q565*'参数'!$B$43*(1+'参数'!$B$39*P565))^2/((Q565*'参数'!$B$43*(1+'参数'!$B$39*P565))+'参数'!$B$22*(M565)))/'参数'!$B$44))+(((R565*(1+'参数'!$B$39*P565))^2/((R565*(1+'参数'!$B$39*P565))+'参数'!$B$22*(M565)))*(1+'参数'!$B$42*P565)/'参数'!$J$6+((R565*'参数'!$B$45*(1+'参数'!$B$39*P565))^2/((R565*'参数'!$B$45*(1+'参数'!$B$39*P565))+'参数'!$B$22*(M565)))/'参数'!$B$46)+((S565*(1+'参数'!$B$39*P565))^2/((S565*(1+'参数'!$B$39*P565))+'参数'!$B$22*(M565)))*(1+'参数'!$B$42*P565)/'参数'!$J$7)*(1+'参数'!$B$37*('参数'!$B$38-1))</x:f>
        <x:v>55684.2511674383</x:v>
      </x:c>
      <x:c r="X565" s="26" t="n">
        <x:f>('参数'!$B$26+'参数'!$B$27*(D565-1)/99)*'参数'!$K$30*AD565</x:f>
        <x:v>31.667899159663868</x:v>
      </x:c>
      <x:c r="Y565" s="26" t="n">
        <x:f>('参数'!$B$28+'参数'!$B$29*(D565-1)/99)*'参数'!$K$30*AD565*IF(AE565=1,'参数'!$B$51,1)</x:f>
        <x:v>87.96638655462186</x:v>
      </x:c>
      <x:c r="Z565" s="22" t="n">
        <x:f>MIN('参数'!$B$36,U565/(U565+'参数'!$B$35))</x:f>
        <x:v>0.6261416482848315</x:v>
      </x:c>
      <x:c r="AA565" s="19" t="n">
        <x:f>T565*'参数'!$B$30/('参数'!$B$32*'参数'!$B$33)/(1-Z565)*AC565</x:f>
        <x:v>11281.56133448699</x:v>
      </x:c>
      <x:c r="AB565" s="19" t="n">
        <x:f>T565*'参数'!$B$31/'参数'!$B$34/(1-Z565)*AC565</x:f>
        <x:v>22563.12266897398</x:v>
      </x:c>
      <x:c r="AC565" s="20" t="n">
        <x:f>'参数'!$L$30*(1+'参数'!$B$53*(B565-1)/119)</x:f>
        <x:v>1.4216974789915966</x:v>
      </x:c>
      <x:c r="AD565" s="20" t="n">
        <x:f>1+'参数'!$B$52*(B565-1)/119</x:f>
        <x:v>1.0995798319327732</x:v>
      </x:c>
      <x:c r="AE565" s="19" t="n">
        <x:f>IF(MOD(B565,12)=0,1,0)</x:f>
        <x:v>0</x:v>
      </x:c>
    </x:row>
    <x:row r="566" ht="22" customHeight="1">
      <x:c r="A566" s="18" t="str">
        <x:v>折磨</x:v>
      </x:c>
      <x:c r="B566" s="18" t="n">
        <x:v>81</x:v>
      </x:c>
      <x:c r="C566" s="18" t="n">
        <x:f>ROUNDUP(B566/12,0)</x:f>
        <x:v>7</x:v>
      </x:c>
      <x:c r="D566" s="18" t="n">
        <x:f>ROUND(MAX('参数'!$G$30,E566)+(IF(C566&lt;10,INDEX('参数'!$G$38:$P$38,1,MIN(10,C566+1)),'参数'!$H$30)-MAX('参数'!$G$30,E566))*MOD(B566-1,12)/11,0)</x:f>
        <x:v>100</x:v>
      </x:c>
      <x:c r="E566" s="18" t="n">
        <x:f>INDEX('参数'!$G$38:$P$38,1,C566)</x:f>
        <x:v>100</x:v>
      </x:c>
      <x:c r="F566" s="15" t="n">
        <x:f>'参数'!$I$30</x:f>
        <x:v>1.43</x:v>
      </x:c>
      <x:c r="G566" s="18" t="n">
        <x:f>ROUND(V566*X566/'参数'!$B$56,0)</x:f>
        <x:v>498146</x:v>
      </x:c>
      <x:c r="H566" s="18" t="n">
        <x:f>ROUND((AA566+SQRT(AA566^2+4*AA566*'参数'!$B$22*U566))/2,0)</x:f>
        <x:v>16887</x:v>
      </x:c>
      <x:c r="I566" s="18" t="n">
        <x:f>ROUND(Q566*'参数'!$B$23/'参数'!$B$22,0)</x:f>
        <x:v>2126</x:v>
      </x:c>
      <x:c r="J566" s="18" t="n">
        <x:f>ROUND(G566*'参数'!$B$50,0)</x:f>
        <x:v>1494438</x:v>
      </x:c>
      <x:c r="K566" s="18" t="n">
        <x:f>ROUND(W566*Y566,0)</x:f>
        <x:v>4903958</x:v>
      </x:c>
      <x:c r="L566" s="18" t="n">
        <x:f>ROUND((AB566+SQRT(AB566^2+4*AB566*'参数'!$B$22*U566))/2,0)</x:f>
        <x:v>29079</x:v>
      </x:c>
      <x:c r="M566" s="18" t="n">
        <x:f>ROUND(I566*'参数'!$B$24,0)</x:f>
        <x:v>2658</x:v>
      </x:c>
      <x:c r="N566" s="18" t="n">
        <x:f>'参数'!$B$9*'参数'!$B$10^(D566-1)</x:f>
        <x:v>11195.319600498813</x:v>
      </x:c>
      <x:c r="O566" s="18" t="n">
        <x:f>'参数'!$B$18*'参数'!$B$19^(MIN(E566,MAX(1,5*INT(D566/5)))-1)*F566*'参数'!$J$30*P566</x:f>
        <x:v>2103.552925769118</x:v>
      </x:c>
      <x:c r="P566" s="21" t="n">
        <x:f>MIN(1,(D566-1)/19)</x:f>
        <x:v>1</x:v>
      </x:c>
      <x:c r="Q566" s="18" t="n">
        <x:f>INDEX('角色成长'!$F$6:$F$105,D566)+O566*'参数'!$K$21</x:f>
        <x:v>10629.125838441985</x:v>
      </x:c>
      <x:c r="R566" s="18" t="n">
        <x:f>INDEX('角色成长'!$I$6:$I$105,D566)+O566*'参数'!$K$21</x:f>
        <x:v>9331.125838441985</x:v>
      </x:c>
      <x:c r="S566" s="18" t="n">
        <x:f>INDEX('角色成长'!$L$6:$L$105,D566)+O566*'参数'!$K$21</x:f>
        <x:v>8590.125838441985</x:v>
      </x:c>
      <x:c r="T566" s="18" t="n">
        <x:f>(INDEX('角色成长'!$J$6:$J$105,D566)+O566*'参数'!$L$21)*(1+'参数'!$B$40*P566)</x:f>
        <x:v>118666.76244728187</x:v>
      </x:c>
      <x:c r="U566" s="18" t="n">
        <x:f>(INDEX('角色成长'!$K$6:$K$105,D566)+O566*'参数'!$M$21)*(1+'参数'!$B$41*P566)</x:f>
        <x:v>6699.239382105553</x:v>
      </x:c>
      <x:c r="V566" s="18" t="n">
        <x:f>(('参数'!$K$5*(((Q566*(1+'参数'!$B$39*P566))^2/((Q566*(1+'参数'!$B$39*P566))+'参数'!$B$22*(I566)))*(1+'参数'!$B$42*P566)/'参数'!$J$5+((Q566*'参数'!$B$43*(1+'参数'!$B$39*P566))^2/((Q566*'参数'!$B$43*(1+'参数'!$B$39*P566))+'参数'!$B$22*(I566)))/'参数'!$B$44))+(((R566*(1+'参数'!$B$39*P566))^2/((R566*(1+'参数'!$B$39*P566))+'参数'!$B$22*(I566)))*(1+'参数'!$B$42*P566)/'参数'!$J$6+((R566*'参数'!$B$45*(1+'参数'!$B$39*P566))^2/((R566*'参数'!$B$45*(1+'参数'!$B$39*P566))+'参数'!$B$22*(I566)))/'参数'!$B$46)+((S566*(1+'参数'!$B$39*P566))^2/((S566*(1+'参数'!$B$39*P566))+'参数'!$B$22*(I566)))*(1+'参数'!$B$42*P566)/'参数'!$J$7)*(1+'参数'!$B$37*('参数'!$B$38-1))*'参数'!$B$25</x:f>
        <x:v>72276.65152942482</x:v>
      </x:c>
      <x:c r="W566" s="18" t="n">
        <x:f>(('参数'!$K$5*(((Q566*(1+'参数'!$B$39*P566))^2/((Q566*(1+'参数'!$B$39*P566))+'参数'!$B$22*(M566)))*(1+'参数'!$B$42*P566)/'参数'!$J$5+((Q566*'参数'!$B$43*(1+'参数'!$B$39*P566))^2/((Q566*'参数'!$B$43*(1+'参数'!$B$39*P566))+'参数'!$B$22*(M566)))/'参数'!$B$44))+(((R566*(1+'参数'!$B$39*P566))^2/((R566*(1+'参数'!$B$39*P566))+'参数'!$B$22*(M566)))*(1+'参数'!$B$42*P566)/'参数'!$J$6+((R566*'参数'!$B$45*(1+'参数'!$B$39*P566))^2/((R566*'参数'!$B$45*(1+'参数'!$B$39*P566))+'参数'!$B$22*(M566)))/'参数'!$B$46)+((S566*(1+'参数'!$B$39*P566))^2/((S566*(1+'参数'!$B$39*P566))+'参数'!$B$22*(M566)))*(1+'参数'!$B$42*P566)/'参数'!$J$7)*(1+'参数'!$B$37*('参数'!$B$38-1))</x:f>
        <x:v>55684.2511674383</x:v>
      </x:c>
      <x:c r="X566" s="25" t="n">
        <x:f>('参数'!$B$26+'参数'!$B$27*(D566-1)/99)*'参数'!$K$30*AD566</x:f>
        <x:v>31.704201680672274</x:v>
      </x:c>
      <x:c r="Y566" s="25" t="n">
        <x:f>('参数'!$B$28+'参数'!$B$29*(D566-1)/99)*'参数'!$K$30*AD566*IF(AE566=1,'参数'!$B$51,1)</x:f>
        <x:v>88.0672268907563</x:v>
      </x:c>
      <x:c r="Z566" s="21" t="n">
        <x:f>MIN('参数'!$B$36,U566/(U566+'参数'!$B$35))</x:f>
        <x:v>0.6261416482848315</x:v>
      </x:c>
      <x:c r="AA566" s="18" t="n">
        <x:f>T566*'参数'!$B$30/('参数'!$B$32*'参数'!$B$33)/(1-Z566)*AC566</x:f>
        <x:v>11288.763097228446</x:v>
      </x:c>
      <x:c r="AB566" s="18" t="n">
        <x:f>T566*'参数'!$B$31/'参数'!$B$34/(1-Z566)*AC566</x:f>
        <x:v>22577.526194456892</x:v>
      </x:c>
      <x:c r="AC566" s="15" t="n">
        <x:f>'参数'!$L$30*(1+'参数'!$B$53*(B566-1)/119)</x:f>
        <x:v>1.4226050420168068</x:v>
      </x:c>
      <x:c r="AD566" s="15" t="n">
        <x:f>1+'参数'!$B$52*(B566-1)/119</x:f>
        <x:v>1.1008403361344539</x:v>
      </x:c>
      <x:c r="AE566" s="18" t="n">
        <x:f>IF(MOD(B566,12)=0,1,0)</x:f>
        <x:v>0</x:v>
      </x:c>
    </x:row>
    <x:row r="567" ht="22" customHeight="1">
      <x:c r="A567" s="19" t="str">
        <x:v>折磨</x:v>
      </x:c>
      <x:c r="B567" s="19" t="n">
        <x:v>82</x:v>
      </x:c>
      <x:c r="C567" s="19" t="n">
        <x:f>ROUNDUP(B567/12,0)</x:f>
        <x:v>7</x:v>
      </x:c>
      <x:c r="D567" s="19" t="n">
        <x:f>ROUND(MAX('参数'!$G$30,E567)+(IF(C567&lt;10,INDEX('参数'!$G$38:$P$38,1,MIN(10,C567+1)),'参数'!$H$30)-MAX('参数'!$G$30,E567))*MOD(B567-1,12)/11,0)</x:f>
        <x:v>100</x:v>
      </x:c>
      <x:c r="E567" s="19" t="n">
        <x:f>INDEX('参数'!$G$38:$P$38,1,C567)</x:f>
        <x:v>100</x:v>
      </x:c>
      <x:c r="F567" s="20" t="n">
        <x:f>'参数'!$I$30</x:f>
        <x:v>1.43</x:v>
      </x:c>
      <x:c r="G567" s="19" t="n">
        <x:f>ROUND(V567*X567/'参数'!$B$56,0)</x:f>
        <x:v>498717</x:v>
      </x:c>
      <x:c r="H567" s="19" t="n">
        <x:f>ROUND((AA567+SQRT(AA567^2+4*AA567*'参数'!$B$22*U567))/2,0)</x:f>
        <x:v>16895</x:v>
      </x:c>
      <x:c r="I567" s="19" t="n">
        <x:f>ROUND(Q567*'参数'!$B$23/'参数'!$B$22,0)</x:f>
        <x:v>2126</x:v>
      </x:c>
      <x:c r="J567" s="19" t="n">
        <x:f>ROUND(G567*'参数'!$B$50,0)</x:f>
        <x:v>1496151</x:v>
      </x:c>
      <x:c r="K567" s="19" t="n">
        <x:f>ROUND(W567*Y567,0)</x:f>
        <x:v>4909573</x:v>
      </x:c>
      <x:c r="L567" s="19" t="n">
        <x:f>ROUND((AB567+SQRT(AB567^2+4*AB567*'参数'!$B$22*U567))/2,0)</x:f>
        <x:v>29094</x:v>
      </x:c>
      <x:c r="M567" s="19" t="n">
        <x:f>ROUND(I567*'参数'!$B$24,0)</x:f>
        <x:v>2658</x:v>
      </x:c>
      <x:c r="N567" s="19" t="n">
        <x:f>'参数'!$B$9*'参数'!$B$10^(D567-1)</x:f>
        <x:v>11195.319600498813</x:v>
      </x:c>
      <x:c r="O567" s="19" t="n">
        <x:f>'参数'!$B$18*'参数'!$B$19^(MIN(E567,MAX(1,5*INT(D567/5)))-1)*F567*'参数'!$J$30*P567</x:f>
        <x:v>2103.552925769118</x:v>
      </x:c>
      <x:c r="P567" s="22" t="n">
        <x:f>MIN(1,(D567-1)/19)</x:f>
        <x:v>1</x:v>
      </x:c>
      <x:c r="Q567" s="19" t="n">
        <x:f>INDEX('角色成长'!$F$6:$F$105,D567)+O567*'参数'!$K$21</x:f>
        <x:v>10629.125838441985</x:v>
      </x:c>
      <x:c r="R567" s="19" t="n">
        <x:f>INDEX('角色成长'!$I$6:$I$105,D567)+O567*'参数'!$K$21</x:f>
        <x:v>9331.125838441985</x:v>
      </x:c>
      <x:c r="S567" s="19" t="n">
        <x:f>INDEX('角色成长'!$L$6:$L$105,D567)+O567*'参数'!$K$21</x:f>
        <x:v>8590.125838441985</x:v>
      </x:c>
      <x:c r="T567" s="19" t="n">
        <x:f>(INDEX('角色成长'!$J$6:$J$105,D567)+O567*'参数'!$L$21)*(1+'参数'!$B$40*P567)</x:f>
        <x:v>118666.76244728187</x:v>
      </x:c>
      <x:c r="U567" s="19" t="n">
        <x:f>(INDEX('角色成长'!$K$6:$K$105,D567)+O567*'参数'!$M$21)*(1+'参数'!$B$41*P567)</x:f>
        <x:v>6699.239382105553</x:v>
      </x:c>
      <x:c r="V567" s="19" t="n">
        <x:f>(('参数'!$K$5*(((Q567*(1+'参数'!$B$39*P567))^2/((Q567*(1+'参数'!$B$39*P567))+'参数'!$B$22*(I567)))*(1+'参数'!$B$42*P567)/'参数'!$J$5+((Q567*'参数'!$B$43*(1+'参数'!$B$39*P567))^2/((Q567*'参数'!$B$43*(1+'参数'!$B$39*P567))+'参数'!$B$22*(I567)))/'参数'!$B$44))+(((R567*(1+'参数'!$B$39*P567))^2/((R567*(1+'参数'!$B$39*P567))+'参数'!$B$22*(I567)))*(1+'参数'!$B$42*P567)/'参数'!$J$6+((R567*'参数'!$B$45*(1+'参数'!$B$39*P567))^2/((R567*'参数'!$B$45*(1+'参数'!$B$39*P567))+'参数'!$B$22*(I567)))/'参数'!$B$46)+((S567*(1+'参数'!$B$39*P567))^2/((S567*(1+'参数'!$B$39*P567))+'参数'!$B$22*(I567)))*(1+'参数'!$B$42*P567)/'参数'!$J$7)*(1+'参数'!$B$37*('参数'!$B$38-1))*'参数'!$B$25</x:f>
        <x:v>72276.65152942482</x:v>
      </x:c>
      <x:c r="W567" s="19" t="n">
        <x:f>(('参数'!$K$5*(((Q567*(1+'参数'!$B$39*P567))^2/((Q567*(1+'参数'!$B$39*P567))+'参数'!$B$22*(M567)))*(1+'参数'!$B$42*P567)/'参数'!$J$5+((Q567*'参数'!$B$43*(1+'参数'!$B$39*P567))^2/((Q567*'参数'!$B$43*(1+'参数'!$B$39*P567))+'参数'!$B$22*(M567)))/'参数'!$B$44))+(((R567*(1+'参数'!$B$39*P567))^2/((R567*(1+'参数'!$B$39*P567))+'参数'!$B$22*(M567)))*(1+'参数'!$B$42*P567)/'参数'!$J$6+((R567*'参数'!$B$45*(1+'参数'!$B$39*P567))^2/((R567*'参数'!$B$45*(1+'参数'!$B$39*P567))+'参数'!$B$22*(M567)))/'参数'!$B$46)+((S567*(1+'参数'!$B$39*P567))^2/((S567*(1+'参数'!$B$39*P567))+'参数'!$B$22*(M567)))*(1+'参数'!$B$42*P567)/'参数'!$J$7)*(1+'参数'!$B$37*('参数'!$B$38-1))</x:f>
        <x:v>55684.2511674383</x:v>
      </x:c>
      <x:c r="X567" s="26" t="n">
        <x:f>('参数'!$B$26+'参数'!$B$27*(D567-1)/99)*'参数'!$K$30*AD567</x:f>
        <x:v>31.740504201680675</x:v>
      </x:c>
      <x:c r="Y567" s="26" t="n">
        <x:f>('参数'!$B$28+'参数'!$B$29*(D567-1)/99)*'参数'!$K$30*AD567*IF(AE567=1,'参数'!$B$51,1)</x:f>
        <x:v>88.16806722689077</x:v>
      </x:c>
      <x:c r="Z567" s="22" t="n">
        <x:f>MIN('参数'!$B$36,U567/(U567+'参数'!$B$35))</x:f>
        <x:v>0.6261416482848315</x:v>
      </x:c>
      <x:c r="AA567" s="19" t="n">
        <x:f>T567*'参数'!$B$30/('参数'!$B$32*'参数'!$B$33)/(1-Z567)*AC567</x:f>
        <x:v>11295.964859969898</x:v>
      </x:c>
      <x:c r="AB567" s="19" t="n">
        <x:f>T567*'参数'!$B$31/'参数'!$B$34/(1-Z567)*AC567</x:f>
        <x:v>22591.929719939795</x:v>
      </x:c>
      <x:c r="AC567" s="20" t="n">
        <x:f>'参数'!$L$30*(1+'参数'!$B$53*(B567-1)/119)</x:f>
        <x:v>1.4235126050420168</x:v>
      </x:c>
      <x:c r="AD567" s="20" t="n">
        <x:f>1+'参数'!$B$52*(B567-1)/119</x:f>
        <x:v>1.1021008403361345</x:v>
      </x:c>
      <x:c r="AE567" s="19" t="n">
        <x:f>IF(MOD(B567,12)=0,1,0)</x:f>
        <x:v>0</x:v>
      </x:c>
    </x:row>
    <x:row r="568" ht="22" customHeight="1">
      <x:c r="A568" s="18" t="str">
        <x:v>折磨</x:v>
      </x:c>
      <x:c r="B568" s="18" t="n">
        <x:v>83</x:v>
      </x:c>
      <x:c r="C568" s="18" t="n">
        <x:f>ROUNDUP(B568/12,0)</x:f>
        <x:v>7</x:v>
      </x:c>
      <x:c r="D568" s="18" t="n">
        <x:f>ROUND(MAX('参数'!$G$30,E568)+(IF(C568&lt;10,INDEX('参数'!$G$38:$P$38,1,MIN(10,C568+1)),'参数'!$H$30)-MAX('参数'!$G$30,E568))*MOD(B568-1,12)/11,0)</x:f>
        <x:v>100</x:v>
      </x:c>
      <x:c r="E568" s="18" t="n">
        <x:f>INDEX('参数'!$G$38:$P$38,1,C568)</x:f>
        <x:v>100</x:v>
      </x:c>
      <x:c r="F568" s="15" t="n">
        <x:f>'参数'!$I$30</x:f>
        <x:v>1.43</x:v>
      </x:c>
      <x:c r="G568" s="18" t="n">
        <x:f>ROUND(V568*X568/'参数'!$B$56,0)</x:f>
        <x:v>499287</x:v>
      </x:c>
      <x:c r="H568" s="18" t="n">
        <x:f>ROUND((AA568+SQRT(AA568^2+4*AA568*'参数'!$B$22*U568))/2,0)</x:f>
        <x:v>16903</x:v>
      </x:c>
      <x:c r="I568" s="18" t="n">
        <x:f>ROUND(Q568*'参数'!$B$23/'参数'!$B$22,0)</x:f>
        <x:v>2126</x:v>
      </x:c>
      <x:c r="J568" s="18" t="n">
        <x:f>ROUND(G568*'参数'!$B$50,0)</x:f>
        <x:v>1497861</x:v>
      </x:c>
      <x:c r="K568" s="18" t="n">
        <x:f>ROUND(W568*Y568,0)</x:f>
        <x:v>4915188</x:v>
      </x:c>
      <x:c r="L568" s="18" t="n">
        <x:f>ROUND((AB568+SQRT(AB568^2+4*AB568*'参数'!$B$22*U568))/2,0)</x:f>
        <x:v>29110</x:v>
      </x:c>
      <x:c r="M568" s="18" t="n">
        <x:f>ROUND(I568*'参数'!$B$24,0)</x:f>
        <x:v>2658</x:v>
      </x:c>
      <x:c r="N568" s="18" t="n">
        <x:f>'参数'!$B$9*'参数'!$B$10^(D568-1)</x:f>
        <x:v>11195.319600498813</x:v>
      </x:c>
      <x:c r="O568" s="18" t="n">
        <x:f>'参数'!$B$18*'参数'!$B$19^(MIN(E568,MAX(1,5*INT(D568/5)))-1)*F568*'参数'!$J$30*P568</x:f>
        <x:v>2103.552925769118</x:v>
      </x:c>
      <x:c r="P568" s="21" t="n">
        <x:f>MIN(1,(D568-1)/19)</x:f>
        <x:v>1</x:v>
      </x:c>
      <x:c r="Q568" s="18" t="n">
        <x:f>INDEX('角色成长'!$F$6:$F$105,D568)+O568*'参数'!$K$21</x:f>
        <x:v>10629.125838441985</x:v>
      </x:c>
      <x:c r="R568" s="18" t="n">
        <x:f>INDEX('角色成长'!$I$6:$I$105,D568)+O568*'参数'!$K$21</x:f>
        <x:v>9331.125838441985</x:v>
      </x:c>
      <x:c r="S568" s="18" t="n">
        <x:f>INDEX('角色成长'!$L$6:$L$105,D568)+O568*'参数'!$K$21</x:f>
        <x:v>8590.125838441985</x:v>
      </x:c>
      <x:c r="T568" s="18" t="n">
        <x:f>(INDEX('角色成长'!$J$6:$J$105,D568)+O568*'参数'!$L$21)*(1+'参数'!$B$40*P568)</x:f>
        <x:v>118666.76244728187</x:v>
      </x:c>
      <x:c r="U568" s="18" t="n">
        <x:f>(INDEX('角色成长'!$K$6:$K$105,D568)+O568*'参数'!$M$21)*(1+'参数'!$B$41*P568)</x:f>
        <x:v>6699.239382105553</x:v>
      </x:c>
      <x:c r="V568" s="18" t="n">
        <x:f>(('参数'!$K$5*(((Q568*(1+'参数'!$B$39*P568))^2/((Q568*(1+'参数'!$B$39*P568))+'参数'!$B$22*(I568)))*(1+'参数'!$B$42*P568)/'参数'!$J$5+((Q568*'参数'!$B$43*(1+'参数'!$B$39*P568))^2/((Q568*'参数'!$B$43*(1+'参数'!$B$39*P568))+'参数'!$B$22*(I568)))/'参数'!$B$44))+(((R568*(1+'参数'!$B$39*P568))^2/((R568*(1+'参数'!$B$39*P568))+'参数'!$B$22*(I568)))*(1+'参数'!$B$42*P568)/'参数'!$J$6+((R568*'参数'!$B$45*(1+'参数'!$B$39*P568))^2/((R568*'参数'!$B$45*(1+'参数'!$B$39*P568))+'参数'!$B$22*(I568)))/'参数'!$B$46)+((S568*(1+'参数'!$B$39*P568))^2/((S568*(1+'参数'!$B$39*P568))+'参数'!$B$22*(I568)))*(1+'参数'!$B$42*P568)/'参数'!$J$7)*(1+'参数'!$B$37*('参数'!$B$38-1))*'参数'!$B$25</x:f>
        <x:v>72276.65152942482</x:v>
      </x:c>
      <x:c r="W568" s="18" t="n">
        <x:f>(('参数'!$K$5*(((Q568*(1+'参数'!$B$39*P568))^2/((Q568*(1+'参数'!$B$39*P568))+'参数'!$B$22*(M568)))*(1+'参数'!$B$42*P568)/'参数'!$J$5+((Q568*'参数'!$B$43*(1+'参数'!$B$39*P568))^2/((Q568*'参数'!$B$43*(1+'参数'!$B$39*P568))+'参数'!$B$22*(M568)))/'参数'!$B$44))+(((R568*(1+'参数'!$B$39*P568))^2/((R568*(1+'参数'!$B$39*P568))+'参数'!$B$22*(M568)))*(1+'参数'!$B$42*P568)/'参数'!$J$6+((R568*'参数'!$B$45*(1+'参数'!$B$39*P568))^2/((R568*'参数'!$B$45*(1+'参数'!$B$39*P568))+'参数'!$B$22*(M568)))/'参数'!$B$46)+((S568*(1+'参数'!$B$39*P568))^2/((S568*(1+'参数'!$B$39*P568))+'参数'!$B$22*(M568)))*(1+'参数'!$B$42*P568)/'参数'!$J$7)*(1+'参数'!$B$37*('参数'!$B$38-1))</x:f>
        <x:v>55684.2511674383</x:v>
      </x:c>
      <x:c r="X568" s="25" t="n">
        <x:f>('参数'!$B$26+'参数'!$B$27*(D568-1)/99)*'参数'!$K$30*AD568</x:f>
        <x:v>31.776806722689077</x:v>
      </x:c>
      <x:c r="Y568" s="25" t="n">
        <x:f>('参数'!$B$28+'参数'!$B$29*(D568-1)/99)*'参数'!$K$30*AD568*IF(AE568=1,'参数'!$B$51,1)</x:f>
        <x:v>88.26890756302521</x:v>
      </x:c>
      <x:c r="Z568" s="21" t="n">
        <x:f>MIN('参数'!$B$36,U568/(U568+'参数'!$B$35))</x:f>
        <x:v>0.6261416482848315</x:v>
      </x:c>
      <x:c r="AA568" s="18" t="n">
        <x:f>T568*'参数'!$B$30/('参数'!$B$32*'参数'!$B$33)/(1-Z568)*AC568</x:f>
        <x:v>11303.166622711353</x:v>
      </x:c>
      <x:c r="AB568" s="18" t="n">
        <x:f>T568*'参数'!$B$31/'参数'!$B$34/(1-Z568)*AC568</x:f>
        <x:v>22606.333245422706</x:v>
      </x:c>
      <x:c r="AC568" s="15" t="n">
        <x:f>'参数'!$L$30*(1+'参数'!$B$53*(B568-1)/119)</x:f>
        <x:v>1.424420168067227</x:v>
      </x:c>
      <x:c r="AD568" s="15" t="n">
        <x:f>1+'参数'!$B$52*(B568-1)/119</x:f>
        <x:v>1.1033613445378152</x:v>
      </x:c>
      <x:c r="AE568" s="18" t="n">
        <x:f>IF(MOD(B568,12)=0,1,0)</x:f>
        <x:v>0</x:v>
      </x:c>
    </x:row>
    <x:row r="569" ht="22" customHeight="1">
      <x:c r="A569" s="19" t="str">
        <x:v>折磨</x:v>
      </x:c>
      <x:c r="B569" s="19" t="n">
        <x:v>84</x:v>
      </x:c>
      <x:c r="C569" s="19" t="n">
        <x:f>ROUNDUP(B569/12,0)</x:f>
        <x:v>7</x:v>
      </x:c>
      <x:c r="D569" s="19" t="n">
        <x:f>ROUND(MAX('参数'!$G$30,E569)+(IF(C569&lt;10,INDEX('参数'!$G$38:$P$38,1,MIN(10,C569+1)),'参数'!$H$30)-MAX('参数'!$G$30,E569))*MOD(B569-1,12)/11,0)</x:f>
        <x:v>100</x:v>
      </x:c>
      <x:c r="E569" s="19" t="n">
        <x:f>INDEX('参数'!$G$38:$P$38,1,C569)</x:f>
        <x:v>100</x:v>
      </x:c>
      <x:c r="F569" s="20" t="n">
        <x:f>'参数'!$I$30</x:f>
        <x:v>1.43</x:v>
      </x:c>
      <x:c r="G569" s="19" t="n">
        <x:f>ROUND(V569*X569/'参数'!$B$56,0)</x:f>
        <x:v>499858</x:v>
      </x:c>
      <x:c r="H569" s="19" t="n">
        <x:f>ROUND((AA569+SQRT(AA569^2+4*AA569*'参数'!$B$22*U569))/2,0)</x:f>
        <x:v>16911</x:v>
      </x:c>
      <x:c r="I569" s="19" t="n">
        <x:f>ROUND(Q569*'参数'!$B$23/'参数'!$B$22,0)</x:f>
        <x:v>2126</x:v>
      </x:c>
      <x:c r="J569" s="19" t="n">
        <x:f>ROUND(G569*'参数'!$B$50,0)</x:f>
        <x:v>1499574</x:v>
      </x:c>
      <x:c r="K569" s="19" t="n">
        <x:f>ROUND(W569*Y569,0)</x:f>
        <x:v>5658924</x:v>
      </x:c>
      <x:c r="L569" s="19" t="n">
        <x:f>ROUND((AB569+SQRT(AB569^2+4*AB569*'参数'!$B$22*U569))/2,0)</x:f>
        <x:v>29125</x:v>
      </x:c>
      <x:c r="M569" s="19" t="n">
        <x:f>ROUND(I569*'参数'!$B$24,0)</x:f>
        <x:v>2658</x:v>
      </x:c>
      <x:c r="N569" s="19" t="n">
        <x:f>'参数'!$B$9*'参数'!$B$10^(D569-1)</x:f>
        <x:v>11195.319600498813</x:v>
      </x:c>
      <x:c r="O569" s="19" t="n">
        <x:f>'参数'!$B$18*'参数'!$B$19^(MIN(E569,MAX(1,5*INT(D569/5)))-1)*F569*'参数'!$J$30*P569</x:f>
        <x:v>2103.552925769118</x:v>
      </x:c>
      <x:c r="P569" s="22" t="n">
        <x:f>MIN(1,(D569-1)/19)</x:f>
        <x:v>1</x:v>
      </x:c>
      <x:c r="Q569" s="19" t="n">
        <x:f>INDEX('角色成长'!$F$6:$F$105,D569)+O569*'参数'!$K$21</x:f>
        <x:v>10629.125838441985</x:v>
      </x:c>
      <x:c r="R569" s="19" t="n">
        <x:f>INDEX('角色成长'!$I$6:$I$105,D569)+O569*'参数'!$K$21</x:f>
        <x:v>9331.125838441985</x:v>
      </x:c>
      <x:c r="S569" s="19" t="n">
        <x:f>INDEX('角色成长'!$L$6:$L$105,D569)+O569*'参数'!$K$21</x:f>
        <x:v>8590.125838441985</x:v>
      </x:c>
      <x:c r="T569" s="19" t="n">
        <x:f>(INDEX('角色成长'!$J$6:$J$105,D569)+O569*'参数'!$L$21)*(1+'参数'!$B$40*P569)</x:f>
        <x:v>118666.76244728187</x:v>
      </x:c>
      <x:c r="U569" s="19" t="n">
        <x:f>(INDEX('角色成长'!$K$6:$K$105,D569)+O569*'参数'!$M$21)*(1+'参数'!$B$41*P569)</x:f>
        <x:v>6699.239382105553</x:v>
      </x:c>
      <x:c r="V569" s="19" t="n">
        <x:f>(('参数'!$K$5*(((Q569*(1+'参数'!$B$39*P569))^2/((Q569*(1+'参数'!$B$39*P569))+'参数'!$B$22*(I569)))*(1+'参数'!$B$42*P569)/'参数'!$J$5+((Q569*'参数'!$B$43*(1+'参数'!$B$39*P569))^2/((Q569*'参数'!$B$43*(1+'参数'!$B$39*P569))+'参数'!$B$22*(I569)))/'参数'!$B$44))+(((R569*(1+'参数'!$B$39*P569))^2/((R569*(1+'参数'!$B$39*P569))+'参数'!$B$22*(I569)))*(1+'参数'!$B$42*P569)/'参数'!$J$6+((R569*'参数'!$B$45*(1+'参数'!$B$39*P569))^2/((R569*'参数'!$B$45*(1+'参数'!$B$39*P569))+'参数'!$B$22*(I569)))/'参数'!$B$46)+((S569*(1+'参数'!$B$39*P569))^2/((S569*(1+'参数'!$B$39*P569))+'参数'!$B$22*(I569)))*(1+'参数'!$B$42*P569)/'参数'!$J$7)*(1+'参数'!$B$37*('参数'!$B$38-1))*'参数'!$B$25</x:f>
        <x:v>72276.65152942482</x:v>
      </x:c>
      <x:c r="W569" s="19" t="n">
        <x:f>(('参数'!$K$5*(((Q569*(1+'参数'!$B$39*P569))^2/((Q569*(1+'参数'!$B$39*P569))+'参数'!$B$22*(M569)))*(1+'参数'!$B$42*P569)/'参数'!$J$5+((Q569*'参数'!$B$43*(1+'参数'!$B$39*P569))^2/((Q569*'参数'!$B$43*(1+'参数'!$B$39*P569))+'参数'!$B$22*(M569)))/'参数'!$B$44))+(((R569*(1+'参数'!$B$39*P569))^2/((R569*(1+'参数'!$B$39*P569))+'参数'!$B$22*(M569)))*(1+'参数'!$B$42*P569)/'参数'!$J$6+((R569*'参数'!$B$45*(1+'参数'!$B$39*P569))^2/((R569*'参数'!$B$45*(1+'参数'!$B$39*P569))+'参数'!$B$22*(M569)))/'参数'!$B$46)+((S569*(1+'参数'!$B$39*P569))^2/((S569*(1+'参数'!$B$39*P569))+'参数'!$B$22*(M569)))*(1+'参数'!$B$42*P569)/'参数'!$J$7)*(1+'参数'!$B$37*('参数'!$B$38-1))</x:f>
        <x:v>55684.2511674383</x:v>
      </x:c>
      <x:c r="X569" s="26" t="n">
        <x:f>('参数'!$B$26+'参数'!$B$27*(D569-1)/99)*'参数'!$K$30*AD569</x:f>
        <x:v>31.813109243697482</x:v>
      </x:c>
      <x:c r="Y569" s="26" t="n">
        <x:f>('参数'!$B$28+'参数'!$B$29*(D569-1)/99)*'参数'!$K$30*AD569*IF(AE569=1,'参数'!$B$51,1)</x:f>
        <x:v>101.62521008403363</x:v>
      </x:c>
      <x:c r="Z569" s="22" t="n">
        <x:f>MIN('参数'!$B$36,U569/(U569+'参数'!$B$35))</x:f>
        <x:v>0.6261416482848315</x:v>
      </x:c>
      <x:c r="AA569" s="19" t="n">
        <x:f>T569*'参数'!$B$30/('参数'!$B$32*'参数'!$B$33)/(1-Z569)*AC569</x:f>
        <x:v>11310.368385452808</x:v>
      </x:c>
      <x:c r="AB569" s="19" t="n">
        <x:f>T569*'参数'!$B$31/'参数'!$B$34/(1-Z569)*AC569</x:f>
        <x:v>22620.736770905616</x:v>
      </x:c>
      <x:c r="AC569" s="20" t="n">
        <x:f>'参数'!$L$30*(1+'参数'!$B$53*(B569-1)/119)</x:f>
        <x:v>1.4253277310924373</x:v>
      </x:c>
      <x:c r="AD569" s="20" t="n">
        <x:f>1+'参数'!$B$52*(B569-1)/119</x:f>
        <x:v>1.1046218487394959</x:v>
      </x:c>
      <x:c r="AE569" s="19" t="n">
        <x:f>IF(MOD(B569,12)=0,1,0)</x:f>
        <x:v>1</x:v>
      </x:c>
    </x:row>
    <x:row r="570" ht="22" customHeight="1">
      <x:c r="A570" s="18" t="str">
        <x:v>折磨</x:v>
      </x:c>
      <x:c r="B570" s="18" t="n">
        <x:v>85</x:v>
      </x:c>
      <x:c r="C570" s="18" t="n">
        <x:f>ROUNDUP(B570/12,0)</x:f>
        <x:v>8</x:v>
      </x:c>
      <x:c r="D570" s="18" t="n">
        <x:f>ROUND(MAX('参数'!$G$30,E570)+(IF(C570&lt;10,INDEX('参数'!$G$38:$P$38,1,MIN(10,C570+1)),'参数'!$H$30)-MAX('参数'!$G$30,E570))*MOD(B570-1,12)/11,0)</x:f>
        <x:v>100</x:v>
      </x:c>
      <x:c r="E570" s="18" t="n">
        <x:f>INDEX('参数'!$G$38:$P$38,1,C570)</x:f>
        <x:v>100</x:v>
      </x:c>
      <x:c r="F570" s="15" t="n">
        <x:f>'参数'!$I$30</x:f>
        <x:v>1.43</x:v>
      </x:c>
      <x:c r="G570" s="18" t="n">
        <x:f>ROUND(V570*X570/'参数'!$B$56,0)</x:f>
        <x:v>500428</x:v>
      </x:c>
      <x:c r="H570" s="18" t="n">
        <x:f>ROUND((AA570+SQRT(AA570^2+4*AA570*'参数'!$B$22*U570))/2,0)</x:f>
        <x:v>16919</x:v>
      </x:c>
      <x:c r="I570" s="18" t="n">
        <x:f>ROUND(Q570*'参数'!$B$23/'参数'!$B$22,0)</x:f>
        <x:v>2126</x:v>
      </x:c>
      <x:c r="J570" s="18" t="n">
        <x:f>ROUND(G570*'参数'!$B$50,0)</x:f>
        <x:v>1501284</x:v>
      </x:c>
      <x:c r="K570" s="18" t="n">
        <x:f>ROUND(W570*Y570,0)</x:f>
        <x:v>4926418</x:v>
      </x:c>
      <x:c r="L570" s="18" t="n">
        <x:f>ROUND((AB570+SQRT(AB570^2+4*AB570*'参数'!$B$22*U570))/2,0)</x:f>
        <x:v>29140</x:v>
      </x:c>
      <x:c r="M570" s="18" t="n">
        <x:f>ROUND(I570*'参数'!$B$24,0)</x:f>
        <x:v>2658</x:v>
      </x:c>
      <x:c r="N570" s="18" t="n">
        <x:f>'参数'!$B$9*'参数'!$B$10^(D570-1)</x:f>
        <x:v>11195.319600498813</x:v>
      </x:c>
      <x:c r="O570" s="18" t="n">
        <x:f>'参数'!$B$18*'参数'!$B$19^(MIN(E570,MAX(1,5*INT(D570/5)))-1)*F570*'参数'!$J$30*P570</x:f>
        <x:v>2103.552925769118</x:v>
      </x:c>
      <x:c r="P570" s="21" t="n">
        <x:f>MIN(1,(D570-1)/19)</x:f>
        <x:v>1</x:v>
      </x:c>
      <x:c r="Q570" s="18" t="n">
        <x:f>INDEX('角色成长'!$F$6:$F$105,D570)+O570*'参数'!$K$21</x:f>
        <x:v>10629.125838441985</x:v>
      </x:c>
      <x:c r="R570" s="18" t="n">
        <x:f>INDEX('角色成长'!$I$6:$I$105,D570)+O570*'参数'!$K$21</x:f>
        <x:v>9331.125838441985</x:v>
      </x:c>
      <x:c r="S570" s="18" t="n">
        <x:f>INDEX('角色成长'!$L$6:$L$105,D570)+O570*'参数'!$K$21</x:f>
        <x:v>8590.125838441985</x:v>
      </x:c>
      <x:c r="T570" s="18" t="n">
        <x:f>(INDEX('角色成长'!$J$6:$J$105,D570)+O570*'参数'!$L$21)*(1+'参数'!$B$40*P570)</x:f>
        <x:v>118666.76244728187</x:v>
      </x:c>
      <x:c r="U570" s="18" t="n">
        <x:f>(INDEX('角色成长'!$K$6:$K$105,D570)+O570*'参数'!$M$21)*(1+'参数'!$B$41*P570)</x:f>
        <x:v>6699.239382105553</x:v>
      </x:c>
      <x:c r="V570" s="18" t="n">
        <x:f>(('参数'!$K$5*(((Q570*(1+'参数'!$B$39*P570))^2/((Q570*(1+'参数'!$B$39*P570))+'参数'!$B$22*(I570)))*(1+'参数'!$B$42*P570)/'参数'!$J$5+((Q570*'参数'!$B$43*(1+'参数'!$B$39*P570))^2/((Q570*'参数'!$B$43*(1+'参数'!$B$39*P570))+'参数'!$B$22*(I570)))/'参数'!$B$44))+(((R570*(1+'参数'!$B$39*P570))^2/((R570*(1+'参数'!$B$39*P570))+'参数'!$B$22*(I570)))*(1+'参数'!$B$42*P570)/'参数'!$J$6+((R570*'参数'!$B$45*(1+'参数'!$B$39*P570))^2/((R570*'参数'!$B$45*(1+'参数'!$B$39*P570))+'参数'!$B$22*(I570)))/'参数'!$B$46)+((S570*(1+'参数'!$B$39*P570))^2/((S570*(1+'参数'!$B$39*P570))+'参数'!$B$22*(I570)))*(1+'参数'!$B$42*P570)/'参数'!$J$7)*(1+'参数'!$B$37*('参数'!$B$38-1))*'参数'!$B$25</x:f>
        <x:v>72276.65152942482</x:v>
      </x:c>
      <x:c r="W570" s="18" t="n">
        <x:f>(('参数'!$K$5*(((Q570*(1+'参数'!$B$39*P570))^2/((Q570*(1+'参数'!$B$39*P570))+'参数'!$B$22*(M570)))*(1+'参数'!$B$42*P570)/'参数'!$J$5+((Q570*'参数'!$B$43*(1+'参数'!$B$39*P570))^2/((Q570*'参数'!$B$43*(1+'参数'!$B$39*P570))+'参数'!$B$22*(M570)))/'参数'!$B$44))+(((R570*(1+'参数'!$B$39*P570))^2/((R570*(1+'参数'!$B$39*P570))+'参数'!$B$22*(M570)))*(1+'参数'!$B$42*P570)/'参数'!$J$6+((R570*'参数'!$B$45*(1+'参数'!$B$39*P570))^2/((R570*'参数'!$B$45*(1+'参数'!$B$39*P570))+'参数'!$B$22*(M570)))/'参数'!$B$46)+((S570*(1+'参数'!$B$39*P570))^2/((S570*(1+'参数'!$B$39*P570))+'参数'!$B$22*(M570)))*(1+'参数'!$B$42*P570)/'参数'!$J$7)*(1+'参数'!$B$37*('参数'!$B$38-1))</x:f>
        <x:v>55684.2511674383</x:v>
      </x:c>
      <x:c r="X570" s="25" t="n">
        <x:f>('参数'!$B$26+'参数'!$B$27*(D570-1)/99)*'参数'!$K$30*AD570</x:f>
        <x:v>31.849411764705884</x:v>
      </x:c>
      <x:c r="Y570" s="25" t="n">
        <x:f>('参数'!$B$28+'参数'!$B$29*(D570-1)/99)*'参数'!$K$30*AD570*IF(AE570=1,'参数'!$B$51,1)</x:f>
        <x:v>88.47058823529412</x:v>
      </x:c>
      <x:c r="Z570" s="21" t="n">
        <x:f>MIN('参数'!$B$36,U570/(U570+'参数'!$B$35))</x:f>
        <x:v>0.6261416482848315</x:v>
      </x:c>
      <x:c r="AA570" s="18" t="n">
        <x:f>T570*'参数'!$B$30/('参数'!$B$32*'参数'!$B$33)/(1-Z570)*AC570</x:f>
        <x:v>11317.57014819426</x:v>
      </x:c>
      <x:c r="AB570" s="18" t="n">
        <x:f>T570*'参数'!$B$31/'参数'!$B$34/(1-Z570)*AC570</x:f>
        <x:v>22635.14029638852</x:v>
      </x:c>
      <x:c r="AC570" s="15" t="n">
        <x:f>'参数'!$L$30*(1+'参数'!$B$53*(B570-1)/119)</x:f>
        <x:v>1.426235294117647</x:v>
      </x:c>
      <x:c r="AD570" s="15" t="n">
        <x:f>1+'参数'!$B$52*(B570-1)/119</x:f>
        <x:v>1.1058823529411765</x:v>
      </x:c>
      <x:c r="AE570" s="18" t="n">
        <x:f>IF(MOD(B570,12)=0,1,0)</x:f>
        <x:v>0</x:v>
      </x:c>
    </x:row>
    <x:row r="571" ht="22" customHeight="1">
      <x:c r="A571" s="19" t="str">
        <x:v>折磨</x:v>
      </x:c>
      <x:c r="B571" s="19" t="n">
        <x:v>86</x:v>
      </x:c>
      <x:c r="C571" s="19" t="n">
        <x:f>ROUNDUP(B571/12,0)</x:f>
        <x:v>8</x:v>
      </x:c>
      <x:c r="D571" s="19" t="n">
        <x:f>ROUND(MAX('参数'!$G$30,E571)+(IF(C571&lt;10,INDEX('参数'!$G$38:$P$38,1,MIN(10,C571+1)),'参数'!$H$30)-MAX('参数'!$G$30,E571))*MOD(B571-1,12)/11,0)</x:f>
        <x:v>100</x:v>
      </x:c>
      <x:c r="E571" s="19" t="n">
        <x:f>INDEX('参数'!$G$38:$P$38,1,C571)</x:f>
        <x:v>100</x:v>
      </x:c>
      <x:c r="F571" s="20" t="n">
        <x:f>'参数'!$I$30</x:f>
        <x:v>1.43</x:v>
      </x:c>
      <x:c r="G571" s="19" t="n">
        <x:f>ROUND(V571*X571/'参数'!$B$56,0)</x:f>
        <x:v>500998</x:v>
      </x:c>
      <x:c r="H571" s="19" t="n">
        <x:f>ROUND((AA571+SQRT(AA571^2+4*AA571*'参数'!$B$22*U571))/2,0)</x:f>
        <x:v>16927</x:v>
      </x:c>
      <x:c r="I571" s="19" t="n">
        <x:f>ROUND(Q571*'参数'!$B$23/'参数'!$B$22,0)</x:f>
        <x:v>2126</x:v>
      </x:c>
      <x:c r="J571" s="19" t="n">
        <x:f>ROUND(G571*'参数'!$B$50,0)</x:f>
        <x:v>1502994</x:v>
      </x:c>
      <x:c r="K571" s="19" t="n">
        <x:f>ROUND(W571*Y571,0)</x:f>
        <x:v>4932034</x:v>
      </x:c>
      <x:c r="L571" s="19" t="n">
        <x:f>ROUND((AB571+SQRT(AB571^2+4*AB571*'参数'!$B$22*U571))/2,0)</x:f>
        <x:v>29155</x:v>
      </x:c>
      <x:c r="M571" s="19" t="n">
        <x:f>ROUND(I571*'参数'!$B$24,0)</x:f>
        <x:v>2658</x:v>
      </x:c>
      <x:c r="N571" s="19" t="n">
        <x:f>'参数'!$B$9*'参数'!$B$10^(D571-1)</x:f>
        <x:v>11195.319600498813</x:v>
      </x:c>
      <x:c r="O571" s="19" t="n">
        <x:f>'参数'!$B$18*'参数'!$B$19^(MIN(E571,MAX(1,5*INT(D571/5)))-1)*F571*'参数'!$J$30*P571</x:f>
        <x:v>2103.552925769118</x:v>
      </x:c>
      <x:c r="P571" s="22" t="n">
        <x:f>MIN(1,(D571-1)/19)</x:f>
        <x:v>1</x:v>
      </x:c>
      <x:c r="Q571" s="19" t="n">
        <x:f>INDEX('角色成长'!$F$6:$F$105,D571)+O571*'参数'!$K$21</x:f>
        <x:v>10629.125838441985</x:v>
      </x:c>
      <x:c r="R571" s="19" t="n">
        <x:f>INDEX('角色成长'!$I$6:$I$105,D571)+O571*'参数'!$K$21</x:f>
        <x:v>9331.125838441985</x:v>
      </x:c>
      <x:c r="S571" s="19" t="n">
        <x:f>INDEX('角色成长'!$L$6:$L$105,D571)+O571*'参数'!$K$21</x:f>
        <x:v>8590.125838441985</x:v>
      </x:c>
      <x:c r="T571" s="19" t="n">
        <x:f>(INDEX('角色成长'!$J$6:$J$105,D571)+O571*'参数'!$L$21)*(1+'参数'!$B$40*P571)</x:f>
        <x:v>118666.76244728187</x:v>
      </x:c>
      <x:c r="U571" s="19" t="n">
        <x:f>(INDEX('角色成长'!$K$6:$K$105,D571)+O571*'参数'!$M$21)*(1+'参数'!$B$41*P571)</x:f>
        <x:v>6699.239382105553</x:v>
      </x:c>
      <x:c r="V571" s="19" t="n">
        <x:f>(('参数'!$K$5*(((Q571*(1+'参数'!$B$39*P571))^2/((Q571*(1+'参数'!$B$39*P571))+'参数'!$B$22*(I571)))*(1+'参数'!$B$42*P571)/'参数'!$J$5+((Q571*'参数'!$B$43*(1+'参数'!$B$39*P571))^2/((Q571*'参数'!$B$43*(1+'参数'!$B$39*P571))+'参数'!$B$22*(I571)))/'参数'!$B$44))+(((R571*(1+'参数'!$B$39*P571))^2/((R571*(1+'参数'!$B$39*P571))+'参数'!$B$22*(I571)))*(1+'参数'!$B$42*P571)/'参数'!$J$6+((R571*'参数'!$B$45*(1+'参数'!$B$39*P571))^2/((R571*'参数'!$B$45*(1+'参数'!$B$39*P571))+'参数'!$B$22*(I571)))/'参数'!$B$46)+((S571*(1+'参数'!$B$39*P571))^2/((S571*(1+'参数'!$B$39*P571))+'参数'!$B$22*(I571)))*(1+'参数'!$B$42*P571)/'参数'!$J$7)*(1+'参数'!$B$37*('参数'!$B$38-1))*'参数'!$B$25</x:f>
        <x:v>72276.65152942482</x:v>
      </x:c>
      <x:c r="W571" s="19" t="n">
        <x:f>(('参数'!$K$5*(((Q571*(1+'参数'!$B$39*P571))^2/((Q571*(1+'参数'!$B$39*P571))+'参数'!$B$22*(M571)))*(1+'参数'!$B$42*P571)/'参数'!$J$5+((Q571*'参数'!$B$43*(1+'参数'!$B$39*P571))^2/((Q571*'参数'!$B$43*(1+'参数'!$B$39*P571))+'参数'!$B$22*(M571)))/'参数'!$B$44))+(((R571*(1+'参数'!$B$39*P571))^2/((R571*(1+'参数'!$B$39*P571))+'参数'!$B$22*(M571)))*(1+'参数'!$B$42*P571)/'参数'!$J$6+((R571*'参数'!$B$45*(1+'参数'!$B$39*P571))^2/((R571*'参数'!$B$45*(1+'参数'!$B$39*P571))+'参数'!$B$22*(M571)))/'参数'!$B$46)+((S571*(1+'参数'!$B$39*P571))^2/((S571*(1+'参数'!$B$39*P571))+'参数'!$B$22*(M571)))*(1+'参数'!$B$42*P571)/'参数'!$J$7)*(1+'参数'!$B$37*('参数'!$B$38-1))</x:f>
        <x:v>55684.2511674383</x:v>
      </x:c>
      <x:c r="X571" s="26" t="n">
        <x:f>('参数'!$B$26+'参数'!$B$27*(D571-1)/99)*'参数'!$K$30*AD571</x:f>
        <x:v>31.88571428571429</x:v>
      </x:c>
      <x:c r="Y571" s="26" t="n">
        <x:f>('参数'!$B$28+'参数'!$B$29*(D571-1)/99)*'参数'!$K$30*AD571*IF(AE571=1,'参数'!$B$51,1)</x:f>
        <x:v>88.57142857142858</x:v>
      </x:c>
      <x:c r="Z571" s="22" t="n">
        <x:f>MIN('参数'!$B$36,U571/(U571+'参数'!$B$35))</x:f>
        <x:v>0.6261416482848315</x:v>
      </x:c>
      <x:c r="AA571" s="19" t="n">
        <x:f>T571*'参数'!$B$30/('参数'!$B$32*'参数'!$B$33)/(1-Z571)*AC571</x:f>
        <x:v>11324.771910935713</x:v>
      </x:c>
      <x:c r="AB571" s="19" t="n">
        <x:f>T571*'参数'!$B$31/'参数'!$B$34/(1-Z571)*AC571</x:f>
        <x:v>22649.543821871426</x:v>
      </x:c>
      <x:c r="AC571" s="20" t="n">
        <x:f>'参数'!$L$30*(1+'参数'!$B$53*(B571-1)/119)</x:f>
        <x:v>1.4271428571428573</x:v>
      </x:c>
      <x:c r="AD571" s="20" t="n">
        <x:f>1+'参数'!$B$52*(B571-1)/119</x:f>
        <x:v>1.1071428571428572</x:v>
      </x:c>
      <x:c r="AE571" s="19" t="n">
        <x:f>IF(MOD(B571,12)=0,1,0)</x:f>
        <x:v>0</x:v>
      </x:c>
    </x:row>
    <x:row r="572" ht="22" customHeight="1">
      <x:c r="A572" s="18" t="str">
        <x:v>折磨</x:v>
      </x:c>
      <x:c r="B572" s="18" t="n">
        <x:v>87</x:v>
      </x:c>
      <x:c r="C572" s="18" t="n">
        <x:f>ROUNDUP(B572/12,0)</x:f>
        <x:v>8</x:v>
      </x:c>
      <x:c r="D572" s="18" t="n">
        <x:f>ROUND(MAX('参数'!$G$30,E572)+(IF(C572&lt;10,INDEX('参数'!$G$38:$P$38,1,MIN(10,C572+1)),'参数'!$H$30)-MAX('参数'!$G$30,E572))*MOD(B572-1,12)/11,0)</x:f>
        <x:v>100</x:v>
      </x:c>
      <x:c r="E572" s="18" t="n">
        <x:f>INDEX('参数'!$G$38:$P$38,1,C572)</x:f>
        <x:v>100</x:v>
      </x:c>
      <x:c r="F572" s="15" t="n">
        <x:f>'参数'!$I$30</x:f>
        <x:v>1.43</x:v>
      </x:c>
      <x:c r="G572" s="18" t="n">
        <x:f>ROUND(V572*X572/'参数'!$B$56,0)</x:f>
        <x:v>501569</x:v>
      </x:c>
      <x:c r="H572" s="18" t="n">
        <x:f>ROUND((AA572+SQRT(AA572^2+4*AA572*'参数'!$B$22*U572))/2,0)</x:f>
        <x:v>16935</x:v>
      </x:c>
      <x:c r="I572" s="18" t="n">
        <x:f>ROUND(Q572*'参数'!$B$23/'参数'!$B$22,0)</x:f>
        <x:v>2126</x:v>
      </x:c>
      <x:c r="J572" s="18" t="n">
        <x:f>ROUND(G572*'参数'!$B$50,0)</x:f>
        <x:v>1504707</x:v>
      </x:c>
      <x:c r="K572" s="18" t="n">
        <x:f>ROUND(W572*Y572,0)</x:f>
        <x:v>4937649</x:v>
      </x:c>
      <x:c r="L572" s="18" t="n">
        <x:f>ROUND((AB572+SQRT(AB572^2+4*AB572*'参数'!$B$22*U572))/2,0)</x:f>
        <x:v>29170</x:v>
      </x:c>
      <x:c r="M572" s="18" t="n">
        <x:f>ROUND(I572*'参数'!$B$24,0)</x:f>
        <x:v>2658</x:v>
      </x:c>
      <x:c r="N572" s="18" t="n">
        <x:f>'参数'!$B$9*'参数'!$B$10^(D572-1)</x:f>
        <x:v>11195.319600498813</x:v>
      </x:c>
      <x:c r="O572" s="18" t="n">
        <x:f>'参数'!$B$18*'参数'!$B$19^(MIN(E572,MAX(1,5*INT(D572/5)))-1)*F572*'参数'!$J$30*P572</x:f>
        <x:v>2103.552925769118</x:v>
      </x:c>
      <x:c r="P572" s="21" t="n">
        <x:f>MIN(1,(D572-1)/19)</x:f>
        <x:v>1</x:v>
      </x:c>
      <x:c r="Q572" s="18" t="n">
        <x:f>INDEX('角色成长'!$F$6:$F$105,D572)+O572*'参数'!$K$21</x:f>
        <x:v>10629.125838441985</x:v>
      </x:c>
      <x:c r="R572" s="18" t="n">
        <x:f>INDEX('角色成长'!$I$6:$I$105,D572)+O572*'参数'!$K$21</x:f>
        <x:v>9331.125838441985</x:v>
      </x:c>
      <x:c r="S572" s="18" t="n">
        <x:f>INDEX('角色成长'!$L$6:$L$105,D572)+O572*'参数'!$K$21</x:f>
        <x:v>8590.125838441985</x:v>
      </x:c>
      <x:c r="T572" s="18" t="n">
        <x:f>(INDEX('角色成长'!$J$6:$J$105,D572)+O572*'参数'!$L$21)*(1+'参数'!$B$40*P572)</x:f>
        <x:v>118666.76244728187</x:v>
      </x:c>
      <x:c r="U572" s="18" t="n">
        <x:f>(INDEX('角色成长'!$K$6:$K$105,D572)+O572*'参数'!$M$21)*(1+'参数'!$B$41*P572)</x:f>
        <x:v>6699.239382105553</x:v>
      </x:c>
      <x:c r="V572" s="18" t="n">
        <x:f>(('参数'!$K$5*(((Q572*(1+'参数'!$B$39*P572))^2/((Q572*(1+'参数'!$B$39*P572))+'参数'!$B$22*(I572)))*(1+'参数'!$B$42*P572)/'参数'!$J$5+((Q572*'参数'!$B$43*(1+'参数'!$B$39*P572))^2/((Q572*'参数'!$B$43*(1+'参数'!$B$39*P572))+'参数'!$B$22*(I572)))/'参数'!$B$44))+(((R572*(1+'参数'!$B$39*P572))^2/((R572*(1+'参数'!$B$39*P572))+'参数'!$B$22*(I572)))*(1+'参数'!$B$42*P572)/'参数'!$J$6+((R572*'参数'!$B$45*(1+'参数'!$B$39*P572))^2/((R572*'参数'!$B$45*(1+'参数'!$B$39*P572))+'参数'!$B$22*(I572)))/'参数'!$B$46)+((S572*(1+'参数'!$B$39*P572))^2/((S572*(1+'参数'!$B$39*P572))+'参数'!$B$22*(I572)))*(1+'参数'!$B$42*P572)/'参数'!$J$7)*(1+'参数'!$B$37*('参数'!$B$38-1))*'参数'!$B$25</x:f>
        <x:v>72276.65152942482</x:v>
      </x:c>
      <x:c r="W572" s="18" t="n">
        <x:f>(('参数'!$K$5*(((Q572*(1+'参数'!$B$39*P572))^2/((Q572*(1+'参数'!$B$39*P572))+'参数'!$B$22*(M572)))*(1+'参数'!$B$42*P572)/'参数'!$J$5+((Q572*'参数'!$B$43*(1+'参数'!$B$39*P572))^2/((Q572*'参数'!$B$43*(1+'参数'!$B$39*P572))+'参数'!$B$22*(M572)))/'参数'!$B$44))+(((R572*(1+'参数'!$B$39*P572))^2/((R572*(1+'参数'!$B$39*P572))+'参数'!$B$22*(M572)))*(1+'参数'!$B$42*P572)/'参数'!$J$6+((R572*'参数'!$B$45*(1+'参数'!$B$39*P572))^2/((R572*'参数'!$B$45*(1+'参数'!$B$39*P572))+'参数'!$B$22*(M572)))/'参数'!$B$46)+((S572*(1+'参数'!$B$39*P572))^2/((S572*(1+'参数'!$B$39*P572))+'参数'!$B$22*(M572)))*(1+'参数'!$B$42*P572)/'参数'!$J$7)*(1+'参数'!$B$37*('参数'!$B$38-1))</x:f>
        <x:v>55684.2511674383</x:v>
      </x:c>
      <x:c r="X572" s="25" t="n">
        <x:f>('参数'!$B$26+'参数'!$B$27*(D572-1)/99)*'参数'!$K$30*AD572</x:f>
        <x:v>31.92201680672269</x:v>
      </x:c>
      <x:c r="Y572" s="25" t="n">
        <x:f>('参数'!$B$28+'参数'!$B$29*(D572-1)/99)*'参数'!$K$30*AD572*IF(AE572=1,'参数'!$B$51,1)</x:f>
        <x:v>88.67226890756302</x:v>
      </x:c>
      <x:c r="Z572" s="21" t="n">
        <x:f>MIN('参数'!$B$36,U572/(U572+'参数'!$B$35))</x:f>
        <x:v>0.6261416482848315</x:v>
      </x:c>
      <x:c r="AA572" s="18" t="n">
        <x:f>T572*'参数'!$B$30/('参数'!$B$32*'参数'!$B$33)/(1-Z572)*AC572</x:f>
        <x:v>11331.973673677168</x:v>
      </x:c>
      <x:c r="AB572" s="18" t="n">
        <x:f>T572*'参数'!$B$31/'参数'!$B$34/(1-Z572)*AC572</x:f>
        <x:v>22663.947347354337</x:v>
      </x:c>
      <x:c r="AC572" s="15" t="n">
        <x:f>'参数'!$L$30*(1+'参数'!$B$53*(B572-1)/119)</x:f>
        <x:v>1.4280504201680675</x:v>
      </x:c>
      <x:c r="AD572" s="15" t="n">
        <x:f>1+'参数'!$B$52*(B572-1)/119</x:f>
        <x:v>1.1084033613445379</x:v>
      </x:c>
      <x:c r="AE572" s="18" t="n">
        <x:f>IF(MOD(B572,12)=0,1,0)</x:f>
        <x:v>0</x:v>
      </x:c>
    </x:row>
    <x:row r="573" ht="22" customHeight="1">
      <x:c r="A573" s="19" t="str">
        <x:v>折磨</x:v>
      </x:c>
      <x:c r="B573" s="19" t="n">
        <x:v>88</x:v>
      </x:c>
      <x:c r="C573" s="19" t="n">
        <x:f>ROUNDUP(B573/12,0)</x:f>
        <x:v>8</x:v>
      </x:c>
      <x:c r="D573" s="19" t="n">
        <x:f>ROUND(MAX('参数'!$G$30,E573)+(IF(C573&lt;10,INDEX('参数'!$G$38:$P$38,1,MIN(10,C573+1)),'参数'!$H$30)-MAX('参数'!$G$30,E573))*MOD(B573-1,12)/11,0)</x:f>
        <x:v>100</x:v>
      </x:c>
      <x:c r="E573" s="19" t="n">
        <x:f>INDEX('参数'!$G$38:$P$38,1,C573)</x:f>
        <x:v>100</x:v>
      </x:c>
      <x:c r="F573" s="20" t="n">
        <x:f>'参数'!$I$30</x:f>
        <x:v>1.43</x:v>
      </x:c>
      <x:c r="G573" s="19" t="n">
        <x:f>ROUND(V573*X573/'参数'!$B$56,0)</x:f>
        <x:v>502139</x:v>
      </x:c>
      <x:c r="H573" s="19" t="n">
        <x:f>ROUND((AA573+SQRT(AA573^2+4*AA573*'参数'!$B$22*U573))/2,0)</x:f>
        <x:v>16943</x:v>
      </x:c>
      <x:c r="I573" s="19" t="n">
        <x:f>ROUND(Q573*'参数'!$B$23/'参数'!$B$22,0)</x:f>
        <x:v>2126</x:v>
      </x:c>
      <x:c r="J573" s="19" t="n">
        <x:f>ROUND(G573*'参数'!$B$50,0)</x:f>
        <x:v>1506417</x:v>
      </x:c>
      <x:c r="K573" s="19" t="n">
        <x:f>ROUND(W573*Y573,0)</x:f>
        <x:v>4943264</x:v>
      </x:c>
      <x:c r="L573" s="19" t="n">
        <x:f>ROUND((AB573+SQRT(AB573^2+4*AB573*'参数'!$B$22*U573))/2,0)</x:f>
        <x:v>29185</x:v>
      </x:c>
      <x:c r="M573" s="19" t="n">
        <x:f>ROUND(I573*'参数'!$B$24,0)</x:f>
        <x:v>2658</x:v>
      </x:c>
      <x:c r="N573" s="19" t="n">
        <x:f>'参数'!$B$9*'参数'!$B$10^(D573-1)</x:f>
        <x:v>11195.319600498813</x:v>
      </x:c>
      <x:c r="O573" s="19" t="n">
        <x:f>'参数'!$B$18*'参数'!$B$19^(MIN(E573,MAX(1,5*INT(D573/5)))-1)*F573*'参数'!$J$30*P573</x:f>
        <x:v>2103.552925769118</x:v>
      </x:c>
      <x:c r="P573" s="22" t="n">
        <x:f>MIN(1,(D573-1)/19)</x:f>
        <x:v>1</x:v>
      </x:c>
      <x:c r="Q573" s="19" t="n">
        <x:f>INDEX('角色成长'!$F$6:$F$105,D573)+O573*'参数'!$K$21</x:f>
        <x:v>10629.125838441985</x:v>
      </x:c>
      <x:c r="R573" s="19" t="n">
        <x:f>INDEX('角色成长'!$I$6:$I$105,D573)+O573*'参数'!$K$21</x:f>
        <x:v>9331.125838441985</x:v>
      </x:c>
      <x:c r="S573" s="19" t="n">
        <x:f>INDEX('角色成长'!$L$6:$L$105,D573)+O573*'参数'!$K$21</x:f>
        <x:v>8590.125838441985</x:v>
      </x:c>
      <x:c r="T573" s="19" t="n">
        <x:f>(INDEX('角色成长'!$J$6:$J$105,D573)+O573*'参数'!$L$21)*(1+'参数'!$B$40*P573)</x:f>
        <x:v>118666.76244728187</x:v>
      </x:c>
      <x:c r="U573" s="19" t="n">
        <x:f>(INDEX('角色成长'!$K$6:$K$105,D573)+O573*'参数'!$M$21)*(1+'参数'!$B$41*P573)</x:f>
        <x:v>6699.239382105553</x:v>
      </x:c>
      <x:c r="V573" s="19" t="n">
        <x:f>(('参数'!$K$5*(((Q573*(1+'参数'!$B$39*P573))^2/((Q573*(1+'参数'!$B$39*P573))+'参数'!$B$22*(I573)))*(1+'参数'!$B$42*P573)/'参数'!$J$5+((Q573*'参数'!$B$43*(1+'参数'!$B$39*P573))^2/((Q573*'参数'!$B$43*(1+'参数'!$B$39*P573))+'参数'!$B$22*(I573)))/'参数'!$B$44))+(((R573*(1+'参数'!$B$39*P573))^2/((R573*(1+'参数'!$B$39*P573))+'参数'!$B$22*(I573)))*(1+'参数'!$B$42*P573)/'参数'!$J$6+((R573*'参数'!$B$45*(1+'参数'!$B$39*P573))^2/((R573*'参数'!$B$45*(1+'参数'!$B$39*P573))+'参数'!$B$22*(I573)))/'参数'!$B$46)+((S573*(1+'参数'!$B$39*P573))^2/((S573*(1+'参数'!$B$39*P573))+'参数'!$B$22*(I573)))*(1+'参数'!$B$42*P573)/'参数'!$J$7)*(1+'参数'!$B$37*('参数'!$B$38-1))*'参数'!$B$25</x:f>
        <x:v>72276.65152942482</x:v>
      </x:c>
      <x:c r="W573" s="19" t="n">
        <x:f>(('参数'!$K$5*(((Q573*(1+'参数'!$B$39*P573))^2/((Q573*(1+'参数'!$B$39*P573))+'参数'!$B$22*(M573)))*(1+'参数'!$B$42*P573)/'参数'!$J$5+((Q573*'参数'!$B$43*(1+'参数'!$B$39*P573))^2/((Q573*'参数'!$B$43*(1+'参数'!$B$39*P573))+'参数'!$B$22*(M573)))/'参数'!$B$44))+(((R573*(1+'参数'!$B$39*P573))^2/((R573*(1+'参数'!$B$39*P573))+'参数'!$B$22*(M573)))*(1+'参数'!$B$42*P573)/'参数'!$J$6+((R573*'参数'!$B$45*(1+'参数'!$B$39*P573))^2/((R573*'参数'!$B$45*(1+'参数'!$B$39*P573))+'参数'!$B$22*(M573)))/'参数'!$B$46)+((S573*(1+'参数'!$B$39*P573))^2/((S573*(1+'参数'!$B$39*P573))+'参数'!$B$22*(M573)))*(1+'参数'!$B$42*P573)/'参数'!$J$7)*(1+'参数'!$B$37*('参数'!$B$38-1))</x:f>
        <x:v>55684.2511674383</x:v>
      </x:c>
      <x:c r="X573" s="26" t="n">
        <x:f>('参数'!$B$26+'参数'!$B$27*(D573-1)/99)*'参数'!$K$30*AD573</x:f>
        <x:v>31.958319327731093</x:v>
      </x:c>
      <x:c r="Y573" s="26" t="n">
        <x:f>('参数'!$B$28+'参数'!$B$29*(D573-1)/99)*'参数'!$K$30*AD573*IF(AE573=1,'参数'!$B$51,1)</x:f>
        <x:v>88.77310924369749</x:v>
      </x:c>
      <x:c r="Z573" s="22" t="n">
        <x:f>MIN('参数'!$B$36,U573/(U573+'参数'!$B$35))</x:f>
        <x:v>0.6261416482848315</x:v>
      </x:c>
      <x:c r="AA573" s="19" t="n">
        <x:f>T573*'参数'!$B$30/('参数'!$B$32*'参数'!$B$33)/(1-Z573)*AC573</x:f>
        <x:v>11339.17543641862</x:v>
      </x:c>
      <x:c r="AB573" s="19" t="n">
        <x:f>T573*'参数'!$B$31/'参数'!$B$34/(1-Z573)*AC573</x:f>
        <x:v>22678.35087283724</x:v>
      </x:c>
      <x:c r="AC573" s="20" t="n">
        <x:f>'参数'!$L$30*(1+'参数'!$B$53*(B573-1)/119)</x:f>
        <x:v>1.4289579831932773</x:v>
      </x:c>
      <x:c r="AD573" s="20" t="n">
        <x:f>1+'参数'!$B$52*(B573-1)/119</x:f>
        <x:v>1.1096638655462185</x:v>
      </x:c>
      <x:c r="AE573" s="19" t="n">
        <x:f>IF(MOD(B573,12)=0,1,0)</x:f>
        <x:v>0</x:v>
      </x:c>
    </x:row>
    <x:row r="574" ht="22" customHeight="1">
      <x:c r="A574" s="18" t="str">
        <x:v>折磨</x:v>
      </x:c>
      <x:c r="B574" s="18" t="n">
        <x:v>89</x:v>
      </x:c>
      <x:c r="C574" s="18" t="n">
        <x:f>ROUNDUP(B574/12,0)</x:f>
        <x:v>8</x:v>
      </x:c>
      <x:c r="D574" s="18" t="n">
        <x:f>ROUND(MAX('参数'!$G$30,E574)+(IF(C574&lt;10,INDEX('参数'!$G$38:$P$38,1,MIN(10,C574+1)),'参数'!$H$30)-MAX('参数'!$G$30,E574))*MOD(B574-1,12)/11,0)</x:f>
        <x:v>100</x:v>
      </x:c>
      <x:c r="E574" s="18" t="n">
        <x:f>INDEX('参数'!$G$38:$P$38,1,C574)</x:f>
        <x:v>100</x:v>
      </x:c>
      <x:c r="F574" s="15" t="n">
        <x:f>'参数'!$I$30</x:f>
        <x:v>1.43</x:v>
      </x:c>
      <x:c r="G574" s="18" t="n">
        <x:f>ROUND(V574*X574/'参数'!$B$56,0)</x:f>
        <x:v>502710</x:v>
      </x:c>
      <x:c r="H574" s="18" t="n">
        <x:f>ROUND((AA574+SQRT(AA574^2+4*AA574*'参数'!$B$22*U574))/2,0)</x:f>
        <x:v>16951</x:v>
      </x:c>
      <x:c r="I574" s="18" t="n">
        <x:f>ROUND(Q574*'参数'!$B$23/'参数'!$B$22,0)</x:f>
        <x:v>2126</x:v>
      </x:c>
      <x:c r="J574" s="18" t="n">
        <x:f>ROUND(G574*'参数'!$B$50,0)</x:f>
        <x:v>1508130</x:v>
      </x:c>
      <x:c r="K574" s="18" t="n">
        <x:f>ROUND(W574*Y574,0)</x:f>
        <x:v>4948879</x:v>
      </x:c>
      <x:c r="L574" s="18" t="n">
        <x:f>ROUND((AB574+SQRT(AB574^2+4*AB574*'参数'!$B$22*U574))/2,0)</x:f>
        <x:v>29201</x:v>
      </x:c>
      <x:c r="M574" s="18" t="n">
        <x:f>ROUND(I574*'参数'!$B$24,0)</x:f>
        <x:v>2658</x:v>
      </x:c>
      <x:c r="N574" s="18" t="n">
        <x:f>'参数'!$B$9*'参数'!$B$10^(D574-1)</x:f>
        <x:v>11195.319600498813</x:v>
      </x:c>
      <x:c r="O574" s="18" t="n">
        <x:f>'参数'!$B$18*'参数'!$B$19^(MIN(E574,MAX(1,5*INT(D574/5)))-1)*F574*'参数'!$J$30*P574</x:f>
        <x:v>2103.552925769118</x:v>
      </x:c>
      <x:c r="P574" s="21" t="n">
        <x:f>MIN(1,(D574-1)/19)</x:f>
        <x:v>1</x:v>
      </x:c>
      <x:c r="Q574" s="18" t="n">
        <x:f>INDEX('角色成长'!$F$6:$F$105,D574)+O574*'参数'!$K$21</x:f>
        <x:v>10629.125838441985</x:v>
      </x:c>
      <x:c r="R574" s="18" t="n">
        <x:f>INDEX('角色成长'!$I$6:$I$105,D574)+O574*'参数'!$K$21</x:f>
        <x:v>9331.125838441985</x:v>
      </x:c>
      <x:c r="S574" s="18" t="n">
        <x:f>INDEX('角色成长'!$L$6:$L$105,D574)+O574*'参数'!$K$21</x:f>
        <x:v>8590.125838441985</x:v>
      </x:c>
      <x:c r="T574" s="18" t="n">
        <x:f>(INDEX('角色成长'!$J$6:$J$105,D574)+O574*'参数'!$L$21)*(1+'参数'!$B$40*P574)</x:f>
        <x:v>118666.76244728187</x:v>
      </x:c>
      <x:c r="U574" s="18" t="n">
        <x:f>(INDEX('角色成长'!$K$6:$K$105,D574)+O574*'参数'!$M$21)*(1+'参数'!$B$41*P574)</x:f>
        <x:v>6699.239382105553</x:v>
      </x:c>
      <x:c r="V574" s="18" t="n">
        <x:f>(('参数'!$K$5*(((Q574*(1+'参数'!$B$39*P574))^2/((Q574*(1+'参数'!$B$39*P574))+'参数'!$B$22*(I574)))*(1+'参数'!$B$42*P574)/'参数'!$J$5+((Q574*'参数'!$B$43*(1+'参数'!$B$39*P574))^2/((Q574*'参数'!$B$43*(1+'参数'!$B$39*P574))+'参数'!$B$22*(I574)))/'参数'!$B$44))+(((R574*(1+'参数'!$B$39*P574))^2/((R574*(1+'参数'!$B$39*P574))+'参数'!$B$22*(I574)))*(1+'参数'!$B$42*P574)/'参数'!$J$6+((R574*'参数'!$B$45*(1+'参数'!$B$39*P574))^2/((R574*'参数'!$B$45*(1+'参数'!$B$39*P574))+'参数'!$B$22*(I574)))/'参数'!$B$46)+((S574*(1+'参数'!$B$39*P574))^2/((S574*(1+'参数'!$B$39*P574))+'参数'!$B$22*(I574)))*(1+'参数'!$B$42*P574)/'参数'!$J$7)*(1+'参数'!$B$37*('参数'!$B$38-1))*'参数'!$B$25</x:f>
        <x:v>72276.65152942482</x:v>
      </x:c>
      <x:c r="W574" s="18" t="n">
        <x:f>(('参数'!$K$5*(((Q574*(1+'参数'!$B$39*P574))^2/((Q574*(1+'参数'!$B$39*P574))+'参数'!$B$22*(M574)))*(1+'参数'!$B$42*P574)/'参数'!$J$5+((Q574*'参数'!$B$43*(1+'参数'!$B$39*P574))^2/((Q574*'参数'!$B$43*(1+'参数'!$B$39*P574))+'参数'!$B$22*(M574)))/'参数'!$B$44))+(((R574*(1+'参数'!$B$39*P574))^2/((R574*(1+'参数'!$B$39*P574))+'参数'!$B$22*(M574)))*(1+'参数'!$B$42*P574)/'参数'!$J$6+((R574*'参数'!$B$45*(1+'参数'!$B$39*P574))^2/((R574*'参数'!$B$45*(1+'参数'!$B$39*P574))+'参数'!$B$22*(M574)))/'参数'!$B$46)+((S574*(1+'参数'!$B$39*P574))^2/((S574*(1+'参数'!$B$39*P574))+'参数'!$B$22*(M574)))*(1+'参数'!$B$42*P574)/'参数'!$J$7)*(1+'参数'!$B$37*('参数'!$B$38-1))</x:f>
        <x:v>55684.2511674383</x:v>
      </x:c>
      <x:c r="X574" s="25" t="n">
        <x:f>('参数'!$B$26+'参数'!$B$27*(D574-1)/99)*'参数'!$K$30*AD574</x:f>
        <x:v>31.9946218487395</x:v>
      </x:c>
      <x:c r="Y574" s="25" t="n">
        <x:f>('参数'!$B$28+'参数'!$B$29*(D574-1)/99)*'参数'!$K$30*AD574*IF(AE574=1,'参数'!$B$51,1)</x:f>
        <x:v>88.87394957983193</x:v>
      </x:c>
      <x:c r="Z574" s="21" t="n">
        <x:f>MIN('参数'!$B$36,U574/(U574+'参数'!$B$35))</x:f>
        <x:v>0.6261416482848315</x:v>
      </x:c>
      <x:c r="AA574" s="18" t="n">
        <x:f>T574*'参数'!$B$30/('参数'!$B$32*'参数'!$B$33)/(1-Z574)*AC574</x:f>
        <x:v>11346.377199160073</x:v>
      </x:c>
      <x:c r="AB574" s="18" t="n">
        <x:f>T574*'参数'!$B$31/'参数'!$B$34/(1-Z574)*AC574</x:f>
        <x:v>22692.754398320147</x:v>
      </x:c>
      <x:c r="AC574" s="15" t="n">
        <x:f>'参数'!$L$30*(1+'参数'!$B$53*(B574-1)/119)</x:f>
        <x:v>1.4298655462184875</x:v>
      </x:c>
      <x:c r="AD574" s="15" t="n">
        <x:f>1+'参数'!$B$52*(B574-1)/119</x:f>
        <x:v>1.1109243697478992</x:v>
      </x:c>
      <x:c r="AE574" s="18" t="n">
        <x:f>IF(MOD(B574,12)=0,1,0)</x:f>
        <x:v>0</x:v>
      </x:c>
    </x:row>
    <x:row r="575" ht="22" customHeight="1">
      <x:c r="A575" s="19" t="str">
        <x:v>折磨</x:v>
      </x:c>
      <x:c r="B575" s="19" t="n">
        <x:v>90</x:v>
      </x:c>
      <x:c r="C575" s="19" t="n">
        <x:f>ROUNDUP(B575/12,0)</x:f>
        <x:v>8</x:v>
      </x:c>
      <x:c r="D575" s="19" t="n">
        <x:f>ROUND(MAX('参数'!$G$30,E575)+(IF(C575&lt;10,INDEX('参数'!$G$38:$P$38,1,MIN(10,C575+1)),'参数'!$H$30)-MAX('参数'!$G$30,E575))*MOD(B575-1,12)/11,0)</x:f>
        <x:v>100</x:v>
      </x:c>
      <x:c r="E575" s="19" t="n">
        <x:f>INDEX('参数'!$G$38:$P$38,1,C575)</x:f>
        <x:v>100</x:v>
      </x:c>
      <x:c r="F575" s="20" t="n">
        <x:f>'参数'!$I$30</x:f>
        <x:v>1.43</x:v>
      </x:c>
      <x:c r="G575" s="19" t="n">
        <x:f>ROUND(V575*X575/'参数'!$B$56,0)</x:f>
        <x:v>503280</x:v>
      </x:c>
      <x:c r="H575" s="19" t="n">
        <x:f>ROUND((AA575+SQRT(AA575^2+4*AA575*'参数'!$B$22*U575))/2,0)</x:f>
        <x:v>16960</x:v>
      </x:c>
      <x:c r="I575" s="19" t="n">
        <x:f>ROUND(Q575*'参数'!$B$23/'参数'!$B$22,0)</x:f>
        <x:v>2126</x:v>
      </x:c>
      <x:c r="J575" s="19" t="n">
        <x:f>ROUND(G575*'参数'!$B$50,0)</x:f>
        <x:v>1509840</x:v>
      </x:c>
      <x:c r="K575" s="19" t="n">
        <x:f>ROUND(W575*Y575,0)</x:f>
        <x:v>4954495</x:v>
      </x:c>
      <x:c r="L575" s="19" t="n">
        <x:f>ROUND((AB575+SQRT(AB575^2+4*AB575*'参数'!$B$22*U575))/2,0)</x:f>
        <x:v>29216</x:v>
      </x:c>
      <x:c r="M575" s="19" t="n">
        <x:f>ROUND(I575*'参数'!$B$24,0)</x:f>
        <x:v>2658</x:v>
      </x:c>
      <x:c r="N575" s="19" t="n">
        <x:f>'参数'!$B$9*'参数'!$B$10^(D575-1)</x:f>
        <x:v>11195.319600498813</x:v>
      </x:c>
      <x:c r="O575" s="19" t="n">
        <x:f>'参数'!$B$18*'参数'!$B$19^(MIN(E575,MAX(1,5*INT(D575/5)))-1)*F575*'参数'!$J$30*P575</x:f>
        <x:v>2103.552925769118</x:v>
      </x:c>
      <x:c r="P575" s="22" t="n">
        <x:f>MIN(1,(D575-1)/19)</x:f>
        <x:v>1</x:v>
      </x:c>
      <x:c r="Q575" s="19" t="n">
        <x:f>INDEX('角色成长'!$F$6:$F$105,D575)+O575*'参数'!$K$21</x:f>
        <x:v>10629.125838441985</x:v>
      </x:c>
      <x:c r="R575" s="19" t="n">
        <x:f>INDEX('角色成长'!$I$6:$I$105,D575)+O575*'参数'!$K$21</x:f>
        <x:v>9331.125838441985</x:v>
      </x:c>
      <x:c r="S575" s="19" t="n">
        <x:f>INDEX('角色成长'!$L$6:$L$105,D575)+O575*'参数'!$K$21</x:f>
        <x:v>8590.125838441985</x:v>
      </x:c>
      <x:c r="T575" s="19" t="n">
        <x:f>(INDEX('角色成长'!$J$6:$J$105,D575)+O575*'参数'!$L$21)*(1+'参数'!$B$40*P575)</x:f>
        <x:v>118666.76244728187</x:v>
      </x:c>
      <x:c r="U575" s="19" t="n">
        <x:f>(INDEX('角色成长'!$K$6:$K$105,D575)+O575*'参数'!$M$21)*(1+'参数'!$B$41*P575)</x:f>
        <x:v>6699.239382105553</x:v>
      </x:c>
      <x:c r="V575" s="19" t="n">
        <x:f>(('参数'!$K$5*(((Q575*(1+'参数'!$B$39*P575))^2/((Q575*(1+'参数'!$B$39*P575))+'参数'!$B$22*(I575)))*(1+'参数'!$B$42*P575)/'参数'!$J$5+((Q575*'参数'!$B$43*(1+'参数'!$B$39*P575))^2/((Q575*'参数'!$B$43*(1+'参数'!$B$39*P575))+'参数'!$B$22*(I575)))/'参数'!$B$44))+(((R575*(1+'参数'!$B$39*P575))^2/((R575*(1+'参数'!$B$39*P575))+'参数'!$B$22*(I575)))*(1+'参数'!$B$42*P575)/'参数'!$J$6+((R575*'参数'!$B$45*(1+'参数'!$B$39*P575))^2/((R575*'参数'!$B$45*(1+'参数'!$B$39*P575))+'参数'!$B$22*(I575)))/'参数'!$B$46)+((S575*(1+'参数'!$B$39*P575))^2/((S575*(1+'参数'!$B$39*P575))+'参数'!$B$22*(I575)))*(1+'参数'!$B$42*P575)/'参数'!$J$7)*(1+'参数'!$B$37*('参数'!$B$38-1))*'参数'!$B$25</x:f>
        <x:v>72276.65152942482</x:v>
      </x:c>
      <x:c r="W575" s="19" t="n">
        <x:f>(('参数'!$K$5*(((Q575*(1+'参数'!$B$39*P575))^2/((Q575*(1+'参数'!$B$39*P575))+'参数'!$B$22*(M575)))*(1+'参数'!$B$42*P575)/'参数'!$J$5+((Q575*'参数'!$B$43*(1+'参数'!$B$39*P575))^2/((Q575*'参数'!$B$43*(1+'参数'!$B$39*P575))+'参数'!$B$22*(M575)))/'参数'!$B$44))+(((R575*(1+'参数'!$B$39*P575))^2/((R575*(1+'参数'!$B$39*P575))+'参数'!$B$22*(M575)))*(1+'参数'!$B$42*P575)/'参数'!$J$6+((R575*'参数'!$B$45*(1+'参数'!$B$39*P575))^2/((R575*'参数'!$B$45*(1+'参数'!$B$39*P575))+'参数'!$B$22*(M575)))/'参数'!$B$46)+((S575*(1+'参数'!$B$39*P575))^2/((S575*(1+'参数'!$B$39*P575))+'参数'!$B$22*(M575)))*(1+'参数'!$B$42*P575)/'参数'!$J$7)*(1+'参数'!$B$37*('参数'!$B$38-1))</x:f>
        <x:v>55684.2511674383</x:v>
      </x:c>
      <x:c r="X575" s="26" t="n">
        <x:f>('参数'!$B$26+'参数'!$B$27*(D575-1)/99)*'参数'!$K$30*AD575</x:f>
        <x:v>32.0309243697479</x:v>
      </x:c>
      <x:c r="Y575" s="26" t="n">
        <x:f>('参数'!$B$28+'参数'!$B$29*(D575-1)/99)*'参数'!$K$30*AD575*IF(AE575=1,'参数'!$B$51,1)</x:f>
        <x:v>88.9747899159664</x:v>
      </x:c>
      <x:c r="Z575" s="22" t="n">
        <x:f>MIN('参数'!$B$36,U575/(U575+'参数'!$B$35))</x:f>
        <x:v>0.6261416482848315</x:v>
      </x:c>
      <x:c r="AA575" s="19" t="n">
        <x:f>T575*'参数'!$B$30/('参数'!$B$32*'参数'!$B$33)/(1-Z575)*AC575</x:f>
        <x:v>11353.578961901527</x:v>
      </x:c>
      <x:c r="AB575" s="19" t="n">
        <x:f>T575*'参数'!$B$31/'参数'!$B$34/(1-Z575)*AC575</x:f>
        <x:v>22707.157923803054</x:v>
      </x:c>
      <x:c r="AC575" s="20" t="n">
        <x:f>'参数'!$L$30*(1+'参数'!$B$53*(B575-1)/119)</x:f>
        <x:v>1.4307731092436975</x:v>
      </x:c>
      <x:c r="AD575" s="20" t="n">
        <x:f>1+'参数'!$B$52*(B575-1)/119</x:f>
        <x:v>1.1121848739495799</x:v>
      </x:c>
      <x:c r="AE575" s="19" t="n">
        <x:f>IF(MOD(B575,12)=0,1,0)</x:f>
        <x:v>0</x:v>
      </x:c>
    </x:row>
    <x:row r="576" ht="22" customHeight="1">
      <x:c r="A576" s="18" t="str">
        <x:v>折磨</x:v>
      </x:c>
      <x:c r="B576" s="18" t="n">
        <x:v>91</x:v>
      </x:c>
      <x:c r="C576" s="18" t="n">
        <x:f>ROUNDUP(B576/12,0)</x:f>
        <x:v>8</x:v>
      </x:c>
      <x:c r="D576" s="18" t="n">
        <x:f>ROUND(MAX('参数'!$G$30,E576)+(IF(C576&lt;10,INDEX('参数'!$G$38:$P$38,1,MIN(10,C576+1)),'参数'!$H$30)-MAX('参数'!$G$30,E576))*MOD(B576-1,12)/11,0)</x:f>
        <x:v>100</x:v>
      </x:c>
      <x:c r="E576" s="18" t="n">
        <x:f>INDEX('参数'!$G$38:$P$38,1,C576)</x:f>
        <x:v>100</x:v>
      </x:c>
      <x:c r="F576" s="15" t="n">
        <x:f>'参数'!$I$30</x:f>
        <x:v>1.43</x:v>
      </x:c>
      <x:c r="G576" s="18" t="n">
        <x:f>ROUND(V576*X576/'参数'!$B$56,0)</x:f>
        <x:v>503850</x:v>
      </x:c>
      <x:c r="H576" s="18" t="n">
        <x:f>ROUND((AA576+SQRT(AA576^2+4*AA576*'参数'!$B$22*U576))/2,0)</x:f>
        <x:v>16968</x:v>
      </x:c>
      <x:c r="I576" s="18" t="n">
        <x:f>ROUND(Q576*'参数'!$B$23/'参数'!$B$22,0)</x:f>
        <x:v>2126</x:v>
      </x:c>
      <x:c r="J576" s="18" t="n">
        <x:f>ROUND(G576*'参数'!$B$50,0)</x:f>
        <x:v>1511550</x:v>
      </x:c>
      <x:c r="K576" s="18" t="n">
        <x:f>ROUND(W576*Y576,0)</x:f>
        <x:v>4960110</x:v>
      </x:c>
      <x:c r="L576" s="18" t="n">
        <x:f>ROUND((AB576+SQRT(AB576^2+4*AB576*'参数'!$B$22*U576))/2,0)</x:f>
        <x:v>29231</x:v>
      </x:c>
      <x:c r="M576" s="18" t="n">
        <x:f>ROUND(I576*'参数'!$B$24,0)</x:f>
        <x:v>2658</x:v>
      </x:c>
      <x:c r="N576" s="18" t="n">
        <x:f>'参数'!$B$9*'参数'!$B$10^(D576-1)</x:f>
        <x:v>11195.319600498813</x:v>
      </x:c>
      <x:c r="O576" s="18" t="n">
        <x:f>'参数'!$B$18*'参数'!$B$19^(MIN(E576,MAX(1,5*INT(D576/5)))-1)*F576*'参数'!$J$30*P576</x:f>
        <x:v>2103.552925769118</x:v>
      </x:c>
      <x:c r="P576" s="21" t="n">
        <x:f>MIN(1,(D576-1)/19)</x:f>
        <x:v>1</x:v>
      </x:c>
      <x:c r="Q576" s="18" t="n">
        <x:f>INDEX('角色成长'!$F$6:$F$105,D576)+O576*'参数'!$K$21</x:f>
        <x:v>10629.125838441985</x:v>
      </x:c>
      <x:c r="R576" s="18" t="n">
        <x:f>INDEX('角色成长'!$I$6:$I$105,D576)+O576*'参数'!$K$21</x:f>
        <x:v>9331.125838441985</x:v>
      </x:c>
      <x:c r="S576" s="18" t="n">
        <x:f>INDEX('角色成长'!$L$6:$L$105,D576)+O576*'参数'!$K$21</x:f>
        <x:v>8590.125838441985</x:v>
      </x:c>
      <x:c r="T576" s="18" t="n">
        <x:f>(INDEX('角色成长'!$J$6:$J$105,D576)+O576*'参数'!$L$21)*(1+'参数'!$B$40*P576)</x:f>
        <x:v>118666.76244728187</x:v>
      </x:c>
      <x:c r="U576" s="18" t="n">
        <x:f>(INDEX('角色成长'!$K$6:$K$105,D576)+O576*'参数'!$M$21)*(1+'参数'!$B$41*P576)</x:f>
        <x:v>6699.239382105553</x:v>
      </x:c>
      <x:c r="V576" s="18" t="n">
        <x:f>(('参数'!$K$5*(((Q576*(1+'参数'!$B$39*P576))^2/((Q576*(1+'参数'!$B$39*P576))+'参数'!$B$22*(I576)))*(1+'参数'!$B$42*P576)/'参数'!$J$5+((Q576*'参数'!$B$43*(1+'参数'!$B$39*P576))^2/((Q576*'参数'!$B$43*(1+'参数'!$B$39*P576))+'参数'!$B$22*(I576)))/'参数'!$B$44))+(((R576*(1+'参数'!$B$39*P576))^2/((R576*(1+'参数'!$B$39*P576))+'参数'!$B$22*(I576)))*(1+'参数'!$B$42*P576)/'参数'!$J$6+((R576*'参数'!$B$45*(1+'参数'!$B$39*P576))^2/((R576*'参数'!$B$45*(1+'参数'!$B$39*P576))+'参数'!$B$22*(I576)))/'参数'!$B$46)+((S576*(1+'参数'!$B$39*P576))^2/((S576*(1+'参数'!$B$39*P576))+'参数'!$B$22*(I576)))*(1+'参数'!$B$42*P576)/'参数'!$J$7)*(1+'参数'!$B$37*('参数'!$B$38-1))*'参数'!$B$25</x:f>
        <x:v>72276.65152942482</x:v>
      </x:c>
      <x:c r="W576" s="18" t="n">
        <x:f>(('参数'!$K$5*(((Q576*(1+'参数'!$B$39*P576))^2/((Q576*(1+'参数'!$B$39*P576))+'参数'!$B$22*(M576)))*(1+'参数'!$B$42*P576)/'参数'!$J$5+((Q576*'参数'!$B$43*(1+'参数'!$B$39*P576))^2/((Q576*'参数'!$B$43*(1+'参数'!$B$39*P576))+'参数'!$B$22*(M576)))/'参数'!$B$44))+(((R576*(1+'参数'!$B$39*P576))^2/((R576*(1+'参数'!$B$39*P576))+'参数'!$B$22*(M576)))*(1+'参数'!$B$42*P576)/'参数'!$J$6+((R576*'参数'!$B$45*(1+'参数'!$B$39*P576))^2/((R576*'参数'!$B$45*(1+'参数'!$B$39*P576))+'参数'!$B$22*(M576)))/'参数'!$B$46)+((S576*(1+'参数'!$B$39*P576))^2/((S576*(1+'参数'!$B$39*P576))+'参数'!$B$22*(M576)))*(1+'参数'!$B$42*P576)/'参数'!$J$7)*(1+'参数'!$B$37*('参数'!$B$38-1))</x:f>
        <x:v>55684.2511674383</x:v>
      </x:c>
      <x:c r="X576" s="25" t="n">
        <x:f>('参数'!$B$26+'参数'!$B$27*(D576-1)/99)*'参数'!$K$30*AD576</x:f>
        <x:v>32.0672268907563</x:v>
      </x:c>
      <x:c r="Y576" s="25" t="n">
        <x:f>('参数'!$B$28+'参数'!$B$29*(D576-1)/99)*'参数'!$K$30*AD576*IF(AE576=1,'参数'!$B$51,1)</x:f>
        <x:v>89.07563025210084</x:v>
      </x:c>
      <x:c r="Z576" s="21" t="n">
        <x:f>MIN('参数'!$B$36,U576/(U576+'参数'!$B$35))</x:f>
        <x:v>0.6261416482848315</x:v>
      </x:c>
      <x:c r="AA576" s="18" t="n">
        <x:f>T576*'参数'!$B$30/('参数'!$B$32*'参数'!$B$33)/(1-Z576)*AC576</x:f>
        <x:v>11360.780724642982</x:v>
      </x:c>
      <x:c r="AB576" s="18" t="n">
        <x:f>T576*'参数'!$B$31/'参数'!$B$34/(1-Z576)*AC576</x:f>
        <x:v>22721.561449285964</x:v>
      </x:c>
      <x:c r="AC576" s="15" t="n">
        <x:f>'参数'!$L$30*(1+'参数'!$B$53*(B576-1)/119)</x:f>
        <x:v>1.4316806722689077</x:v>
      </x:c>
      <x:c r="AD576" s="15" t="n">
        <x:f>1+'参数'!$B$52*(B576-1)/119</x:f>
        <x:v>1.1134453781512605</x:v>
      </x:c>
      <x:c r="AE576" s="18" t="n">
        <x:f>IF(MOD(B576,12)=0,1,0)</x:f>
        <x:v>0</x:v>
      </x:c>
    </x:row>
    <x:row r="577" ht="22" customHeight="1">
      <x:c r="A577" s="19" t="str">
        <x:v>折磨</x:v>
      </x:c>
      <x:c r="B577" s="19" t="n">
        <x:v>92</x:v>
      </x:c>
      <x:c r="C577" s="19" t="n">
        <x:f>ROUNDUP(B577/12,0)</x:f>
        <x:v>8</x:v>
      </x:c>
      <x:c r="D577" s="19" t="n">
        <x:f>ROUND(MAX('参数'!$G$30,E577)+(IF(C577&lt;10,INDEX('参数'!$G$38:$P$38,1,MIN(10,C577+1)),'参数'!$H$30)-MAX('参数'!$G$30,E577))*MOD(B577-1,12)/11,0)</x:f>
        <x:v>100</x:v>
      </x:c>
      <x:c r="E577" s="19" t="n">
        <x:f>INDEX('参数'!$G$38:$P$38,1,C577)</x:f>
        <x:v>100</x:v>
      </x:c>
      <x:c r="F577" s="20" t="n">
        <x:f>'参数'!$I$30</x:f>
        <x:v>1.43</x:v>
      </x:c>
      <x:c r="G577" s="19" t="n">
        <x:f>ROUND(V577*X577/'参数'!$B$56,0)</x:f>
        <x:v>504421</x:v>
      </x:c>
      <x:c r="H577" s="19" t="n">
        <x:f>ROUND((AA577+SQRT(AA577^2+4*AA577*'参数'!$B$22*U577))/2,0)</x:f>
        <x:v>16976</x:v>
      </x:c>
      <x:c r="I577" s="19" t="n">
        <x:f>ROUND(Q577*'参数'!$B$23/'参数'!$B$22,0)</x:f>
        <x:v>2126</x:v>
      </x:c>
      <x:c r="J577" s="19" t="n">
        <x:f>ROUND(G577*'参数'!$B$50,0)</x:f>
        <x:v>1513263</x:v>
      </x:c>
      <x:c r="K577" s="19" t="n">
        <x:f>ROUND(W577*Y577,0)</x:f>
        <x:v>4965725</x:v>
      </x:c>
      <x:c r="L577" s="19" t="n">
        <x:f>ROUND((AB577+SQRT(AB577^2+4*AB577*'参数'!$B$22*U577))/2,0)</x:f>
        <x:v>29246</x:v>
      </x:c>
      <x:c r="M577" s="19" t="n">
        <x:f>ROUND(I577*'参数'!$B$24,0)</x:f>
        <x:v>2658</x:v>
      </x:c>
      <x:c r="N577" s="19" t="n">
        <x:f>'参数'!$B$9*'参数'!$B$10^(D577-1)</x:f>
        <x:v>11195.319600498813</x:v>
      </x:c>
      <x:c r="O577" s="19" t="n">
        <x:f>'参数'!$B$18*'参数'!$B$19^(MIN(E577,MAX(1,5*INT(D577/5)))-1)*F577*'参数'!$J$30*P577</x:f>
        <x:v>2103.552925769118</x:v>
      </x:c>
      <x:c r="P577" s="22" t="n">
        <x:f>MIN(1,(D577-1)/19)</x:f>
        <x:v>1</x:v>
      </x:c>
      <x:c r="Q577" s="19" t="n">
        <x:f>INDEX('角色成长'!$F$6:$F$105,D577)+O577*'参数'!$K$21</x:f>
        <x:v>10629.125838441985</x:v>
      </x:c>
      <x:c r="R577" s="19" t="n">
        <x:f>INDEX('角色成长'!$I$6:$I$105,D577)+O577*'参数'!$K$21</x:f>
        <x:v>9331.125838441985</x:v>
      </x:c>
      <x:c r="S577" s="19" t="n">
        <x:f>INDEX('角色成长'!$L$6:$L$105,D577)+O577*'参数'!$K$21</x:f>
        <x:v>8590.125838441985</x:v>
      </x:c>
      <x:c r="T577" s="19" t="n">
        <x:f>(INDEX('角色成长'!$J$6:$J$105,D577)+O577*'参数'!$L$21)*(1+'参数'!$B$40*P577)</x:f>
        <x:v>118666.76244728187</x:v>
      </x:c>
      <x:c r="U577" s="19" t="n">
        <x:f>(INDEX('角色成长'!$K$6:$K$105,D577)+O577*'参数'!$M$21)*(1+'参数'!$B$41*P577)</x:f>
        <x:v>6699.239382105553</x:v>
      </x:c>
      <x:c r="V577" s="19" t="n">
        <x:f>(('参数'!$K$5*(((Q577*(1+'参数'!$B$39*P577))^2/((Q577*(1+'参数'!$B$39*P577))+'参数'!$B$22*(I577)))*(1+'参数'!$B$42*P577)/'参数'!$J$5+((Q577*'参数'!$B$43*(1+'参数'!$B$39*P577))^2/((Q577*'参数'!$B$43*(1+'参数'!$B$39*P577))+'参数'!$B$22*(I577)))/'参数'!$B$44))+(((R577*(1+'参数'!$B$39*P577))^2/((R577*(1+'参数'!$B$39*P577))+'参数'!$B$22*(I577)))*(1+'参数'!$B$42*P577)/'参数'!$J$6+((R577*'参数'!$B$45*(1+'参数'!$B$39*P577))^2/((R577*'参数'!$B$45*(1+'参数'!$B$39*P577))+'参数'!$B$22*(I577)))/'参数'!$B$46)+((S577*(1+'参数'!$B$39*P577))^2/((S577*(1+'参数'!$B$39*P577))+'参数'!$B$22*(I577)))*(1+'参数'!$B$42*P577)/'参数'!$J$7)*(1+'参数'!$B$37*('参数'!$B$38-1))*'参数'!$B$25</x:f>
        <x:v>72276.65152942482</x:v>
      </x:c>
      <x:c r="W577" s="19" t="n">
        <x:f>(('参数'!$K$5*(((Q577*(1+'参数'!$B$39*P577))^2/((Q577*(1+'参数'!$B$39*P577))+'参数'!$B$22*(M577)))*(1+'参数'!$B$42*P577)/'参数'!$J$5+((Q577*'参数'!$B$43*(1+'参数'!$B$39*P577))^2/((Q577*'参数'!$B$43*(1+'参数'!$B$39*P577))+'参数'!$B$22*(M577)))/'参数'!$B$44))+(((R577*(1+'参数'!$B$39*P577))^2/((R577*(1+'参数'!$B$39*P577))+'参数'!$B$22*(M577)))*(1+'参数'!$B$42*P577)/'参数'!$J$6+((R577*'参数'!$B$45*(1+'参数'!$B$39*P577))^2/((R577*'参数'!$B$45*(1+'参数'!$B$39*P577))+'参数'!$B$22*(M577)))/'参数'!$B$46)+((S577*(1+'参数'!$B$39*P577))^2/((S577*(1+'参数'!$B$39*P577))+'参数'!$B$22*(M577)))*(1+'参数'!$B$42*P577)/'参数'!$J$7)*(1+'参数'!$B$37*('参数'!$B$38-1))</x:f>
        <x:v>55684.2511674383</x:v>
      </x:c>
      <x:c r="X577" s="26" t="n">
        <x:f>('参数'!$B$26+'参数'!$B$27*(D577-1)/99)*'参数'!$K$30*AD577</x:f>
        <x:v>32.10352941176471</x:v>
      </x:c>
      <x:c r="Y577" s="26" t="n">
        <x:f>('参数'!$B$28+'参数'!$B$29*(D577-1)/99)*'参数'!$K$30*AD577*IF(AE577=1,'参数'!$B$51,1)</x:f>
        <x:v>89.1764705882353</x:v>
      </x:c>
      <x:c r="Z577" s="22" t="n">
        <x:f>MIN('参数'!$B$36,U577/(U577+'参数'!$B$35))</x:f>
        <x:v>0.6261416482848315</x:v>
      </x:c>
      <x:c r="AA577" s="19" t="n">
        <x:f>T577*'参数'!$B$30/('参数'!$B$32*'参数'!$B$33)/(1-Z577)*AC577</x:f>
        <x:v>11367.982487384435</x:v>
      </x:c>
      <x:c r="AB577" s="19" t="n">
        <x:f>T577*'参数'!$B$31/'参数'!$B$34/(1-Z577)*AC577</x:f>
        <x:v>22735.96497476887</x:v>
      </x:c>
      <x:c r="AC577" s="20" t="n">
        <x:f>'参数'!$L$30*(1+'参数'!$B$53*(B577-1)/119)</x:f>
        <x:v>1.432588235294118</x:v>
      </x:c>
      <x:c r="AD577" s="20" t="n">
        <x:f>1+'参数'!$B$52*(B577-1)/119</x:f>
        <x:v>1.1147058823529412</x:v>
      </x:c>
      <x:c r="AE577" s="19" t="n">
        <x:f>IF(MOD(B577,12)=0,1,0)</x:f>
        <x:v>0</x:v>
      </x:c>
    </x:row>
    <x:row r="578" ht="22" customHeight="1">
      <x:c r="A578" s="18" t="str">
        <x:v>折磨</x:v>
      </x:c>
      <x:c r="B578" s="18" t="n">
        <x:v>93</x:v>
      </x:c>
      <x:c r="C578" s="18" t="n">
        <x:f>ROUNDUP(B578/12,0)</x:f>
        <x:v>8</x:v>
      </x:c>
      <x:c r="D578" s="18" t="n">
        <x:f>ROUND(MAX('参数'!$G$30,E578)+(IF(C578&lt;10,INDEX('参数'!$G$38:$P$38,1,MIN(10,C578+1)),'参数'!$H$30)-MAX('参数'!$G$30,E578))*MOD(B578-1,12)/11,0)</x:f>
        <x:v>100</x:v>
      </x:c>
      <x:c r="E578" s="18" t="n">
        <x:f>INDEX('参数'!$G$38:$P$38,1,C578)</x:f>
        <x:v>100</x:v>
      </x:c>
      <x:c r="F578" s="15" t="n">
        <x:f>'参数'!$I$30</x:f>
        <x:v>1.43</x:v>
      </x:c>
      <x:c r="G578" s="18" t="n">
        <x:f>ROUND(V578*X578/'参数'!$B$56,0)</x:f>
        <x:v>504991</x:v>
      </x:c>
      <x:c r="H578" s="18" t="n">
        <x:f>ROUND((AA578+SQRT(AA578^2+4*AA578*'参数'!$B$22*U578))/2,0)</x:f>
        <x:v>16984</x:v>
      </x:c>
      <x:c r="I578" s="18" t="n">
        <x:f>ROUND(Q578*'参数'!$B$23/'参数'!$B$22,0)</x:f>
        <x:v>2126</x:v>
      </x:c>
      <x:c r="J578" s="18" t="n">
        <x:f>ROUND(G578*'参数'!$B$50,0)</x:f>
        <x:v>1514973</x:v>
      </x:c>
      <x:c r="K578" s="18" t="n">
        <x:f>ROUND(W578*Y578,0)</x:f>
        <x:v>4971340</x:v>
      </x:c>
      <x:c r="L578" s="18" t="n">
        <x:f>ROUND((AB578+SQRT(AB578^2+4*AB578*'参数'!$B$22*U578))/2,0)</x:f>
        <x:v>29261</x:v>
      </x:c>
      <x:c r="M578" s="18" t="n">
        <x:f>ROUND(I578*'参数'!$B$24,0)</x:f>
        <x:v>2658</x:v>
      </x:c>
      <x:c r="N578" s="18" t="n">
        <x:f>'参数'!$B$9*'参数'!$B$10^(D578-1)</x:f>
        <x:v>11195.319600498813</x:v>
      </x:c>
      <x:c r="O578" s="18" t="n">
        <x:f>'参数'!$B$18*'参数'!$B$19^(MIN(E578,MAX(1,5*INT(D578/5)))-1)*F578*'参数'!$J$30*P578</x:f>
        <x:v>2103.552925769118</x:v>
      </x:c>
      <x:c r="P578" s="21" t="n">
        <x:f>MIN(1,(D578-1)/19)</x:f>
        <x:v>1</x:v>
      </x:c>
      <x:c r="Q578" s="18" t="n">
        <x:f>INDEX('角色成长'!$F$6:$F$105,D578)+O578*'参数'!$K$21</x:f>
        <x:v>10629.125838441985</x:v>
      </x:c>
      <x:c r="R578" s="18" t="n">
        <x:f>INDEX('角色成长'!$I$6:$I$105,D578)+O578*'参数'!$K$21</x:f>
        <x:v>9331.125838441985</x:v>
      </x:c>
      <x:c r="S578" s="18" t="n">
        <x:f>INDEX('角色成长'!$L$6:$L$105,D578)+O578*'参数'!$K$21</x:f>
        <x:v>8590.125838441985</x:v>
      </x:c>
      <x:c r="T578" s="18" t="n">
        <x:f>(INDEX('角色成长'!$J$6:$J$105,D578)+O578*'参数'!$L$21)*(1+'参数'!$B$40*P578)</x:f>
        <x:v>118666.76244728187</x:v>
      </x:c>
      <x:c r="U578" s="18" t="n">
        <x:f>(INDEX('角色成长'!$K$6:$K$105,D578)+O578*'参数'!$M$21)*(1+'参数'!$B$41*P578)</x:f>
        <x:v>6699.239382105553</x:v>
      </x:c>
      <x:c r="V578" s="18" t="n">
        <x:f>(('参数'!$K$5*(((Q578*(1+'参数'!$B$39*P578))^2/((Q578*(1+'参数'!$B$39*P578))+'参数'!$B$22*(I578)))*(1+'参数'!$B$42*P578)/'参数'!$J$5+((Q578*'参数'!$B$43*(1+'参数'!$B$39*P578))^2/((Q578*'参数'!$B$43*(1+'参数'!$B$39*P578))+'参数'!$B$22*(I578)))/'参数'!$B$44))+(((R578*(1+'参数'!$B$39*P578))^2/((R578*(1+'参数'!$B$39*P578))+'参数'!$B$22*(I578)))*(1+'参数'!$B$42*P578)/'参数'!$J$6+((R578*'参数'!$B$45*(1+'参数'!$B$39*P578))^2/((R578*'参数'!$B$45*(1+'参数'!$B$39*P578))+'参数'!$B$22*(I578)))/'参数'!$B$46)+((S578*(1+'参数'!$B$39*P578))^2/((S578*(1+'参数'!$B$39*P578))+'参数'!$B$22*(I578)))*(1+'参数'!$B$42*P578)/'参数'!$J$7)*(1+'参数'!$B$37*('参数'!$B$38-1))*'参数'!$B$25</x:f>
        <x:v>72276.65152942482</x:v>
      </x:c>
      <x:c r="W578" s="18" t="n">
        <x:f>(('参数'!$K$5*(((Q578*(1+'参数'!$B$39*P578))^2/((Q578*(1+'参数'!$B$39*P578))+'参数'!$B$22*(M578)))*(1+'参数'!$B$42*P578)/'参数'!$J$5+((Q578*'参数'!$B$43*(1+'参数'!$B$39*P578))^2/((Q578*'参数'!$B$43*(1+'参数'!$B$39*P578))+'参数'!$B$22*(M578)))/'参数'!$B$44))+(((R578*(1+'参数'!$B$39*P578))^2/((R578*(1+'参数'!$B$39*P578))+'参数'!$B$22*(M578)))*(1+'参数'!$B$42*P578)/'参数'!$J$6+((R578*'参数'!$B$45*(1+'参数'!$B$39*P578))^2/((R578*'参数'!$B$45*(1+'参数'!$B$39*P578))+'参数'!$B$22*(M578)))/'参数'!$B$46)+((S578*(1+'参数'!$B$39*P578))^2/((S578*(1+'参数'!$B$39*P578))+'参数'!$B$22*(M578)))*(1+'参数'!$B$42*P578)/'参数'!$J$7)*(1+'参数'!$B$37*('参数'!$B$38-1))</x:f>
        <x:v>55684.2511674383</x:v>
      </x:c>
      <x:c r="X578" s="25" t="n">
        <x:f>('参数'!$B$26+'参数'!$B$27*(D578-1)/99)*'参数'!$K$30*AD578</x:f>
        <x:v>32.13983193277311</x:v>
      </x:c>
      <x:c r="Y578" s="25" t="n">
        <x:f>('参数'!$B$28+'参数'!$B$29*(D578-1)/99)*'参数'!$K$30*AD578*IF(AE578=1,'参数'!$B$51,1)</x:f>
        <x:v>89.27731092436974</x:v>
      </x:c>
      <x:c r="Z578" s="21" t="n">
        <x:f>MIN('参数'!$B$36,U578/(U578+'参数'!$B$35))</x:f>
        <x:v>0.6261416482848315</x:v>
      </x:c>
      <x:c r="AA578" s="18" t="n">
        <x:f>T578*'参数'!$B$30/('参数'!$B$32*'参数'!$B$33)/(1-Z578)*AC578</x:f>
        <x:v>11375.184250125887</x:v>
      </x:c>
      <x:c r="AB578" s="18" t="n">
        <x:f>T578*'参数'!$B$31/'参数'!$B$34/(1-Z578)*AC578</x:f>
        <x:v>22750.368500251774</x:v>
      </x:c>
      <x:c r="AC578" s="15" t="n">
        <x:f>'参数'!$L$30*(1+'参数'!$B$53*(B578-1)/119)</x:f>
        <x:v>1.4334957983193277</x:v>
      </x:c>
      <x:c r="AD578" s="15" t="n">
        <x:f>1+'参数'!$B$52*(B578-1)/119</x:f>
        <x:v>1.1159663865546219</x:v>
      </x:c>
      <x:c r="AE578" s="18" t="n">
        <x:f>IF(MOD(B578,12)=0,1,0)</x:f>
        <x:v>0</x:v>
      </x:c>
    </x:row>
    <x:row r="579" ht="22" customHeight="1">
      <x:c r="A579" s="19" t="str">
        <x:v>折磨</x:v>
      </x:c>
      <x:c r="B579" s="19" t="n">
        <x:v>94</x:v>
      </x:c>
      <x:c r="C579" s="19" t="n">
        <x:f>ROUNDUP(B579/12,0)</x:f>
        <x:v>8</x:v>
      </x:c>
      <x:c r="D579" s="19" t="n">
        <x:f>ROUND(MAX('参数'!$G$30,E579)+(IF(C579&lt;10,INDEX('参数'!$G$38:$P$38,1,MIN(10,C579+1)),'参数'!$H$30)-MAX('参数'!$G$30,E579))*MOD(B579-1,12)/11,0)</x:f>
        <x:v>100</x:v>
      </x:c>
      <x:c r="E579" s="19" t="n">
        <x:f>INDEX('参数'!$G$38:$P$38,1,C579)</x:f>
        <x:v>100</x:v>
      </x:c>
      <x:c r="F579" s="20" t="n">
        <x:f>'参数'!$I$30</x:f>
        <x:v>1.43</x:v>
      </x:c>
      <x:c r="G579" s="19" t="n">
        <x:f>ROUND(V579*X579/'参数'!$B$56,0)</x:f>
        <x:v>505562</x:v>
      </x:c>
      <x:c r="H579" s="19" t="n">
        <x:f>ROUND((AA579+SQRT(AA579^2+4*AA579*'参数'!$B$22*U579))/2,0)</x:f>
        <x:v>16992</x:v>
      </x:c>
      <x:c r="I579" s="19" t="n">
        <x:f>ROUND(Q579*'参数'!$B$23/'参数'!$B$22,0)</x:f>
        <x:v>2126</x:v>
      </x:c>
      <x:c r="J579" s="19" t="n">
        <x:f>ROUND(G579*'参数'!$B$50,0)</x:f>
        <x:v>1516686</x:v>
      </x:c>
      <x:c r="K579" s="19" t="n">
        <x:f>ROUND(W579*Y579,0)</x:f>
        <x:v>4976955</x:v>
      </x:c>
      <x:c r="L579" s="19" t="n">
        <x:f>ROUND((AB579+SQRT(AB579^2+4*AB579*'参数'!$B$22*U579))/2,0)</x:f>
        <x:v>29276</x:v>
      </x:c>
      <x:c r="M579" s="19" t="n">
        <x:f>ROUND(I579*'参数'!$B$24,0)</x:f>
        <x:v>2658</x:v>
      </x:c>
      <x:c r="N579" s="19" t="n">
        <x:f>'参数'!$B$9*'参数'!$B$10^(D579-1)</x:f>
        <x:v>11195.319600498813</x:v>
      </x:c>
      <x:c r="O579" s="19" t="n">
        <x:f>'参数'!$B$18*'参数'!$B$19^(MIN(E579,MAX(1,5*INT(D579/5)))-1)*F579*'参数'!$J$30*P579</x:f>
        <x:v>2103.552925769118</x:v>
      </x:c>
      <x:c r="P579" s="22" t="n">
        <x:f>MIN(1,(D579-1)/19)</x:f>
        <x:v>1</x:v>
      </x:c>
      <x:c r="Q579" s="19" t="n">
        <x:f>INDEX('角色成长'!$F$6:$F$105,D579)+O579*'参数'!$K$21</x:f>
        <x:v>10629.125838441985</x:v>
      </x:c>
      <x:c r="R579" s="19" t="n">
        <x:f>INDEX('角色成长'!$I$6:$I$105,D579)+O579*'参数'!$K$21</x:f>
        <x:v>9331.125838441985</x:v>
      </x:c>
      <x:c r="S579" s="19" t="n">
        <x:f>INDEX('角色成长'!$L$6:$L$105,D579)+O579*'参数'!$K$21</x:f>
        <x:v>8590.125838441985</x:v>
      </x:c>
      <x:c r="T579" s="19" t="n">
        <x:f>(INDEX('角色成长'!$J$6:$J$105,D579)+O579*'参数'!$L$21)*(1+'参数'!$B$40*P579)</x:f>
        <x:v>118666.76244728187</x:v>
      </x:c>
      <x:c r="U579" s="19" t="n">
        <x:f>(INDEX('角色成长'!$K$6:$K$105,D579)+O579*'参数'!$M$21)*(1+'参数'!$B$41*P579)</x:f>
        <x:v>6699.239382105553</x:v>
      </x:c>
      <x:c r="V579" s="19" t="n">
        <x:f>(('参数'!$K$5*(((Q579*(1+'参数'!$B$39*P579))^2/((Q579*(1+'参数'!$B$39*P579))+'参数'!$B$22*(I579)))*(1+'参数'!$B$42*P579)/'参数'!$J$5+((Q579*'参数'!$B$43*(1+'参数'!$B$39*P579))^2/((Q579*'参数'!$B$43*(1+'参数'!$B$39*P579))+'参数'!$B$22*(I579)))/'参数'!$B$44))+(((R579*(1+'参数'!$B$39*P579))^2/((R579*(1+'参数'!$B$39*P579))+'参数'!$B$22*(I579)))*(1+'参数'!$B$42*P579)/'参数'!$J$6+((R579*'参数'!$B$45*(1+'参数'!$B$39*P579))^2/((R579*'参数'!$B$45*(1+'参数'!$B$39*P579))+'参数'!$B$22*(I579)))/'参数'!$B$46)+((S579*(1+'参数'!$B$39*P579))^2/((S579*(1+'参数'!$B$39*P579))+'参数'!$B$22*(I579)))*(1+'参数'!$B$42*P579)/'参数'!$J$7)*(1+'参数'!$B$37*('参数'!$B$38-1))*'参数'!$B$25</x:f>
        <x:v>72276.65152942482</x:v>
      </x:c>
      <x:c r="W579" s="19" t="n">
        <x:f>(('参数'!$K$5*(((Q579*(1+'参数'!$B$39*P579))^2/((Q579*(1+'参数'!$B$39*P579))+'参数'!$B$22*(M579)))*(1+'参数'!$B$42*P579)/'参数'!$J$5+((Q579*'参数'!$B$43*(1+'参数'!$B$39*P579))^2/((Q579*'参数'!$B$43*(1+'参数'!$B$39*P579))+'参数'!$B$22*(M579)))/'参数'!$B$44))+(((R579*(1+'参数'!$B$39*P579))^2/((R579*(1+'参数'!$B$39*P579))+'参数'!$B$22*(M579)))*(1+'参数'!$B$42*P579)/'参数'!$J$6+((R579*'参数'!$B$45*(1+'参数'!$B$39*P579))^2/((R579*'参数'!$B$45*(1+'参数'!$B$39*P579))+'参数'!$B$22*(M579)))/'参数'!$B$46)+((S579*(1+'参数'!$B$39*P579))^2/((S579*(1+'参数'!$B$39*P579))+'参数'!$B$22*(M579)))*(1+'参数'!$B$42*P579)/'参数'!$J$7)*(1+'参数'!$B$37*('参数'!$B$38-1))</x:f>
        <x:v>55684.2511674383</x:v>
      </x:c>
      <x:c r="X579" s="26" t="n">
        <x:f>('参数'!$B$26+'参数'!$B$27*(D579-1)/99)*'参数'!$K$30*AD579</x:f>
        <x:v>32.176134453781515</x:v>
      </x:c>
      <x:c r="Y579" s="26" t="n">
        <x:f>('参数'!$B$28+'参数'!$B$29*(D579-1)/99)*'参数'!$K$30*AD579*IF(AE579=1,'参数'!$B$51,1)</x:f>
        <x:v>89.37815126050421</x:v>
      </x:c>
      <x:c r="Z579" s="22" t="n">
        <x:f>MIN('参数'!$B$36,U579/(U579+'参数'!$B$35))</x:f>
        <x:v>0.6261416482848315</x:v>
      </x:c>
      <x:c r="AA579" s="19" t="n">
        <x:f>T579*'参数'!$B$30/('参数'!$B$32*'参数'!$B$33)/(1-Z579)*AC579</x:f>
        <x:v>11382.386012867342</x:v>
      </x:c>
      <x:c r="AB579" s="19" t="n">
        <x:f>T579*'参数'!$B$31/'参数'!$B$34/(1-Z579)*AC579</x:f>
        <x:v>22764.772025734685</x:v>
      </x:c>
      <x:c r="AC579" s="20" t="n">
        <x:f>'参数'!$L$30*(1+'参数'!$B$53*(B579-1)/119)</x:f>
        <x:v>1.434403361344538</x:v>
      </x:c>
      <x:c r="AD579" s="20" t="n">
        <x:f>1+'参数'!$B$52*(B579-1)/119</x:f>
        <x:v>1.1172268907563025</x:v>
      </x:c>
      <x:c r="AE579" s="19" t="n">
        <x:f>IF(MOD(B579,12)=0,1,0)</x:f>
        <x:v>0</x:v>
      </x:c>
    </x:row>
    <x:row r="580" ht="22" customHeight="1">
      <x:c r="A580" s="18" t="str">
        <x:v>折磨</x:v>
      </x:c>
      <x:c r="B580" s="18" t="n">
        <x:v>95</x:v>
      </x:c>
      <x:c r="C580" s="18" t="n">
        <x:f>ROUNDUP(B580/12,0)</x:f>
        <x:v>8</x:v>
      </x:c>
      <x:c r="D580" s="18" t="n">
        <x:f>ROUND(MAX('参数'!$G$30,E580)+(IF(C580&lt;10,INDEX('参数'!$G$38:$P$38,1,MIN(10,C580+1)),'参数'!$H$30)-MAX('参数'!$G$30,E580))*MOD(B580-1,12)/11,0)</x:f>
        <x:v>100</x:v>
      </x:c>
      <x:c r="E580" s="18" t="n">
        <x:f>INDEX('参数'!$G$38:$P$38,1,C580)</x:f>
        <x:v>100</x:v>
      </x:c>
      <x:c r="F580" s="15" t="n">
        <x:f>'参数'!$I$30</x:f>
        <x:v>1.43</x:v>
      </x:c>
      <x:c r="G580" s="18" t="n">
        <x:f>ROUND(V580*X580/'参数'!$B$56,0)</x:f>
        <x:v>506132</x:v>
      </x:c>
      <x:c r="H580" s="18" t="n">
        <x:f>ROUND((AA580+SQRT(AA580^2+4*AA580*'参数'!$B$22*U580))/2,0)</x:f>
        <x:v>17000</x:v>
      </x:c>
      <x:c r="I580" s="18" t="n">
        <x:f>ROUND(Q580*'参数'!$B$23/'参数'!$B$22,0)</x:f>
        <x:v>2126</x:v>
      </x:c>
      <x:c r="J580" s="18" t="n">
        <x:f>ROUND(G580*'参数'!$B$50,0)</x:f>
        <x:v>1518396</x:v>
      </x:c>
      <x:c r="K580" s="18" t="n">
        <x:f>ROUND(W580*Y580,0)</x:f>
        <x:v>4982571</x:v>
      </x:c>
      <x:c r="L580" s="18" t="n">
        <x:f>ROUND((AB580+SQRT(AB580^2+4*AB580*'参数'!$B$22*U580))/2,0)</x:f>
        <x:v>29291</x:v>
      </x:c>
      <x:c r="M580" s="18" t="n">
        <x:f>ROUND(I580*'参数'!$B$24,0)</x:f>
        <x:v>2658</x:v>
      </x:c>
      <x:c r="N580" s="18" t="n">
        <x:f>'参数'!$B$9*'参数'!$B$10^(D580-1)</x:f>
        <x:v>11195.319600498813</x:v>
      </x:c>
      <x:c r="O580" s="18" t="n">
        <x:f>'参数'!$B$18*'参数'!$B$19^(MIN(E580,MAX(1,5*INT(D580/5)))-1)*F580*'参数'!$J$30*P580</x:f>
        <x:v>2103.552925769118</x:v>
      </x:c>
      <x:c r="P580" s="21" t="n">
        <x:f>MIN(1,(D580-1)/19)</x:f>
        <x:v>1</x:v>
      </x:c>
      <x:c r="Q580" s="18" t="n">
        <x:f>INDEX('角色成长'!$F$6:$F$105,D580)+O580*'参数'!$K$21</x:f>
        <x:v>10629.125838441985</x:v>
      </x:c>
      <x:c r="R580" s="18" t="n">
        <x:f>INDEX('角色成长'!$I$6:$I$105,D580)+O580*'参数'!$K$21</x:f>
        <x:v>9331.125838441985</x:v>
      </x:c>
      <x:c r="S580" s="18" t="n">
        <x:f>INDEX('角色成长'!$L$6:$L$105,D580)+O580*'参数'!$K$21</x:f>
        <x:v>8590.125838441985</x:v>
      </x:c>
      <x:c r="T580" s="18" t="n">
        <x:f>(INDEX('角色成长'!$J$6:$J$105,D580)+O580*'参数'!$L$21)*(1+'参数'!$B$40*P580)</x:f>
        <x:v>118666.76244728187</x:v>
      </x:c>
      <x:c r="U580" s="18" t="n">
        <x:f>(INDEX('角色成长'!$K$6:$K$105,D580)+O580*'参数'!$M$21)*(1+'参数'!$B$41*P580)</x:f>
        <x:v>6699.239382105553</x:v>
      </x:c>
      <x:c r="V580" s="18" t="n">
        <x:f>(('参数'!$K$5*(((Q580*(1+'参数'!$B$39*P580))^2/((Q580*(1+'参数'!$B$39*P580))+'参数'!$B$22*(I580)))*(1+'参数'!$B$42*P580)/'参数'!$J$5+((Q580*'参数'!$B$43*(1+'参数'!$B$39*P580))^2/((Q580*'参数'!$B$43*(1+'参数'!$B$39*P580))+'参数'!$B$22*(I580)))/'参数'!$B$44))+(((R580*(1+'参数'!$B$39*P580))^2/((R580*(1+'参数'!$B$39*P580))+'参数'!$B$22*(I580)))*(1+'参数'!$B$42*P580)/'参数'!$J$6+((R580*'参数'!$B$45*(1+'参数'!$B$39*P580))^2/((R580*'参数'!$B$45*(1+'参数'!$B$39*P580))+'参数'!$B$22*(I580)))/'参数'!$B$46)+((S580*(1+'参数'!$B$39*P580))^2/((S580*(1+'参数'!$B$39*P580))+'参数'!$B$22*(I580)))*(1+'参数'!$B$42*P580)/'参数'!$J$7)*(1+'参数'!$B$37*('参数'!$B$38-1))*'参数'!$B$25</x:f>
        <x:v>72276.65152942482</x:v>
      </x:c>
      <x:c r="W580" s="18" t="n">
        <x:f>(('参数'!$K$5*(((Q580*(1+'参数'!$B$39*P580))^2/((Q580*(1+'参数'!$B$39*P580))+'参数'!$B$22*(M580)))*(1+'参数'!$B$42*P580)/'参数'!$J$5+((Q580*'参数'!$B$43*(1+'参数'!$B$39*P580))^2/((Q580*'参数'!$B$43*(1+'参数'!$B$39*P580))+'参数'!$B$22*(M580)))/'参数'!$B$44))+(((R580*(1+'参数'!$B$39*P580))^2/((R580*(1+'参数'!$B$39*P580))+'参数'!$B$22*(M580)))*(1+'参数'!$B$42*P580)/'参数'!$J$6+((R580*'参数'!$B$45*(1+'参数'!$B$39*P580))^2/((R580*'参数'!$B$45*(1+'参数'!$B$39*P580))+'参数'!$B$22*(M580)))/'参数'!$B$46)+((S580*(1+'参数'!$B$39*P580))^2/((S580*(1+'参数'!$B$39*P580))+'参数'!$B$22*(M580)))*(1+'参数'!$B$42*P580)/'参数'!$J$7)*(1+'参数'!$B$37*('参数'!$B$38-1))</x:f>
        <x:v>55684.2511674383</x:v>
      </x:c>
      <x:c r="X580" s="25" t="n">
        <x:f>('参数'!$B$26+'参数'!$B$27*(D580-1)/99)*'参数'!$K$30*AD580</x:f>
        <x:v>32.21243697478992</x:v>
      </x:c>
      <x:c r="Y580" s="25" t="n">
        <x:f>('参数'!$B$28+'参数'!$B$29*(D580-1)/99)*'参数'!$K$30*AD580*IF(AE580=1,'参数'!$B$51,1)</x:f>
        <x:v>89.47899159663865</x:v>
      </x:c>
      <x:c r="Z580" s="21" t="n">
        <x:f>MIN('参数'!$B$36,U580/(U580+'参数'!$B$35))</x:f>
        <x:v>0.6261416482848315</x:v>
      </x:c>
      <x:c r="AA580" s="18" t="n">
        <x:f>T580*'参数'!$B$30/('参数'!$B$32*'参数'!$B$33)/(1-Z580)*AC580</x:f>
        <x:v>11389.587775608796</x:v>
      </x:c>
      <x:c r="AB580" s="18" t="n">
        <x:f>T580*'参数'!$B$31/'参数'!$B$34/(1-Z580)*AC580</x:f>
        <x:v>22779.17555121759</x:v>
      </x:c>
      <x:c r="AC580" s="15" t="n">
        <x:f>'参数'!$L$30*(1+'参数'!$B$53*(B580-1)/119)</x:f>
        <x:v>1.435310924369748</x:v>
      </x:c>
      <x:c r="AD580" s="15" t="n">
        <x:f>1+'参数'!$B$52*(B580-1)/119</x:f>
        <x:v>1.1184873949579832</x:v>
      </x:c>
      <x:c r="AE580" s="18" t="n">
        <x:f>IF(MOD(B580,12)=0,1,0)</x:f>
        <x:v>0</x:v>
      </x:c>
    </x:row>
    <x:row r="581" ht="22" customHeight="1">
      <x:c r="A581" s="19" t="str">
        <x:v>折磨</x:v>
      </x:c>
      <x:c r="B581" s="19" t="n">
        <x:v>96</x:v>
      </x:c>
      <x:c r="C581" s="19" t="n">
        <x:f>ROUNDUP(B581/12,0)</x:f>
        <x:v>8</x:v>
      </x:c>
      <x:c r="D581" s="19" t="n">
        <x:f>ROUND(MAX('参数'!$G$30,E581)+(IF(C581&lt;10,INDEX('参数'!$G$38:$P$38,1,MIN(10,C581+1)),'参数'!$H$30)-MAX('参数'!$G$30,E581))*MOD(B581-1,12)/11,0)</x:f>
        <x:v>100</x:v>
      </x:c>
      <x:c r="E581" s="19" t="n">
        <x:f>INDEX('参数'!$G$38:$P$38,1,C581)</x:f>
        <x:v>100</x:v>
      </x:c>
      <x:c r="F581" s="20" t="n">
        <x:f>'参数'!$I$30</x:f>
        <x:v>1.43</x:v>
      </x:c>
      <x:c r="G581" s="19" t="n">
        <x:f>ROUND(V581*X581/'参数'!$B$56,0)</x:f>
        <x:v>506702</x:v>
      </x:c>
      <x:c r="H581" s="19" t="n">
        <x:f>ROUND((AA581+SQRT(AA581^2+4*AA581*'参数'!$B$22*U581))/2,0)</x:f>
        <x:v>17008</x:v>
      </x:c>
      <x:c r="I581" s="19" t="n">
        <x:f>ROUND(Q581*'参数'!$B$23/'参数'!$B$22,0)</x:f>
        <x:v>2126</x:v>
      </x:c>
      <x:c r="J581" s="19" t="n">
        <x:f>ROUND(G581*'参数'!$B$50,0)</x:f>
        <x:v>1520106</x:v>
      </x:c>
      <x:c r="K581" s="19" t="n">
        <x:f>ROUND(W581*Y581,0)</x:f>
        <x:v>5736414</x:v>
      </x:c>
      <x:c r="L581" s="19" t="n">
        <x:f>ROUND((AB581+SQRT(AB581^2+4*AB581*'参数'!$B$22*U581))/2,0)</x:f>
        <x:v>29307</x:v>
      </x:c>
      <x:c r="M581" s="19" t="n">
        <x:f>ROUND(I581*'参数'!$B$24,0)</x:f>
        <x:v>2658</x:v>
      </x:c>
      <x:c r="N581" s="19" t="n">
        <x:f>'参数'!$B$9*'参数'!$B$10^(D581-1)</x:f>
        <x:v>11195.319600498813</x:v>
      </x:c>
      <x:c r="O581" s="19" t="n">
        <x:f>'参数'!$B$18*'参数'!$B$19^(MIN(E581,MAX(1,5*INT(D581/5)))-1)*F581*'参数'!$J$30*P581</x:f>
        <x:v>2103.552925769118</x:v>
      </x:c>
      <x:c r="P581" s="22" t="n">
        <x:f>MIN(1,(D581-1)/19)</x:f>
        <x:v>1</x:v>
      </x:c>
      <x:c r="Q581" s="19" t="n">
        <x:f>INDEX('角色成长'!$F$6:$F$105,D581)+O581*'参数'!$K$21</x:f>
        <x:v>10629.125838441985</x:v>
      </x:c>
      <x:c r="R581" s="19" t="n">
        <x:f>INDEX('角色成长'!$I$6:$I$105,D581)+O581*'参数'!$K$21</x:f>
        <x:v>9331.125838441985</x:v>
      </x:c>
      <x:c r="S581" s="19" t="n">
        <x:f>INDEX('角色成长'!$L$6:$L$105,D581)+O581*'参数'!$K$21</x:f>
        <x:v>8590.125838441985</x:v>
      </x:c>
      <x:c r="T581" s="19" t="n">
        <x:f>(INDEX('角色成长'!$J$6:$J$105,D581)+O581*'参数'!$L$21)*(1+'参数'!$B$40*P581)</x:f>
        <x:v>118666.76244728187</x:v>
      </x:c>
      <x:c r="U581" s="19" t="n">
        <x:f>(INDEX('角色成长'!$K$6:$K$105,D581)+O581*'参数'!$M$21)*(1+'参数'!$B$41*P581)</x:f>
        <x:v>6699.239382105553</x:v>
      </x:c>
      <x:c r="V581" s="19" t="n">
        <x:f>(('参数'!$K$5*(((Q581*(1+'参数'!$B$39*P581))^2/((Q581*(1+'参数'!$B$39*P581))+'参数'!$B$22*(I581)))*(1+'参数'!$B$42*P581)/'参数'!$J$5+((Q581*'参数'!$B$43*(1+'参数'!$B$39*P581))^2/((Q581*'参数'!$B$43*(1+'参数'!$B$39*P581))+'参数'!$B$22*(I581)))/'参数'!$B$44))+(((R581*(1+'参数'!$B$39*P581))^2/((R581*(1+'参数'!$B$39*P581))+'参数'!$B$22*(I581)))*(1+'参数'!$B$42*P581)/'参数'!$J$6+((R581*'参数'!$B$45*(1+'参数'!$B$39*P581))^2/((R581*'参数'!$B$45*(1+'参数'!$B$39*P581))+'参数'!$B$22*(I581)))/'参数'!$B$46)+((S581*(1+'参数'!$B$39*P581))^2/((S581*(1+'参数'!$B$39*P581))+'参数'!$B$22*(I581)))*(1+'参数'!$B$42*P581)/'参数'!$J$7)*(1+'参数'!$B$37*('参数'!$B$38-1))*'参数'!$B$25</x:f>
        <x:v>72276.65152942482</x:v>
      </x:c>
      <x:c r="W581" s="19" t="n">
        <x:f>(('参数'!$K$5*(((Q581*(1+'参数'!$B$39*P581))^2/((Q581*(1+'参数'!$B$39*P581))+'参数'!$B$22*(M581)))*(1+'参数'!$B$42*P581)/'参数'!$J$5+((Q581*'参数'!$B$43*(1+'参数'!$B$39*P581))^2/((Q581*'参数'!$B$43*(1+'参数'!$B$39*P581))+'参数'!$B$22*(M581)))/'参数'!$B$44))+(((R581*(1+'参数'!$B$39*P581))^2/((R581*(1+'参数'!$B$39*P581))+'参数'!$B$22*(M581)))*(1+'参数'!$B$42*P581)/'参数'!$J$6+((R581*'参数'!$B$45*(1+'参数'!$B$39*P581))^2/((R581*'参数'!$B$45*(1+'参数'!$B$39*P581))+'参数'!$B$22*(M581)))/'参数'!$B$46)+((S581*(1+'参数'!$B$39*P581))^2/((S581*(1+'参数'!$B$39*P581))+'参数'!$B$22*(M581)))*(1+'参数'!$B$42*P581)/'参数'!$J$7)*(1+'参数'!$B$37*('参数'!$B$38-1))</x:f>
        <x:v>55684.2511674383</x:v>
      </x:c>
      <x:c r="X581" s="26" t="n">
        <x:f>('参数'!$B$26+'参数'!$B$27*(D581-1)/99)*'参数'!$K$30*AD581</x:f>
        <x:v>32.24873949579832</x:v>
      </x:c>
      <x:c r="Y581" s="26" t="n">
        <x:f>('参数'!$B$28+'参数'!$B$29*(D581-1)/99)*'参数'!$K$30*AD581*IF(AE581=1,'参数'!$B$51,1)</x:f>
        <x:v>103.01680672268908</x:v>
      </x:c>
      <x:c r="Z581" s="22" t="n">
        <x:f>MIN('参数'!$B$36,U581/(U581+'参数'!$B$35))</x:f>
        <x:v>0.6261416482848315</x:v>
      </x:c>
      <x:c r="AA581" s="19" t="n">
        <x:f>T581*'参数'!$B$30/('参数'!$B$32*'参数'!$B$33)/(1-Z581)*AC581</x:f>
        <x:v>11396.78953835025</x:v>
      </x:c>
      <x:c r="AB581" s="19" t="n">
        <x:f>T581*'参数'!$B$31/'参数'!$B$34/(1-Z581)*AC581</x:f>
        <x:v>22793.5790767005</x:v>
      </x:c>
      <x:c r="AC581" s="20" t="n">
        <x:f>'参数'!$L$30*(1+'参数'!$B$53*(B581-1)/119)</x:f>
        <x:v>1.4362184873949582</x:v>
      </x:c>
      <x:c r="AD581" s="20" t="n">
        <x:f>1+'参数'!$B$52*(B581-1)/119</x:f>
        <x:v>1.1197478991596639</x:v>
      </x:c>
      <x:c r="AE581" s="19" t="n">
        <x:f>IF(MOD(B581,12)=0,1,0)</x:f>
        <x:v>1</x:v>
      </x:c>
    </x:row>
    <x:row r="582" ht="22" customHeight="1">
      <x:c r="A582" s="18" t="str">
        <x:v>折磨</x:v>
      </x:c>
      <x:c r="B582" s="18" t="n">
        <x:v>97</x:v>
      </x:c>
      <x:c r="C582" s="18" t="n">
        <x:f>ROUNDUP(B582/12,0)</x:f>
        <x:v>9</x:v>
      </x:c>
      <x:c r="D582" s="18" t="n">
        <x:f>ROUND(MAX('参数'!$G$30,E582)+(IF(C582&lt;10,INDEX('参数'!$G$38:$P$38,1,MIN(10,C582+1)),'参数'!$H$30)-MAX('参数'!$G$30,E582))*MOD(B582-1,12)/11,0)</x:f>
        <x:v>100</x:v>
      </x:c>
      <x:c r="E582" s="18" t="n">
        <x:f>INDEX('参数'!$G$38:$P$38,1,C582)</x:f>
        <x:v>100</x:v>
      </x:c>
      <x:c r="F582" s="15" t="n">
        <x:f>'参数'!$I$30</x:f>
        <x:v>1.43</x:v>
      </x:c>
      <x:c r="G582" s="18" t="n">
        <x:f>ROUND(V582*X582/'参数'!$B$56,0)</x:f>
        <x:v>507273</x:v>
      </x:c>
      <x:c r="H582" s="18" t="n">
        <x:f>ROUND((AA582+SQRT(AA582^2+4*AA582*'参数'!$B$22*U582))/2,0)</x:f>
        <x:v>17016</x:v>
      </x:c>
      <x:c r="I582" s="18" t="n">
        <x:f>ROUND(Q582*'参数'!$B$23/'参数'!$B$22,0)</x:f>
        <x:v>2126</x:v>
      </x:c>
      <x:c r="J582" s="18" t="n">
        <x:f>ROUND(G582*'参数'!$B$50,0)</x:f>
        <x:v>1521819</x:v>
      </x:c>
      <x:c r="K582" s="18" t="n">
        <x:f>ROUND(W582*Y582,0)</x:f>
        <x:v>4993801</x:v>
      </x:c>
      <x:c r="L582" s="18" t="n">
        <x:f>ROUND((AB582+SQRT(AB582^2+4*AB582*'参数'!$B$22*U582))/2,0)</x:f>
        <x:v>29322</x:v>
      </x:c>
      <x:c r="M582" s="18" t="n">
        <x:f>ROUND(I582*'参数'!$B$24,0)</x:f>
        <x:v>2658</x:v>
      </x:c>
      <x:c r="N582" s="18" t="n">
        <x:f>'参数'!$B$9*'参数'!$B$10^(D582-1)</x:f>
        <x:v>11195.319600498813</x:v>
      </x:c>
      <x:c r="O582" s="18" t="n">
        <x:f>'参数'!$B$18*'参数'!$B$19^(MIN(E582,MAX(1,5*INT(D582/5)))-1)*F582*'参数'!$J$30*P582</x:f>
        <x:v>2103.552925769118</x:v>
      </x:c>
      <x:c r="P582" s="21" t="n">
        <x:f>MIN(1,(D582-1)/19)</x:f>
        <x:v>1</x:v>
      </x:c>
      <x:c r="Q582" s="18" t="n">
        <x:f>INDEX('角色成长'!$F$6:$F$105,D582)+O582*'参数'!$K$21</x:f>
        <x:v>10629.125838441985</x:v>
      </x:c>
      <x:c r="R582" s="18" t="n">
        <x:f>INDEX('角色成长'!$I$6:$I$105,D582)+O582*'参数'!$K$21</x:f>
        <x:v>9331.125838441985</x:v>
      </x:c>
      <x:c r="S582" s="18" t="n">
        <x:f>INDEX('角色成长'!$L$6:$L$105,D582)+O582*'参数'!$K$21</x:f>
        <x:v>8590.125838441985</x:v>
      </x:c>
      <x:c r="T582" s="18" t="n">
        <x:f>(INDEX('角色成长'!$J$6:$J$105,D582)+O582*'参数'!$L$21)*(1+'参数'!$B$40*P582)</x:f>
        <x:v>118666.76244728187</x:v>
      </x:c>
      <x:c r="U582" s="18" t="n">
        <x:f>(INDEX('角色成长'!$K$6:$K$105,D582)+O582*'参数'!$M$21)*(1+'参数'!$B$41*P582)</x:f>
        <x:v>6699.239382105553</x:v>
      </x:c>
      <x:c r="V582" s="18" t="n">
        <x:f>(('参数'!$K$5*(((Q582*(1+'参数'!$B$39*P582))^2/((Q582*(1+'参数'!$B$39*P582))+'参数'!$B$22*(I582)))*(1+'参数'!$B$42*P582)/'参数'!$J$5+((Q582*'参数'!$B$43*(1+'参数'!$B$39*P582))^2/((Q582*'参数'!$B$43*(1+'参数'!$B$39*P582))+'参数'!$B$22*(I582)))/'参数'!$B$44))+(((R582*(1+'参数'!$B$39*P582))^2/((R582*(1+'参数'!$B$39*P582))+'参数'!$B$22*(I582)))*(1+'参数'!$B$42*P582)/'参数'!$J$6+((R582*'参数'!$B$45*(1+'参数'!$B$39*P582))^2/((R582*'参数'!$B$45*(1+'参数'!$B$39*P582))+'参数'!$B$22*(I582)))/'参数'!$B$46)+((S582*(1+'参数'!$B$39*P582))^2/((S582*(1+'参数'!$B$39*P582))+'参数'!$B$22*(I582)))*(1+'参数'!$B$42*P582)/'参数'!$J$7)*(1+'参数'!$B$37*('参数'!$B$38-1))*'参数'!$B$25</x:f>
        <x:v>72276.65152942482</x:v>
      </x:c>
      <x:c r="W582" s="18" t="n">
        <x:f>(('参数'!$K$5*(((Q582*(1+'参数'!$B$39*P582))^2/((Q582*(1+'参数'!$B$39*P582))+'参数'!$B$22*(M582)))*(1+'参数'!$B$42*P582)/'参数'!$J$5+((Q582*'参数'!$B$43*(1+'参数'!$B$39*P582))^2/((Q582*'参数'!$B$43*(1+'参数'!$B$39*P582))+'参数'!$B$22*(M582)))/'参数'!$B$44))+(((R582*(1+'参数'!$B$39*P582))^2/((R582*(1+'参数'!$B$39*P582))+'参数'!$B$22*(M582)))*(1+'参数'!$B$42*P582)/'参数'!$J$6+((R582*'参数'!$B$45*(1+'参数'!$B$39*P582))^2/((R582*'参数'!$B$45*(1+'参数'!$B$39*P582))+'参数'!$B$22*(M582)))/'参数'!$B$46)+((S582*(1+'参数'!$B$39*P582))^2/((S582*(1+'参数'!$B$39*P582))+'参数'!$B$22*(M582)))*(1+'参数'!$B$42*P582)/'参数'!$J$7)*(1+'参数'!$B$37*('参数'!$B$38-1))</x:f>
        <x:v>55684.2511674383</x:v>
      </x:c>
      <x:c r="X582" s="25" t="n">
        <x:f>('参数'!$B$26+'参数'!$B$27*(D582-1)/99)*'参数'!$K$30*AD582</x:f>
        <x:v>32.28504201680673</x:v>
      </x:c>
      <x:c r="Y582" s="25" t="n">
        <x:f>('参数'!$B$28+'参数'!$B$29*(D582-1)/99)*'参数'!$K$30*AD582*IF(AE582=1,'参数'!$B$51,1)</x:f>
        <x:v>89.68067226890756</x:v>
      </x:c>
      <x:c r="Z582" s="21" t="n">
        <x:f>MIN('参数'!$B$36,U582/(U582+'参数'!$B$35))</x:f>
        <x:v>0.6261416482848315</x:v>
      </x:c>
      <x:c r="AA582" s="18" t="n">
        <x:f>T582*'参数'!$B$30/('参数'!$B$32*'参数'!$B$33)/(1-Z582)*AC582</x:f>
        <x:v>11403.991301091703</x:v>
      </x:c>
      <x:c r="AB582" s="18" t="n">
        <x:f>T582*'参数'!$B$31/'参数'!$B$34/(1-Z582)*AC582</x:f>
        <x:v>22807.982602183405</x:v>
      </x:c>
      <x:c r="AC582" s="15" t="n">
        <x:f>'参数'!$L$30*(1+'参数'!$B$53*(B582-1)/119)</x:f>
        <x:v>1.4371260504201682</x:v>
      </x:c>
      <x:c r="AD582" s="15" t="n">
        <x:f>1+'参数'!$B$52*(B582-1)/119</x:f>
        <x:v>1.1210084033613446</x:v>
      </x:c>
      <x:c r="AE582" s="18" t="n">
        <x:f>IF(MOD(B582,12)=0,1,0)</x:f>
        <x:v>0</x:v>
      </x:c>
    </x:row>
    <x:row r="583" ht="22" customHeight="1">
      <x:c r="A583" s="19" t="str">
        <x:v>折磨</x:v>
      </x:c>
      <x:c r="B583" s="19" t="n">
        <x:v>98</x:v>
      </x:c>
      <x:c r="C583" s="19" t="n">
        <x:f>ROUNDUP(B583/12,0)</x:f>
        <x:v>9</x:v>
      </x:c>
      <x:c r="D583" s="19" t="n">
        <x:f>ROUND(MAX('参数'!$G$30,E583)+(IF(C583&lt;10,INDEX('参数'!$G$38:$P$38,1,MIN(10,C583+1)),'参数'!$H$30)-MAX('参数'!$G$30,E583))*MOD(B583-1,12)/11,0)</x:f>
        <x:v>100</x:v>
      </x:c>
      <x:c r="E583" s="19" t="n">
        <x:f>INDEX('参数'!$G$38:$P$38,1,C583)</x:f>
        <x:v>100</x:v>
      </x:c>
      <x:c r="F583" s="20" t="n">
        <x:f>'参数'!$I$30</x:f>
        <x:v>1.43</x:v>
      </x:c>
      <x:c r="G583" s="19" t="n">
        <x:f>ROUND(V583*X583/'参数'!$B$56,0)</x:f>
        <x:v>507843</x:v>
      </x:c>
      <x:c r="H583" s="19" t="n">
        <x:f>ROUND((AA583+SQRT(AA583^2+4*AA583*'参数'!$B$22*U583))/2,0)</x:f>
        <x:v>17024</x:v>
      </x:c>
      <x:c r="I583" s="19" t="n">
        <x:f>ROUND(Q583*'参数'!$B$23/'参数'!$B$22,0)</x:f>
        <x:v>2126</x:v>
      </x:c>
      <x:c r="J583" s="19" t="n">
        <x:f>ROUND(G583*'参数'!$B$50,0)</x:f>
        <x:v>1523529</x:v>
      </x:c>
      <x:c r="K583" s="19" t="n">
        <x:f>ROUND(W583*Y583,0)</x:f>
        <x:v>4999416</x:v>
      </x:c>
      <x:c r="L583" s="19" t="n">
        <x:f>ROUND((AB583+SQRT(AB583^2+4*AB583*'参数'!$B$22*U583))/2,0)</x:f>
        <x:v>29337</x:v>
      </x:c>
      <x:c r="M583" s="19" t="n">
        <x:f>ROUND(I583*'参数'!$B$24,0)</x:f>
        <x:v>2658</x:v>
      </x:c>
      <x:c r="N583" s="19" t="n">
        <x:f>'参数'!$B$9*'参数'!$B$10^(D583-1)</x:f>
        <x:v>11195.319600498813</x:v>
      </x:c>
      <x:c r="O583" s="19" t="n">
        <x:f>'参数'!$B$18*'参数'!$B$19^(MIN(E583,MAX(1,5*INT(D583/5)))-1)*F583*'参数'!$J$30*P583</x:f>
        <x:v>2103.552925769118</x:v>
      </x:c>
      <x:c r="P583" s="22" t="n">
        <x:f>MIN(1,(D583-1)/19)</x:f>
        <x:v>1</x:v>
      </x:c>
      <x:c r="Q583" s="19" t="n">
        <x:f>INDEX('角色成长'!$F$6:$F$105,D583)+O583*'参数'!$K$21</x:f>
        <x:v>10629.125838441985</x:v>
      </x:c>
      <x:c r="R583" s="19" t="n">
        <x:f>INDEX('角色成长'!$I$6:$I$105,D583)+O583*'参数'!$K$21</x:f>
        <x:v>9331.125838441985</x:v>
      </x:c>
      <x:c r="S583" s="19" t="n">
        <x:f>INDEX('角色成长'!$L$6:$L$105,D583)+O583*'参数'!$K$21</x:f>
        <x:v>8590.125838441985</x:v>
      </x:c>
      <x:c r="T583" s="19" t="n">
        <x:f>(INDEX('角色成长'!$J$6:$J$105,D583)+O583*'参数'!$L$21)*(1+'参数'!$B$40*P583)</x:f>
        <x:v>118666.76244728187</x:v>
      </x:c>
      <x:c r="U583" s="19" t="n">
        <x:f>(INDEX('角色成长'!$K$6:$K$105,D583)+O583*'参数'!$M$21)*(1+'参数'!$B$41*P583)</x:f>
        <x:v>6699.239382105553</x:v>
      </x:c>
      <x:c r="V583" s="19" t="n">
        <x:f>(('参数'!$K$5*(((Q583*(1+'参数'!$B$39*P583))^2/((Q583*(1+'参数'!$B$39*P583))+'参数'!$B$22*(I583)))*(1+'参数'!$B$42*P583)/'参数'!$J$5+((Q583*'参数'!$B$43*(1+'参数'!$B$39*P583))^2/((Q583*'参数'!$B$43*(1+'参数'!$B$39*P583))+'参数'!$B$22*(I583)))/'参数'!$B$44))+(((R583*(1+'参数'!$B$39*P583))^2/((R583*(1+'参数'!$B$39*P583))+'参数'!$B$22*(I583)))*(1+'参数'!$B$42*P583)/'参数'!$J$6+((R583*'参数'!$B$45*(1+'参数'!$B$39*P583))^2/((R583*'参数'!$B$45*(1+'参数'!$B$39*P583))+'参数'!$B$22*(I583)))/'参数'!$B$46)+((S583*(1+'参数'!$B$39*P583))^2/((S583*(1+'参数'!$B$39*P583))+'参数'!$B$22*(I583)))*(1+'参数'!$B$42*P583)/'参数'!$J$7)*(1+'参数'!$B$37*('参数'!$B$38-1))*'参数'!$B$25</x:f>
        <x:v>72276.65152942482</x:v>
      </x:c>
      <x:c r="W583" s="19" t="n">
        <x:f>(('参数'!$K$5*(((Q583*(1+'参数'!$B$39*P583))^2/((Q583*(1+'参数'!$B$39*P583))+'参数'!$B$22*(M583)))*(1+'参数'!$B$42*P583)/'参数'!$J$5+((Q583*'参数'!$B$43*(1+'参数'!$B$39*P583))^2/((Q583*'参数'!$B$43*(1+'参数'!$B$39*P583))+'参数'!$B$22*(M583)))/'参数'!$B$44))+(((R583*(1+'参数'!$B$39*P583))^2/((R583*(1+'参数'!$B$39*P583))+'参数'!$B$22*(M583)))*(1+'参数'!$B$42*P583)/'参数'!$J$6+((R583*'参数'!$B$45*(1+'参数'!$B$39*P583))^2/((R583*'参数'!$B$45*(1+'参数'!$B$39*P583))+'参数'!$B$22*(M583)))/'参数'!$B$46)+((S583*(1+'参数'!$B$39*P583))^2/((S583*(1+'参数'!$B$39*P583))+'参数'!$B$22*(M583)))*(1+'参数'!$B$42*P583)/'参数'!$J$7)*(1+'参数'!$B$37*('参数'!$B$38-1))</x:f>
        <x:v>55684.2511674383</x:v>
      </x:c>
      <x:c r="X583" s="26" t="n">
        <x:f>('参数'!$B$26+'参数'!$B$27*(D583-1)/99)*'参数'!$K$30*AD583</x:f>
        <x:v>32.32134453781513</x:v>
      </x:c>
      <x:c r="Y583" s="26" t="n">
        <x:f>('参数'!$B$28+'参数'!$B$29*(D583-1)/99)*'参数'!$K$30*AD583*IF(AE583=1,'参数'!$B$51,1)</x:f>
        <x:v>89.78151260504202</x:v>
      </x:c>
      <x:c r="Z583" s="22" t="n">
        <x:f>MIN('参数'!$B$36,U583/(U583+'参数'!$B$35))</x:f>
        <x:v>0.6261416482848315</x:v>
      </x:c>
      <x:c r="AA583" s="19" t="n">
        <x:f>T583*'参数'!$B$30/('参数'!$B$32*'参数'!$B$33)/(1-Z583)*AC583</x:f>
        <x:v>11411.193063833156</x:v>
      </x:c>
      <x:c r="AB583" s="19" t="n">
        <x:f>T583*'参数'!$B$31/'参数'!$B$34/(1-Z583)*AC583</x:f>
        <x:v>22822.386127666312</x:v>
      </x:c>
      <x:c r="AC583" s="20" t="n">
        <x:f>'参数'!$L$30*(1+'参数'!$B$53*(B583-1)/119)</x:f>
        <x:v>1.4380336134453782</x:v>
      </x:c>
      <x:c r="AD583" s="20" t="n">
        <x:f>1+'参数'!$B$52*(B583-1)/119</x:f>
        <x:v>1.1222689075630252</x:v>
      </x:c>
      <x:c r="AE583" s="19" t="n">
        <x:f>IF(MOD(B583,12)=0,1,0)</x:f>
        <x:v>0</x:v>
      </x:c>
    </x:row>
    <x:row r="584" ht="22" customHeight="1">
      <x:c r="A584" s="18" t="str">
        <x:v>折磨</x:v>
      </x:c>
      <x:c r="B584" s="18" t="n">
        <x:v>99</x:v>
      </x:c>
      <x:c r="C584" s="18" t="n">
        <x:f>ROUNDUP(B584/12,0)</x:f>
        <x:v>9</x:v>
      </x:c>
      <x:c r="D584" s="18" t="n">
        <x:f>ROUND(MAX('参数'!$G$30,E584)+(IF(C584&lt;10,INDEX('参数'!$G$38:$P$38,1,MIN(10,C584+1)),'参数'!$H$30)-MAX('参数'!$G$30,E584))*MOD(B584-1,12)/11,0)</x:f>
        <x:v>100</x:v>
      </x:c>
      <x:c r="E584" s="18" t="n">
        <x:f>INDEX('参数'!$G$38:$P$38,1,C584)</x:f>
        <x:v>100</x:v>
      </x:c>
      <x:c r="F584" s="15" t="n">
        <x:f>'参数'!$I$30</x:f>
        <x:v>1.43</x:v>
      </x:c>
      <x:c r="G584" s="18" t="n">
        <x:f>ROUND(V584*X584/'参数'!$B$56,0)</x:f>
        <x:v>508414</x:v>
      </x:c>
      <x:c r="H584" s="18" t="n">
        <x:f>ROUND((AA584+SQRT(AA584^2+4*AA584*'参数'!$B$22*U584))/2,0)</x:f>
        <x:v>17032</x:v>
      </x:c>
      <x:c r="I584" s="18" t="n">
        <x:f>ROUND(Q584*'参数'!$B$23/'参数'!$B$22,0)</x:f>
        <x:v>2126</x:v>
      </x:c>
      <x:c r="J584" s="18" t="n">
        <x:f>ROUND(G584*'参数'!$B$50,0)</x:f>
        <x:v>1525242</x:v>
      </x:c>
      <x:c r="K584" s="18" t="n">
        <x:f>ROUND(W584*Y584,0)</x:f>
        <x:v>5005032</x:v>
      </x:c>
      <x:c r="L584" s="18" t="n">
        <x:f>ROUND((AB584+SQRT(AB584^2+4*AB584*'参数'!$B$22*U584))/2,0)</x:f>
        <x:v>29352</x:v>
      </x:c>
      <x:c r="M584" s="18" t="n">
        <x:f>ROUND(I584*'参数'!$B$24,0)</x:f>
        <x:v>2658</x:v>
      </x:c>
      <x:c r="N584" s="18" t="n">
        <x:f>'参数'!$B$9*'参数'!$B$10^(D584-1)</x:f>
        <x:v>11195.319600498813</x:v>
      </x:c>
      <x:c r="O584" s="18" t="n">
        <x:f>'参数'!$B$18*'参数'!$B$19^(MIN(E584,MAX(1,5*INT(D584/5)))-1)*F584*'参数'!$J$30*P584</x:f>
        <x:v>2103.552925769118</x:v>
      </x:c>
      <x:c r="P584" s="21" t="n">
        <x:f>MIN(1,(D584-1)/19)</x:f>
        <x:v>1</x:v>
      </x:c>
      <x:c r="Q584" s="18" t="n">
        <x:f>INDEX('角色成长'!$F$6:$F$105,D584)+O584*'参数'!$K$21</x:f>
        <x:v>10629.125838441985</x:v>
      </x:c>
      <x:c r="R584" s="18" t="n">
        <x:f>INDEX('角色成长'!$I$6:$I$105,D584)+O584*'参数'!$K$21</x:f>
        <x:v>9331.125838441985</x:v>
      </x:c>
      <x:c r="S584" s="18" t="n">
        <x:f>INDEX('角色成长'!$L$6:$L$105,D584)+O584*'参数'!$K$21</x:f>
        <x:v>8590.125838441985</x:v>
      </x:c>
      <x:c r="T584" s="18" t="n">
        <x:f>(INDEX('角色成长'!$J$6:$J$105,D584)+O584*'参数'!$L$21)*(1+'参数'!$B$40*P584)</x:f>
        <x:v>118666.76244728187</x:v>
      </x:c>
      <x:c r="U584" s="18" t="n">
        <x:f>(INDEX('角色成长'!$K$6:$K$105,D584)+O584*'参数'!$M$21)*(1+'参数'!$B$41*P584)</x:f>
        <x:v>6699.239382105553</x:v>
      </x:c>
      <x:c r="V584" s="18" t="n">
        <x:f>(('参数'!$K$5*(((Q584*(1+'参数'!$B$39*P584))^2/((Q584*(1+'参数'!$B$39*P584))+'参数'!$B$22*(I584)))*(1+'参数'!$B$42*P584)/'参数'!$J$5+((Q584*'参数'!$B$43*(1+'参数'!$B$39*P584))^2/((Q584*'参数'!$B$43*(1+'参数'!$B$39*P584))+'参数'!$B$22*(I584)))/'参数'!$B$44))+(((R584*(1+'参数'!$B$39*P584))^2/((R584*(1+'参数'!$B$39*P584))+'参数'!$B$22*(I584)))*(1+'参数'!$B$42*P584)/'参数'!$J$6+((R584*'参数'!$B$45*(1+'参数'!$B$39*P584))^2/((R584*'参数'!$B$45*(1+'参数'!$B$39*P584))+'参数'!$B$22*(I584)))/'参数'!$B$46)+((S584*(1+'参数'!$B$39*P584))^2/((S584*(1+'参数'!$B$39*P584))+'参数'!$B$22*(I584)))*(1+'参数'!$B$42*P584)/'参数'!$J$7)*(1+'参数'!$B$37*('参数'!$B$38-1))*'参数'!$B$25</x:f>
        <x:v>72276.65152942482</x:v>
      </x:c>
      <x:c r="W584" s="18" t="n">
        <x:f>(('参数'!$K$5*(((Q584*(1+'参数'!$B$39*P584))^2/((Q584*(1+'参数'!$B$39*P584))+'参数'!$B$22*(M584)))*(1+'参数'!$B$42*P584)/'参数'!$J$5+((Q584*'参数'!$B$43*(1+'参数'!$B$39*P584))^2/((Q584*'参数'!$B$43*(1+'参数'!$B$39*P584))+'参数'!$B$22*(M584)))/'参数'!$B$44))+(((R584*(1+'参数'!$B$39*P584))^2/((R584*(1+'参数'!$B$39*P584))+'参数'!$B$22*(M584)))*(1+'参数'!$B$42*P584)/'参数'!$J$6+((R584*'参数'!$B$45*(1+'参数'!$B$39*P584))^2/((R584*'参数'!$B$45*(1+'参数'!$B$39*P584))+'参数'!$B$22*(M584)))/'参数'!$B$46)+((S584*(1+'参数'!$B$39*P584))^2/((S584*(1+'参数'!$B$39*P584))+'参数'!$B$22*(M584)))*(1+'参数'!$B$42*P584)/'参数'!$J$7)*(1+'参数'!$B$37*('参数'!$B$38-1))</x:f>
        <x:v>55684.2511674383</x:v>
      </x:c>
      <x:c r="X584" s="25" t="n">
        <x:f>('参数'!$B$26+'参数'!$B$27*(D584-1)/99)*'参数'!$K$30*AD584</x:f>
        <x:v>32.35764705882353</x:v>
      </x:c>
      <x:c r="Y584" s="25" t="n">
        <x:f>('参数'!$B$28+'参数'!$B$29*(D584-1)/99)*'参数'!$K$30*AD584*IF(AE584=1,'参数'!$B$51,1)</x:f>
        <x:v>89.88235294117646</x:v>
      </x:c>
      <x:c r="Z584" s="21" t="n">
        <x:f>MIN('参数'!$B$36,U584/(U584+'参数'!$B$35))</x:f>
        <x:v>0.6261416482848315</x:v>
      </x:c>
      <x:c r="AA584" s="18" t="n">
        <x:f>T584*'参数'!$B$30/('参数'!$B$32*'参数'!$B$33)/(1-Z584)*AC584</x:f>
        <x:v>11418.39482657461</x:v>
      </x:c>
      <x:c r="AB584" s="18" t="n">
        <x:f>T584*'参数'!$B$31/'参数'!$B$34/(1-Z584)*AC584</x:f>
        <x:v>22836.78965314922</x:v>
      </x:c>
      <x:c r="AC584" s="15" t="n">
        <x:f>'参数'!$L$30*(1+'参数'!$B$53*(B584-1)/119)</x:f>
        <x:v>1.4389411764705884</x:v>
      </x:c>
      <x:c r="AD584" s="15" t="n">
        <x:f>1+'参数'!$B$52*(B584-1)/119</x:f>
        <x:v>1.1235294117647059</x:v>
      </x:c>
      <x:c r="AE584" s="18" t="n">
        <x:f>IF(MOD(B584,12)=0,1,0)</x:f>
        <x:v>0</x:v>
      </x:c>
    </x:row>
    <x:row r="585" ht="22" customHeight="1">
      <x:c r="A585" s="19" t="str">
        <x:v>折磨</x:v>
      </x:c>
      <x:c r="B585" s="19" t="n">
        <x:v>100</x:v>
      </x:c>
      <x:c r="C585" s="19" t="n">
        <x:f>ROUNDUP(B585/12,0)</x:f>
        <x:v>9</x:v>
      </x:c>
      <x:c r="D585" s="19" t="n">
        <x:f>ROUND(MAX('参数'!$G$30,E585)+(IF(C585&lt;10,INDEX('参数'!$G$38:$P$38,1,MIN(10,C585+1)),'参数'!$H$30)-MAX('参数'!$G$30,E585))*MOD(B585-1,12)/11,0)</x:f>
        <x:v>100</x:v>
      </x:c>
      <x:c r="E585" s="19" t="n">
        <x:f>INDEX('参数'!$G$38:$P$38,1,C585)</x:f>
        <x:v>100</x:v>
      </x:c>
      <x:c r="F585" s="20" t="n">
        <x:f>'参数'!$I$30</x:f>
        <x:v>1.43</x:v>
      </x:c>
      <x:c r="G585" s="19" t="n">
        <x:f>ROUND(V585*X585/'参数'!$B$56,0)</x:f>
        <x:v>508984</x:v>
      </x:c>
      <x:c r="H585" s="19" t="n">
        <x:f>ROUND((AA585+SQRT(AA585^2+4*AA585*'参数'!$B$22*U585))/2,0)</x:f>
        <x:v>17040</x:v>
      </x:c>
      <x:c r="I585" s="19" t="n">
        <x:f>ROUND(Q585*'参数'!$B$23/'参数'!$B$22,0)</x:f>
        <x:v>2126</x:v>
      </x:c>
      <x:c r="J585" s="19" t="n">
        <x:f>ROUND(G585*'参数'!$B$50,0)</x:f>
        <x:v>1526952</x:v>
      </x:c>
      <x:c r="K585" s="19" t="n">
        <x:f>ROUND(W585*Y585,0)</x:f>
        <x:v>5010647</x:v>
      </x:c>
      <x:c r="L585" s="19" t="n">
        <x:f>ROUND((AB585+SQRT(AB585^2+4*AB585*'参数'!$B$22*U585))/2,0)</x:f>
        <x:v>29367</x:v>
      </x:c>
      <x:c r="M585" s="19" t="n">
        <x:f>ROUND(I585*'参数'!$B$24,0)</x:f>
        <x:v>2658</x:v>
      </x:c>
      <x:c r="N585" s="19" t="n">
        <x:f>'参数'!$B$9*'参数'!$B$10^(D585-1)</x:f>
        <x:v>11195.319600498813</x:v>
      </x:c>
      <x:c r="O585" s="19" t="n">
        <x:f>'参数'!$B$18*'参数'!$B$19^(MIN(E585,MAX(1,5*INT(D585/5)))-1)*F585*'参数'!$J$30*P585</x:f>
        <x:v>2103.552925769118</x:v>
      </x:c>
      <x:c r="P585" s="22" t="n">
        <x:f>MIN(1,(D585-1)/19)</x:f>
        <x:v>1</x:v>
      </x:c>
      <x:c r="Q585" s="19" t="n">
        <x:f>INDEX('角色成长'!$F$6:$F$105,D585)+O585*'参数'!$K$21</x:f>
        <x:v>10629.125838441985</x:v>
      </x:c>
      <x:c r="R585" s="19" t="n">
        <x:f>INDEX('角色成长'!$I$6:$I$105,D585)+O585*'参数'!$K$21</x:f>
        <x:v>9331.125838441985</x:v>
      </x:c>
      <x:c r="S585" s="19" t="n">
        <x:f>INDEX('角色成长'!$L$6:$L$105,D585)+O585*'参数'!$K$21</x:f>
        <x:v>8590.125838441985</x:v>
      </x:c>
      <x:c r="T585" s="19" t="n">
        <x:f>(INDEX('角色成长'!$J$6:$J$105,D585)+O585*'参数'!$L$21)*(1+'参数'!$B$40*P585)</x:f>
        <x:v>118666.76244728187</x:v>
      </x:c>
      <x:c r="U585" s="19" t="n">
        <x:f>(INDEX('角色成长'!$K$6:$K$105,D585)+O585*'参数'!$M$21)*(1+'参数'!$B$41*P585)</x:f>
        <x:v>6699.239382105553</x:v>
      </x:c>
      <x:c r="V585" s="19" t="n">
        <x:f>(('参数'!$K$5*(((Q585*(1+'参数'!$B$39*P585))^2/((Q585*(1+'参数'!$B$39*P585))+'参数'!$B$22*(I585)))*(1+'参数'!$B$42*P585)/'参数'!$J$5+((Q585*'参数'!$B$43*(1+'参数'!$B$39*P585))^2/((Q585*'参数'!$B$43*(1+'参数'!$B$39*P585))+'参数'!$B$22*(I585)))/'参数'!$B$44))+(((R585*(1+'参数'!$B$39*P585))^2/((R585*(1+'参数'!$B$39*P585))+'参数'!$B$22*(I585)))*(1+'参数'!$B$42*P585)/'参数'!$J$6+((R585*'参数'!$B$45*(1+'参数'!$B$39*P585))^2/((R585*'参数'!$B$45*(1+'参数'!$B$39*P585))+'参数'!$B$22*(I585)))/'参数'!$B$46)+((S585*(1+'参数'!$B$39*P585))^2/((S585*(1+'参数'!$B$39*P585))+'参数'!$B$22*(I585)))*(1+'参数'!$B$42*P585)/'参数'!$J$7)*(1+'参数'!$B$37*('参数'!$B$38-1))*'参数'!$B$25</x:f>
        <x:v>72276.65152942482</x:v>
      </x:c>
      <x:c r="W585" s="19" t="n">
        <x:f>(('参数'!$K$5*(((Q585*(1+'参数'!$B$39*P585))^2/((Q585*(1+'参数'!$B$39*P585))+'参数'!$B$22*(M585)))*(1+'参数'!$B$42*P585)/'参数'!$J$5+((Q585*'参数'!$B$43*(1+'参数'!$B$39*P585))^2/((Q585*'参数'!$B$43*(1+'参数'!$B$39*P585))+'参数'!$B$22*(M585)))/'参数'!$B$44))+(((R585*(1+'参数'!$B$39*P585))^2/((R585*(1+'参数'!$B$39*P585))+'参数'!$B$22*(M585)))*(1+'参数'!$B$42*P585)/'参数'!$J$6+((R585*'参数'!$B$45*(1+'参数'!$B$39*P585))^2/((R585*'参数'!$B$45*(1+'参数'!$B$39*P585))+'参数'!$B$22*(M585)))/'参数'!$B$46)+((S585*(1+'参数'!$B$39*P585))^2/((S585*(1+'参数'!$B$39*P585))+'参数'!$B$22*(M585)))*(1+'参数'!$B$42*P585)/'参数'!$J$7)*(1+'参数'!$B$37*('参数'!$B$38-1))</x:f>
        <x:v>55684.2511674383</x:v>
      </x:c>
      <x:c r="X585" s="26" t="n">
        <x:f>('参数'!$B$26+'参数'!$B$27*(D585-1)/99)*'参数'!$K$30*AD585</x:f>
        <x:v>32.39394957983193</x:v>
      </x:c>
      <x:c r="Y585" s="26" t="n">
        <x:f>('参数'!$B$28+'参数'!$B$29*(D585-1)/99)*'参数'!$K$30*AD585*IF(AE585=1,'参数'!$B$51,1)</x:f>
        <x:v>89.98319327731093</x:v>
      </x:c>
      <x:c r="Z585" s="22" t="n">
        <x:f>MIN('参数'!$B$36,U585/(U585+'参数'!$B$35))</x:f>
        <x:v>0.6261416482848315</x:v>
      </x:c>
      <x:c r="AA585" s="19" t="n">
        <x:f>T585*'参数'!$B$30/('参数'!$B$32*'参数'!$B$33)/(1-Z585)*AC585</x:f>
        <x:v>11425.596589316061</x:v>
      </x:c>
      <x:c r="AB585" s="19" t="n">
        <x:f>T585*'参数'!$B$31/'参数'!$B$34/(1-Z585)*AC585</x:f>
        <x:v>22851.193178632122</x:v>
      </x:c>
      <x:c r="AC585" s="20" t="n">
        <x:f>'参数'!$L$30*(1+'参数'!$B$53*(B585-1)/119)</x:f>
        <x:v>1.4398487394957982</x:v>
      </x:c>
      <x:c r="AD585" s="20" t="n">
        <x:f>1+'参数'!$B$52*(B585-1)/119</x:f>
        <x:v>1.1247899159663866</x:v>
      </x:c>
      <x:c r="AE585" s="19" t="n">
        <x:f>IF(MOD(B585,12)=0,1,0)</x:f>
        <x:v>0</x:v>
      </x:c>
    </x:row>
    <x:row r="586" ht="22" customHeight="1">
      <x:c r="A586" s="18" t="str">
        <x:v>折磨</x:v>
      </x:c>
      <x:c r="B586" s="18" t="n">
        <x:v>101</x:v>
      </x:c>
      <x:c r="C586" s="18" t="n">
        <x:f>ROUNDUP(B586/12,0)</x:f>
        <x:v>9</x:v>
      </x:c>
      <x:c r="D586" s="18" t="n">
        <x:f>ROUND(MAX('参数'!$G$30,E586)+(IF(C586&lt;10,INDEX('参数'!$G$38:$P$38,1,MIN(10,C586+1)),'参数'!$H$30)-MAX('参数'!$G$30,E586))*MOD(B586-1,12)/11,0)</x:f>
        <x:v>100</x:v>
      </x:c>
      <x:c r="E586" s="18" t="n">
        <x:f>INDEX('参数'!$G$38:$P$38,1,C586)</x:f>
        <x:v>100</x:v>
      </x:c>
      <x:c r="F586" s="15" t="n">
        <x:f>'参数'!$I$30</x:f>
        <x:v>1.43</x:v>
      </x:c>
      <x:c r="G586" s="18" t="n">
        <x:f>ROUND(V586*X586/'参数'!$B$56,0)</x:f>
        <x:v>509554</x:v>
      </x:c>
      <x:c r="H586" s="18" t="n">
        <x:f>ROUND((AA586+SQRT(AA586^2+4*AA586*'参数'!$B$22*U586))/2,0)</x:f>
        <x:v>17048</x:v>
      </x:c>
      <x:c r="I586" s="18" t="n">
        <x:f>ROUND(Q586*'参数'!$B$23/'参数'!$B$22,0)</x:f>
        <x:v>2126</x:v>
      </x:c>
      <x:c r="J586" s="18" t="n">
        <x:f>ROUND(G586*'参数'!$B$50,0)</x:f>
        <x:v>1528662</x:v>
      </x:c>
      <x:c r="K586" s="18" t="n">
        <x:f>ROUND(W586*Y586,0)</x:f>
        <x:v>5016262</x:v>
      </x:c>
      <x:c r="L586" s="18" t="n">
        <x:f>ROUND((AB586+SQRT(AB586^2+4*AB586*'参数'!$B$22*U586))/2,0)</x:f>
        <x:v>29382</x:v>
      </x:c>
      <x:c r="M586" s="18" t="n">
        <x:f>ROUND(I586*'参数'!$B$24,0)</x:f>
        <x:v>2658</x:v>
      </x:c>
      <x:c r="N586" s="18" t="n">
        <x:f>'参数'!$B$9*'参数'!$B$10^(D586-1)</x:f>
        <x:v>11195.319600498813</x:v>
      </x:c>
      <x:c r="O586" s="18" t="n">
        <x:f>'参数'!$B$18*'参数'!$B$19^(MIN(E586,MAX(1,5*INT(D586/5)))-1)*F586*'参数'!$J$30*P586</x:f>
        <x:v>2103.552925769118</x:v>
      </x:c>
      <x:c r="P586" s="21" t="n">
        <x:f>MIN(1,(D586-1)/19)</x:f>
        <x:v>1</x:v>
      </x:c>
      <x:c r="Q586" s="18" t="n">
        <x:f>INDEX('角色成长'!$F$6:$F$105,D586)+O586*'参数'!$K$21</x:f>
        <x:v>10629.125838441985</x:v>
      </x:c>
      <x:c r="R586" s="18" t="n">
        <x:f>INDEX('角色成长'!$I$6:$I$105,D586)+O586*'参数'!$K$21</x:f>
        <x:v>9331.125838441985</x:v>
      </x:c>
      <x:c r="S586" s="18" t="n">
        <x:f>INDEX('角色成长'!$L$6:$L$105,D586)+O586*'参数'!$K$21</x:f>
        <x:v>8590.125838441985</x:v>
      </x:c>
      <x:c r="T586" s="18" t="n">
        <x:f>(INDEX('角色成长'!$J$6:$J$105,D586)+O586*'参数'!$L$21)*(1+'参数'!$B$40*P586)</x:f>
        <x:v>118666.76244728187</x:v>
      </x:c>
      <x:c r="U586" s="18" t="n">
        <x:f>(INDEX('角色成长'!$K$6:$K$105,D586)+O586*'参数'!$M$21)*(1+'参数'!$B$41*P586)</x:f>
        <x:v>6699.239382105553</x:v>
      </x:c>
      <x:c r="V586" s="18" t="n">
        <x:f>(('参数'!$K$5*(((Q586*(1+'参数'!$B$39*P586))^2/((Q586*(1+'参数'!$B$39*P586))+'参数'!$B$22*(I586)))*(1+'参数'!$B$42*P586)/'参数'!$J$5+((Q586*'参数'!$B$43*(1+'参数'!$B$39*P586))^2/((Q586*'参数'!$B$43*(1+'参数'!$B$39*P586))+'参数'!$B$22*(I586)))/'参数'!$B$44))+(((R586*(1+'参数'!$B$39*P586))^2/((R586*(1+'参数'!$B$39*P586))+'参数'!$B$22*(I586)))*(1+'参数'!$B$42*P586)/'参数'!$J$6+((R586*'参数'!$B$45*(1+'参数'!$B$39*P586))^2/((R586*'参数'!$B$45*(1+'参数'!$B$39*P586))+'参数'!$B$22*(I586)))/'参数'!$B$46)+((S586*(1+'参数'!$B$39*P586))^2/((S586*(1+'参数'!$B$39*P586))+'参数'!$B$22*(I586)))*(1+'参数'!$B$42*P586)/'参数'!$J$7)*(1+'参数'!$B$37*('参数'!$B$38-1))*'参数'!$B$25</x:f>
        <x:v>72276.65152942482</x:v>
      </x:c>
      <x:c r="W586" s="18" t="n">
        <x:f>(('参数'!$K$5*(((Q586*(1+'参数'!$B$39*P586))^2/((Q586*(1+'参数'!$B$39*P586))+'参数'!$B$22*(M586)))*(1+'参数'!$B$42*P586)/'参数'!$J$5+((Q586*'参数'!$B$43*(1+'参数'!$B$39*P586))^2/((Q586*'参数'!$B$43*(1+'参数'!$B$39*P586))+'参数'!$B$22*(M586)))/'参数'!$B$44))+(((R586*(1+'参数'!$B$39*P586))^2/((R586*(1+'参数'!$B$39*P586))+'参数'!$B$22*(M586)))*(1+'参数'!$B$42*P586)/'参数'!$J$6+((R586*'参数'!$B$45*(1+'参数'!$B$39*P586))^2/((R586*'参数'!$B$45*(1+'参数'!$B$39*P586))+'参数'!$B$22*(M586)))/'参数'!$B$46)+((S586*(1+'参数'!$B$39*P586))^2/((S586*(1+'参数'!$B$39*P586))+'参数'!$B$22*(M586)))*(1+'参数'!$B$42*P586)/'参数'!$J$7)*(1+'参数'!$B$37*('参数'!$B$38-1))</x:f>
        <x:v>55684.2511674383</x:v>
      </x:c>
      <x:c r="X586" s="25" t="n">
        <x:f>('参数'!$B$26+'参数'!$B$27*(D586-1)/99)*'参数'!$K$30*AD586</x:f>
        <x:v>32.430252100840335</x:v>
      </x:c>
      <x:c r="Y586" s="25" t="n">
        <x:f>('参数'!$B$28+'参数'!$B$29*(D586-1)/99)*'参数'!$K$30*AD586*IF(AE586=1,'参数'!$B$51,1)</x:f>
        <x:v>90.08403361344537</x:v>
      </x:c>
      <x:c r="Z586" s="21" t="n">
        <x:f>MIN('参数'!$B$36,U586/(U586+'参数'!$B$35))</x:f>
        <x:v>0.6261416482848315</x:v>
      </x:c>
      <x:c r="AA586" s="18" t="n">
        <x:f>T586*'参数'!$B$30/('参数'!$B$32*'参数'!$B$33)/(1-Z586)*AC586</x:f>
        <x:v>11432.798352057516</x:v>
      </x:c>
      <x:c r="AB586" s="18" t="n">
        <x:f>T586*'参数'!$B$31/'参数'!$B$34/(1-Z586)*AC586</x:f>
        <x:v>22865.596704115032</x:v>
      </x:c>
      <x:c r="AC586" s="15" t="n">
        <x:f>'参数'!$L$30*(1+'参数'!$B$53*(B586-1)/119)</x:f>
        <x:v>1.4407563025210084</x:v>
      </x:c>
      <x:c r="AD586" s="15" t="n">
        <x:f>1+'参数'!$B$52*(B586-1)/119</x:f>
        <x:v>1.1260504201680672</x:v>
      </x:c>
      <x:c r="AE586" s="18" t="n">
        <x:f>IF(MOD(B586,12)=0,1,0)</x:f>
        <x:v>0</x:v>
      </x:c>
    </x:row>
    <x:row r="587" ht="22" customHeight="1">
      <x:c r="A587" s="19" t="str">
        <x:v>折磨</x:v>
      </x:c>
      <x:c r="B587" s="19" t="n">
        <x:v>102</x:v>
      </x:c>
      <x:c r="C587" s="19" t="n">
        <x:f>ROUNDUP(B587/12,0)</x:f>
        <x:v>9</x:v>
      </x:c>
      <x:c r="D587" s="19" t="n">
        <x:f>ROUND(MAX('参数'!$G$30,E587)+(IF(C587&lt;10,INDEX('参数'!$G$38:$P$38,1,MIN(10,C587+1)),'参数'!$H$30)-MAX('参数'!$G$30,E587))*MOD(B587-1,12)/11,0)</x:f>
        <x:v>100</x:v>
      </x:c>
      <x:c r="E587" s="19" t="n">
        <x:f>INDEX('参数'!$G$38:$P$38,1,C587)</x:f>
        <x:v>100</x:v>
      </x:c>
      <x:c r="F587" s="20" t="n">
        <x:f>'参数'!$I$30</x:f>
        <x:v>1.43</x:v>
      </x:c>
      <x:c r="G587" s="19" t="n">
        <x:f>ROUND(V587*X587/'参数'!$B$56,0)</x:f>
        <x:v>510125</x:v>
      </x:c>
      <x:c r="H587" s="19" t="n">
        <x:f>ROUND((AA587+SQRT(AA587^2+4*AA587*'参数'!$B$22*U587))/2,0)</x:f>
        <x:v>17057</x:v>
      </x:c>
      <x:c r="I587" s="19" t="n">
        <x:f>ROUND(Q587*'参数'!$B$23/'参数'!$B$22,0)</x:f>
        <x:v>2126</x:v>
      </x:c>
      <x:c r="J587" s="19" t="n">
        <x:f>ROUND(G587*'参数'!$B$50,0)</x:f>
        <x:v>1530375</x:v>
      </x:c>
      <x:c r="K587" s="19" t="n">
        <x:f>ROUND(W587*Y587,0)</x:f>
        <x:v>5021877</x:v>
      </x:c>
      <x:c r="L587" s="19" t="n">
        <x:f>ROUND((AB587+SQRT(AB587^2+4*AB587*'参数'!$B$22*U587))/2,0)</x:f>
        <x:v>29398</x:v>
      </x:c>
      <x:c r="M587" s="19" t="n">
        <x:f>ROUND(I587*'参数'!$B$24,0)</x:f>
        <x:v>2658</x:v>
      </x:c>
      <x:c r="N587" s="19" t="n">
        <x:f>'参数'!$B$9*'参数'!$B$10^(D587-1)</x:f>
        <x:v>11195.319600498813</x:v>
      </x:c>
      <x:c r="O587" s="19" t="n">
        <x:f>'参数'!$B$18*'参数'!$B$19^(MIN(E587,MAX(1,5*INT(D587/5)))-1)*F587*'参数'!$J$30*P587</x:f>
        <x:v>2103.552925769118</x:v>
      </x:c>
      <x:c r="P587" s="22" t="n">
        <x:f>MIN(1,(D587-1)/19)</x:f>
        <x:v>1</x:v>
      </x:c>
      <x:c r="Q587" s="19" t="n">
        <x:f>INDEX('角色成长'!$F$6:$F$105,D587)+O587*'参数'!$K$21</x:f>
        <x:v>10629.125838441985</x:v>
      </x:c>
      <x:c r="R587" s="19" t="n">
        <x:f>INDEX('角色成长'!$I$6:$I$105,D587)+O587*'参数'!$K$21</x:f>
        <x:v>9331.125838441985</x:v>
      </x:c>
      <x:c r="S587" s="19" t="n">
        <x:f>INDEX('角色成长'!$L$6:$L$105,D587)+O587*'参数'!$K$21</x:f>
        <x:v>8590.125838441985</x:v>
      </x:c>
      <x:c r="T587" s="19" t="n">
        <x:f>(INDEX('角色成长'!$J$6:$J$105,D587)+O587*'参数'!$L$21)*(1+'参数'!$B$40*P587)</x:f>
        <x:v>118666.76244728187</x:v>
      </x:c>
      <x:c r="U587" s="19" t="n">
        <x:f>(INDEX('角色成长'!$K$6:$K$105,D587)+O587*'参数'!$M$21)*(1+'参数'!$B$41*P587)</x:f>
        <x:v>6699.239382105553</x:v>
      </x:c>
      <x:c r="V587" s="19" t="n">
        <x:f>(('参数'!$K$5*(((Q587*(1+'参数'!$B$39*P587))^2/((Q587*(1+'参数'!$B$39*P587))+'参数'!$B$22*(I587)))*(1+'参数'!$B$42*P587)/'参数'!$J$5+((Q587*'参数'!$B$43*(1+'参数'!$B$39*P587))^2/((Q587*'参数'!$B$43*(1+'参数'!$B$39*P587))+'参数'!$B$22*(I587)))/'参数'!$B$44))+(((R587*(1+'参数'!$B$39*P587))^2/((R587*(1+'参数'!$B$39*P587))+'参数'!$B$22*(I587)))*(1+'参数'!$B$42*P587)/'参数'!$J$6+((R587*'参数'!$B$45*(1+'参数'!$B$39*P587))^2/((R587*'参数'!$B$45*(1+'参数'!$B$39*P587))+'参数'!$B$22*(I587)))/'参数'!$B$46)+((S587*(1+'参数'!$B$39*P587))^2/((S587*(1+'参数'!$B$39*P587))+'参数'!$B$22*(I587)))*(1+'参数'!$B$42*P587)/'参数'!$J$7)*(1+'参数'!$B$37*('参数'!$B$38-1))*'参数'!$B$25</x:f>
        <x:v>72276.65152942482</x:v>
      </x:c>
      <x:c r="W587" s="19" t="n">
        <x:f>(('参数'!$K$5*(((Q587*(1+'参数'!$B$39*P587))^2/((Q587*(1+'参数'!$B$39*P587))+'参数'!$B$22*(M587)))*(1+'参数'!$B$42*P587)/'参数'!$J$5+((Q587*'参数'!$B$43*(1+'参数'!$B$39*P587))^2/((Q587*'参数'!$B$43*(1+'参数'!$B$39*P587))+'参数'!$B$22*(M587)))/'参数'!$B$44))+(((R587*(1+'参数'!$B$39*P587))^2/((R587*(1+'参数'!$B$39*P587))+'参数'!$B$22*(M587)))*(1+'参数'!$B$42*P587)/'参数'!$J$6+((R587*'参数'!$B$45*(1+'参数'!$B$39*P587))^2/((R587*'参数'!$B$45*(1+'参数'!$B$39*P587))+'参数'!$B$22*(M587)))/'参数'!$B$46)+((S587*(1+'参数'!$B$39*P587))^2/((S587*(1+'参数'!$B$39*P587))+'参数'!$B$22*(M587)))*(1+'参数'!$B$42*P587)/'参数'!$J$7)*(1+'参数'!$B$37*('参数'!$B$38-1))</x:f>
        <x:v>55684.2511674383</x:v>
      </x:c>
      <x:c r="X587" s="26" t="n">
        <x:f>('参数'!$B$26+'参数'!$B$27*(D587-1)/99)*'参数'!$K$30*AD587</x:f>
        <x:v>32.46655462184874</x:v>
      </x:c>
      <x:c r="Y587" s="26" t="n">
        <x:f>('参数'!$B$28+'参数'!$B$29*(D587-1)/99)*'参数'!$K$30*AD587*IF(AE587=1,'参数'!$B$51,1)</x:f>
        <x:v>90.18487394957984</x:v>
      </x:c>
      <x:c r="Z587" s="22" t="n">
        <x:f>MIN('参数'!$B$36,U587/(U587+'参数'!$B$35))</x:f>
        <x:v>0.6261416482848315</x:v>
      </x:c>
      <x:c r="AA587" s="19" t="n">
        <x:f>T587*'参数'!$B$30/('参数'!$B$32*'参数'!$B$33)/(1-Z587)*AC587</x:f>
        <x:v>11440.00011479897</x:v>
      </x:c>
      <x:c r="AB587" s="19" t="n">
        <x:f>T587*'参数'!$B$31/'参数'!$B$34/(1-Z587)*AC587</x:f>
        <x:v>22880.00022959794</x:v>
      </x:c>
      <x:c r="AC587" s="20" t="n">
        <x:f>'参数'!$L$30*(1+'参数'!$B$53*(B587-1)/119)</x:f>
        <x:v>1.4416638655462186</x:v>
      </x:c>
      <x:c r="AD587" s="20" t="n">
        <x:f>1+'参数'!$B$52*(B587-1)/119</x:f>
        <x:v>1.127310924369748</x:v>
      </x:c>
      <x:c r="AE587" s="19" t="n">
        <x:f>IF(MOD(B587,12)=0,1,0)</x:f>
        <x:v>0</x:v>
      </x:c>
    </x:row>
    <x:row r="588" ht="22" customHeight="1">
      <x:c r="A588" s="18" t="str">
        <x:v>折磨</x:v>
      </x:c>
      <x:c r="B588" s="18" t="n">
        <x:v>103</x:v>
      </x:c>
      <x:c r="C588" s="18" t="n">
        <x:f>ROUNDUP(B588/12,0)</x:f>
        <x:v>9</x:v>
      </x:c>
      <x:c r="D588" s="18" t="n">
        <x:f>ROUND(MAX('参数'!$G$30,E588)+(IF(C588&lt;10,INDEX('参数'!$G$38:$P$38,1,MIN(10,C588+1)),'参数'!$H$30)-MAX('参数'!$G$30,E588))*MOD(B588-1,12)/11,0)</x:f>
        <x:v>100</x:v>
      </x:c>
      <x:c r="E588" s="18" t="n">
        <x:f>INDEX('参数'!$G$38:$P$38,1,C588)</x:f>
        <x:v>100</x:v>
      </x:c>
      <x:c r="F588" s="15" t="n">
        <x:f>'参数'!$I$30</x:f>
        <x:v>1.43</x:v>
      </x:c>
      <x:c r="G588" s="18" t="n">
        <x:f>ROUND(V588*X588/'参数'!$B$56,0)</x:f>
        <x:v>510695</x:v>
      </x:c>
      <x:c r="H588" s="18" t="n">
        <x:f>ROUND((AA588+SQRT(AA588^2+4*AA588*'参数'!$B$22*U588))/2,0)</x:f>
        <x:v>17065</x:v>
      </x:c>
      <x:c r="I588" s="18" t="n">
        <x:f>ROUND(Q588*'参数'!$B$23/'参数'!$B$22,0)</x:f>
        <x:v>2126</x:v>
      </x:c>
      <x:c r="J588" s="18" t="n">
        <x:f>ROUND(G588*'参数'!$B$50,0)</x:f>
        <x:v>1532085</x:v>
      </x:c>
      <x:c r="K588" s="18" t="n">
        <x:f>ROUND(W588*Y588,0)</x:f>
        <x:v>5027492</x:v>
      </x:c>
      <x:c r="L588" s="18" t="n">
        <x:f>ROUND((AB588+SQRT(AB588^2+4*AB588*'参数'!$B$22*U588))/2,0)</x:f>
        <x:v>29413</x:v>
      </x:c>
      <x:c r="M588" s="18" t="n">
        <x:f>ROUND(I588*'参数'!$B$24,0)</x:f>
        <x:v>2658</x:v>
      </x:c>
      <x:c r="N588" s="18" t="n">
        <x:f>'参数'!$B$9*'参数'!$B$10^(D588-1)</x:f>
        <x:v>11195.319600498813</x:v>
      </x:c>
      <x:c r="O588" s="18" t="n">
        <x:f>'参数'!$B$18*'参数'!$B$19^(MIN(E588,MAX(1,5*INT(D588/5)))-1)*F588*'参数'!$J$30*P588</x:f>
        <x:v>2103.552925769118</x:v>
      </x:c>
      <x:c r="P588" s="21" t="n">
        <x:f>MIN(1,(D588-1)/19)</x:f>
        <x:v>1</x:v>
      </x:c>
      <x:c r="Q588" s="18" t="n">
        <x:f>INDEX('角色成长'!$F$6:$F$105,D588)+O588*'参数'!$K$21</x:f>
        <x:v>10629.125838441985</x:v>
      </x:c>
      <x:c r="R588" s="18" t="n">
        <x:f>INDEX('角色成长'!$I$6:$I$105,D588)+O588*'参数'!$K$21</x:f>
        <x:v>9331.125838441985</x:v>
      </x:c>
      <x:c r="S588" s="18" t="n">
        <x:f>INDEX('角色成长'!$L$6:$L$105,D588)+O588*'参数'!$K$21</x:f>
        <x:v>8590.125838441985</x:v>
      </x:c>
      <x:c r="T588" s="18" t="n">
        <x:f>(INDEX('角色成长'!$J$6:$J$105,D588)+O588*'参数'!$L$21)*(1+'参数'!$B$40*P588)</x:f>
        <x:v>118666.76244728187</x:v>
      </x:c>
      <x:c r="U588" s="18" t="n">
        <x:f>(INDEX('角色成长'!$K$6:$K$105,D588)+O588*'参数'!$M$21)*(1+'参数'!$B$41*P588)</x:f>
        <x:v>6699.239382105553</x:v>
      </x:c>
      <x:c r="V588" s="18" t="n">
        <x:f>(('参数'!$K$5*(((Q588*(1+'参数'!$B$39*P588))^2/((Q588*(1+'参数'!$B$39*P588))+'参数'!$B$22*(I588)))*(1+'参数'!$B$42*P588)/'参数'!$J$5+((Q588*'参数'!$B$43*(1+'参数'!$B$39*P588))^2/((Q588*'参数'!$B$43*(1+'参数'!$B$39*P588))+'参数'!$B$22*(I588)))/'参数'!$B$44))+(((R588*(1+'参数'!$B$39*P588))^2/((R588*(1+'参数'!$B$39*P588))+'参数'!$B$22*(I588)))*(1+'参数'!$B$42*P588)/'参数'!$J$6+((R588*'参数'!$B$45*(1+'参数'!$B$39*P588))^2/((R588*'参数'!$B$45*(1+'参数'!$B$39*P588))+'参数'!$B$22*(I588)))/'参数'!$B$46)+((S588*(1+'参数'!$B$39*P588))^2/((S588*(1+'参数'!$B$39*P588))+'参数'!$B$22*(I588)))*(1+'参数'!$B$42*P588)/'参数'!$J$7)*(1+'参数'!$B$37*('参数'!$B$38-1))*'参数'!$B$25</x:f>
        <x:v>72276.65152942482</x:v>
      </x:c>
      <x:c r="W588" s="18" t="n">
        <x:f>(('参数'!$K$5*(((Q588*(1+'参数'!$B$39*P588))^2/((Q588*(1+'参数'!$B$39*P588))+'参数'!$B$22*(M588)))*(1+'参数'!$B$42*P588)/'参数'!$J$5+((Q588*'参数'!$B$43*(1+'参数'!$B$39*P588))^2/((Q588*'参数'!$B$43*(1+'参数'!$B$39*P588))+'参数'!$B$22*(M588)))/'参数'!$B$44))+(((R588*(1+'参数'!$B$39*P588))^2/((R588*(1+'参数'!$B$39*P588))+'参数'!$B$22*(M588)))*(1+'参数'!$B$42*P588)/'参数'!$J$6+((R588*'参数'!$B$45*(1+'参数'!$B$39*P588))^2/((R588*'参数'!$B$45*(1+'参数'!$B$39*P588))+'参数'!$B$22*(M588)))/'参数'!$B$46)+((S588*(1+'参数'!$B$39*P588))^2/((S588*(1+'参数'!$B$39*P588))+'参数'!$B$22*(M588)))*(1+'参数'!$B$42*P588)/'参数'!$J$7)*(1+'参数'!$B$37*('参数'!$B$38-1))</x:f>
        <x:v>55684.2511674383</x:v>
      </x:c>
      <x:c r="X588" s="25" t="n">
        <x:f>('参数'!$B$26+'参数'!$B$27*(D588-1)/99)*'参数'!$K$30*AD588</x:f>
        <x:v>32.502857142857145</x:v>
      </x:c>
      <x:c r="Y588" s="25" t="n">
        <x:f>('参数'!$B$28+'参数'!$B$29*(D588-1)/99)*'参数'!$K$30*AD588*IF(AE588=1,'参数'!$B$51,1)</x:f>
        <x:v>90.28571428571428</x:v>
      </x:c>
      <x:c r="Z588" s="21" t="n">
        <x:f>MIN('参数'!$B$36,U588/(U588+'参数'!$B$35))</x:f>
        <x:v>0.6261416482848315</x:v>
      </x:c>
      <x:c r="AA588" s="18" t="n">
        <x:f>T588*'参数'!$B$30/('参数'!$B$32*'参数'!$B$33)/(1-Z588)*AC588</x:f>
        <x:v>11447.201877540423</x:v>
      </x:c>
      <x:c r="AB588" s="18" t="n">
        <x:f>T588*'参数'!$B$31/'参数'!$B$34/(1-Z588)*AC588</x:f>
        <x:v>22894.403755080846</x:v>
      </x:c>
      <x:c r="AC588" s="15" t="n">
        <x:f>'参数'!$L$30*(1+'参数'!$B$53*(B588-1)/119)</x:f>
        <x:v>1.4425714285714286</x:v>
      </x:c>
      <x:c r="AD588" s="15" t="n">
        <x:f>1+'参数'!$B$52*(B588-1)/119</x:f>
        <x:v>1.1285714285714286</x:v>
      </x:c>
      <x:c r="AE588" s="18" t="n">
        <x:f>IF(MOD(B588,12)=0,1,0)</x:f>
        <x:v>0</x:v>
      </x:c>
    </x:row>
    <x:row r="589" ht="22" customHeight="1">
      <x:c r="A589" s="19" t="str">
        <x:v>折磨</x:v>
      </x:c>
      <x:c r="B589" s="19" t="n">
        <x:v>104</x:v>
      </x:c>
      <x:c r="C589" s="19" t="n">
        <x:f>ROUNDUP(B589/12,0)</x:f>
        <x:v>9</x:v>
      </x:c>
      <x:c r="D589" s="19" t="n">
        <x:f>ROUND(MAX('参数'!$G$30,E589)+(IF(C589&lt;10,INDEX('参数'!$G$38:$P$38,1,MIN(10,C589+1)),'参数'!$H$30)-MAX('参数'!$G$30,E589))*MOD(B589-1,12)/11,0)</x:f>
        <x:v>100</x:v>
      </x:c>
      <x:c r="E589" s="19" t="n">
        <x:f>INDEX('参数'!$G$38:$P$38,1,C589)</x:f>
        <x:v>100</x:v>
      </x:c>
      <x:c r="F589" s="20" t="n">
        <x:f>'参数'!$I$30</x:f>
        <x:v>1.43</x:v>
      </x:c>
      <x:c r="G589" s="19" t="n">
        <x:f>ROUND(V589*X589/'参数'!$B$56,0)</x:f>
        <x:v>511266</x:v>
      </x:c>
      <x:c r="H589" s="19" t="n">
        <x:f>ROUND((AA589+SQRT(AA589^2+4*AA589*'参数'!$B$22*U589))/2,0)</x:f>
        <x:v>17073</x:v>
      </x:c>
      <x:c r="I589" s="19" t="n">
        <x:f>ROUND(Q589*'参数'!$B$23/'参数'!$B$22,0)</x:f>
        <x:v>2126</x:v>
      </x:c>
      <x:c r="J589" s="19" t="n">
        <x:f>ROUND(G589*'参数'!$B$50,0)</x:f>
        <x:v>1533798</x:v>
      </x:c>
      <x:c r="K589" s="19" t="n">
        <x:f>ROUND(W589*Y589,0)</x:f>
        <x:v>5033108</x:v>
      </x:c>
      <x:c r="L589" s="19" t="n">
        <x:f>ROUND((AB589+SQRT(AB589^2+4*AB589*'参数'!$B$22*U589))/2,0)</x:f>
        <x:v>29428</x:v>
      </x:c>
      <x:c r="M589" s="19" t="n">
        <x:f>ROUND(I589*'参数'!$B$24,0)</x:f>
        <x:v>2658</x:v>
      </x:c>
      <x:c r="N589" s="19" t="n">
        <x:f>'参数'!$B$9*'参数'!$B$10^(D589-1)</x:f>
        <x:v>11195.319600498813</x:v>
      </x:c>
      <x:c r="O589" s="19" t="n">
        <x:f>'参数'!$B$18*'参数'!$B$19^(MIN(E589,MAX(1,5*INT(D589/5)))-1)*F589*'参数'!$J$30*P589</x:f>
        <x:v>2103.552925769118</x:v>
      </x:c>
      <x:c r="P589" s="22" t="n">
        <x:f>MIN(1,(D589-1)/19)</x:f>
        <x:v>1</x:v>
      </x:c>
      <x:c r="Q589" s="19" t="n">
        <x:f>INDEX('角色成长'!$F$6:$F$105,D589)+O589*'参数'!$K$21</x:f>
        <x:v>10629.125838441985</x:v>
      </x:c>
      <x:c r="R589" s="19" t="n">
        <x:f>INDEX('角色成长'!$I$6:$I$105,D589)+O589*'参数'!$K$21</x:f>
        <x:v>9331.125838441985</x:v>
      </x:c>
      <x:c r="S589" s="19" t="n">
        <x:f>INDEX('角色成长'!$L$6:$L$105,D589)+O589*'参数'!$K$21</x:f>
        <x:v>8590.125838441985</x:v>
      </x:c>
      <x:c r="T589" s="19" t="n">
        <x:f>(INDEX('角色成长'!$J$6:$J$105,D589)+O589*'参数'!$L$21)*(1+'参数'!$B$40*P589)</x:f>
        <x:v>118666.76244728187</x:v>
      </x:c>
      <x:c r="U589" s="19" t="n">
        <x:f>(INDEX('角色成长'!$K$6:$K$105,D589)+O589*'参数'!$M$21)*(1+'参数'!$B$41*P589)</x:f>
        <x:v>6699.239382105553</x:v>
      </x:c>
      <x:c r="V589" s="19" t="n">
        <x:f>(('参数'!$K$5*(((Q589*(1+'参数'!$B$39*P589))^2/((Q589*(1+'参数'!$B$39*P589))+'参数'!$B$22*(I589)))*(1+'参数'!$B$42*P589)/'参数'!$J$5+((Q589*'参数'!$B$43*(1+'参数'!$B$39*P589))^2/((Q589*'参数'!$B$43*(1+'参数'!$B$39*P589))+'参数'!$B$22*(I589)))/'参数'!$B$44))+(((R589*(1+'参数'!$B$39*P589))^2/((R589*(1+'参数'!$B$39*P589))+'参数'!$B$22*(I589)))*(1+'参数'!$B$42*P589)/'参数'!$J$6+((R589*'参数'!$B$45*(1+'参数'!$B$39*P589))^2/((R589*'参数'!$B$45*(1+'参数'!$B$39*P589))+'参数'!$B$22*(I589)))/'参数'!$B$46)+((S589*(1+'参数'!$B$39*P589))^2/((S589*(1+'参数'!$B$39*P589))+'参数'!$B$22*(I589)))*(1+'参数'!$B$42*P589)/'参数'!$J$7)*(1+'参数'!$B$37*('参数'!$B$38-1))*'参数'!$B$25</x:f>
        <x:v>72276.65152942482</x:v>
      </x:c>
      <x:c r="W589" s="19" t="n">
        <x:f>(('参数'!$K$5*(((Q589*(1+'参数'!$B$39*P589))^2/((Q589*(1+'参数'!$B$39*P589))+'参数'!$B$22*(M589)))*(1+'参数'!$B$42*P589)/'参数'!$J$5+((Q589*'参数'!$B$43*(1+'参数'!$B$39*P589))^2/((Q589*'参数'!$B$43*(1+'参数'!$B$39*P589))+'参数'!$B$22*(M589)))/'参数'!$B$44))+(((R589*(1+'参数'!$B$39*P589))^2/((R589*(1+'参数'!$B$39*P589))+'参数'!$B$22*(M589)))*(1+'参数'!$B$42*P589)/'参数'!$J$6+((R589*'参数'!$B$45*(1+'参数'!$B$39*P589))^2/((R589*'参数'!$B$45*(1+'参数'!$B$39*P589))+'参数'!$B$22*(M589)))/'参数'!$B$46)+((S589*(1+'参数'!$B$39*P589))^2/((S589*(1+'参数'!$B$39*P589))+'参数'!$B$22*(M589)))*(1+'参数'!$B$42*P589)/'参数'!$J$7)*(1+'参数'!$B$37*('参数'!$B$38-1))</x:f>
        <x:v>55684.2511674383</x:v>
      </x:c>
      <x:c r="X589" s="26" t="n">
        <x:f>('参数'!$B$26+'参数'!$B$27*(D589-1)/99)*'参数'!$K$30*AD589</x:f>
        <x:v>32.53915966386555</x:v>
      </x:c>
      <x:c r="Y589" s="26" t="n">
        <x:f>('参数'!$B$28+'参数'!$B$29*(D589-1)/99)*'参数'!$K$30*AD589*IF(AE589=1,'参数'!$B$51,1)</x:f>
        <x:v>90.38655462184875</x:v>
      </x:c>
      <x:c r="Z589" s="22" t="n">
        <x:f>MIN('参数'!$B$36,U589/(U589+'参数'!$B$35))</x:f>
        <x:v>0.6261416482848315</x:v>
      </x:c>
      <x:c r="AA589" s="19" t="n">
        <x:f>T589*'参数'!$B$30/('参数'!$B$32*'参数'!$B$33)/(1-Z589)*AC589</x:f>
        <x:v>11454.403640281878</x:v>
      </x:c>
      <x:c r="AB589" s="19" t="n">
        <x:f>T589*'参数'!$B$31/'参数'!$B$34/(1-Z589)*AC589</x:f>
        <x:v>22908.807280563757</x:v>
      </x:c>
      <x:c r="AC589" s="20" t="n">
        <x:f>'参数'!$L$30*(1+'参数'!$B$53*(B589-1)/119)</x:f>
        <x:v>1.4434789915966388</x:v>
      </x:c>
      <x:c r="AD589" s="20" t="n">
        <x:f>1+'参数'!$B$52*(B589-1)/119</x:f>
        <x:v>1.1298319327731092</x:v>
      </x:c>
      <x:c r="AE589" s="19" t="n">
        <x:f>IF(MOD(B589,12)=0,1,0)</x:f>
        <x:v>0</x:v>
      </x:c>
    </x:row>
    <x:row r="590" ht="22" customHeight="1">
      <x:c r="A590" s="18" t="str">
        <x:v>折磨</x:v>
      </x:c>
      <x:c r="B590" s="18" t="n">
        <x:v>105</x:v>
      </x:c>
      <x:c r="C590" s="18" t="n">
        <x:f>ROUNDUP(B590/12,0)</x:f>
        <x:v>9</x:v>
      </x:c>
      <x:c r="D590" s="18" t="n">
        <x:f>ROUND(MAX('参数'!$G$30,E590)+(IF(C590&lt;10,INDEX('参数'!$G$38:$P$38,1,MIN(10,C590+1)),'参数'!$H$30)-MAX('参数'!$G$30,E590))*MOD(B590-1,12)/11,0)</x:f>
        <x:v>100</x:v>
      </x:c>
      <x:c r="E590" s="18" t="n">
        <x:f>INDEX('参数'!$G$38:$P$38,1,C590)</x:f>
        <x:v>100</x:v>
      </x:c>
      <x:c r="F590" s="15" t="n">
        <x:f>'参数'!$I$30</x:f>
        <x:v>1.43</x:v>
      </x:c>
      <x:c r="G590" s="18" t="n">
        <x:f>ROUND(V590*X590/'参数'!$B$56,0)</x:f>
        <x:v>511836</x:v>
      </x:c>
      <x:c r="H590" s="18" t="n">
        <x:f>ROUND((AA590+SQRT(AA590^2+4*AA590*'参数'!$B$22*U590))/2,0)</x:f>
        <x:v>17081</x:v>
      </x:c>
      <x:c r="I590" s="18" t="n">
        <x:f>ROUND(Q590*'参数'!$B$23/'参数'!$B$22,0)</x:f>
        <x:v>2126</x:v>
      </x:c>
      <x:c r="J590" s="18" t="n">
        <x:f>ROUND(G590*'参数'!$B$50,0)</x:f>
        <x:v>1535508</x:v>
      </x:c>
      <x:c r="K590" s="18" t="n">
        <x:f>ROUND(W590*Y590,0)</x:f>
        <x:v>5038723</x:v>
      </x:c>
      <x:c r="L590" s="18" t="n">
        <x:f>ROUND((AB590+SQRT(AB590^2+4*AB590*'参数'!$B$22*U590))/2,0)</x:f>
        <x:v>29443</x:v>
      </x:c>
      <x:c r="M590" s="18" t="n">
        <x:f>ROUND(I590*'参数'!$B$24,0)</x:f>
        <x:v>2658</x:v>
      </x:c>
      <x:c r="N590" s="18" t="n">
        <x:f>'参数'!$B$9*'参数'!$B$10^(D590-1)</x:f>
        <x:v>11195.319600498813</x:v>
      </x:c>
      <x:c r="O590" s="18" t="n">
        <x:f>'参数'!$B$18*'参数'!$B$19^(MIN(E590,MAX(1,5*INT(D590/5)))-1)*F590*'参数'!$J$30*P590</x:f>
        <x:v>2103.552925769118</x:v>
      </x:c>
      <x:c r="P590" s="21" t="n">
        <x:f>MIN(1,(D590-1)/19)</x:f>
        <x:v>1</x:v>
      </x:c>
      <x:c r="Q590" s="18" t="n">
        <x:f>INDEX('角色成长'!$F$6:$F$105,D590)+O590*'参数'!$K$21</x:f>
        <x:v>10629.125838441985</x:v>
      </x:c>
      <x:c r="R590" s="18" t="n">
        <x:f>INDEX('角色成长'!$I$6:$I$105,D590)+O590*'参数'!$K$21</x:f>
        <x:v>9331.125838441985</x:v>
      </x:c>
      <x:c r="S590" s="18" t="n">
        <x:f>INDEX('角色成长'!$L$6:$L$105,D590)+O590*'参数'!$K$21</x:f>
        <x:v>8590.125838441985</x:v>
      </x:c>
      <x:c r="T590" s="18" t="n">
        <x:f>(INDEX('角色成长'!$J$6:$J$105,D590)+O590*'参数'!$L$21)*(1+'参数'!$B$40*P590)</x:f>
        <x:v>118666.76244728187</x:v>
      </x:c>
      <x:c r="U590" s="18" t="n">
        <x:f>(INDEX('角色成长'!$K$6:$K$105,D590)+O590*'参数'!$M$21)*(1+'参数'!$B$41*P590)</x:f>
        <x:v>6699.239382105553</x:v>
      </x:c>
      <x:c r="V590" s="18" t="n">
        <x:f>(('参数'!$K$5*(((Q590*(1+'参数'!$B$39*P590))^2/((Q590*(1+'参数'!$B$39*P590))+'参数'!$B$22*(I590)))*(1+'参数'!$B$42*P590)/'参数'!$J$5+((Q590*'参数'!$B$43*(1+'参数'!$B$39*P590))^2/((Q590*'参数'!$B$43*(1+'参数'!$B$39*P590))+'参数'!$B$22*(I590)))/'参数'!$B$44))+(((R590*(1+'参数'!$B$39*P590))^2/((R590*(1+'参数'!$B$39*P590))+'参数'!$B$22*(I590)))*(1+'参数'!$B$42*P590)/'参数'!$J$6+((R590*'参数'!$B$45*(1+'参数'!$B$39*P590))^2/((R590*'参数'!$B$45*(1+'参数'!$B$39*P590))+'参数'!$B$22*(I590)))/'参数'!$B$46)+((S590*(1+'参数'!$B$39*P590))^2/((S590*(1+'参数'!$B$39*P590))+'参数'!$B$22*(I590)))*(1+'参数'!$B$42*P590)/'参数'!$J$7)*(1+'参数'!$B$37*('参数'!$B$38-1))*'参数'!$B$25</x:f>
        <x:v>72276.65152942482</x:v>
      </x:c>
      <x:c r="W590" s="18" t="n">
        <x:f>(('参数'!$K$5*(((Q590*(1+'参数'!$B$39*P590))^2/((Q590*(1+'参数'!$B$39*P590))+'参数'!$B$22*(M590)))*(1+'参数'!$B$42*P590)/'参数'!$J$5+((Q590*'参数'!$B$43*(1+'参数'!$B$39*P590))^2/((Q590*'参数'!$B$43*(1+'参数'!$B$39*P590))+'参数'!$B$22*(M590)))/'参数'!$B$44))+(((R590*(1+'参数'!$B$39*P590))^2/((R590*(1+'参数'!$B$39*P590))+'参数'!$B$22*(M590)))*(1+'参数'!$B$42*P590)/'参数'!$J$6+((R590*'参数'!$B$45*(1+'参数'!$B$39*P590))^2/((R590*'参数'!$B$45*(1+'参数'!$B$39*P590))+'参数'!$B$22*(M590)))/'参数'!$B$46)+((S590*(1+'参数'!$B$39*P590))^2/((S590*(1+'参数'!$B$39*P590))+'参数'!$B$22*(M590)))*(1+'参数'!$B$42*P590)/'参数'!$J$7)*(1+'参数'!$B$37*('参数'!$B$38-1))</x:f>
        <x:v>55684.2511674383</x:v>
      </x:c>
      <x:c r="X590" s="25" t="n">
        <x:f>('参数'!$B$26+'参数'!$B$27*(D590-1)/99)*'参数'!$K$30*AD590</x:f>
        <x:v>32.57546218487395</x:v>
      </x:c>
      <x:c r="Y590" s="25" t="n">
        <x:f>('参数'!$B$28+'参数'!$B$29*(D590-1)/99)*'参数'!$K$30*AD590*IF(AE590=1,'参数'!$B$51,1)</x:f>
        <x:v>90.48739495798318</x:v>
      </x:c>
      <x:c r="Z590" s="21" t="n">
        <x:f>MIN('参数'!$B$36,U590/(U590+'参数'!$B$35))</x:f>
        <x:v>0.6261416482848315</x:v>
      </x:c>
      <x:c r="AA590" s="18" t="n">
        <x:f>T590*'参数'!$B$30/('参数'!$B$32*'参数'!$B$33)/(1-Z590)*AC590</x:f>
        <x:v>11461.605403023334</x:v>
      </x:c>
      <x:c r="AB590" s="18" t="n">
        <x:f>T590*'参数'!$B$31/'参数'!$B$34/(1-Z590)*AC590</x:f>
        <x:v>22923.210806046667</x:v>
      </x:c>
      <x:c r="AC590" s="15" t="n">
        <x:f>'参数'!$L$30*(1+'参数'!$B$53*(B590-1)/119)</x:f>
        <x:v>1.444386554621849</x:v>
      </x:c>
      <x:c r="AD590" s="15" t="n">
        <x:f>1+'参数'!$B$52*(B590-1)/119</x:f>
        <x:v>1.13109243697479</x:v>
      </x:c>
      <x:c r="AE590" s="18" t="n">
        <x:f>IF(MOD(B590,12)=0,1,0)</x:f>
        <x:v>0</x:v>
      </x:c>
    </x:row>
    <x:row r="591" ht="22" customHeight="1">
      <x:c r="A591" s="19" t="str">
        <x:v>折磨</x:v>
      </x:c>
      <x:c r="B591" s="19" t="n">
        <x:v>106</x:v>
      </x:c>
      <x:c r="C591" s="19" t="n">
        <x:f>ROUNDUP(B591/12,0)</x:f>
        <x:v>9</x:v>
      </x:c>
      <x:c r="D591" s="19" t="n">
        <x:f>ROUND(MAX('参数'!$G$30,E591)+(IF(C591&lt;10,INDEX('参数'!$G$38:$P$38,1,MIN(10,C591+1)),'参数'!$H$30)-MAX('参数'!$G$30,E591))*MOD(B591-1,12)/11,0)</x:f>
        <x:v>100</x:v>
      </x:c>
      <x:c r="E591" s="19" t="n">
        <x:f>INDEX('参数'!$G$38:$P$38,1,C591)</x:f>
        <x:v>100</x:v>
      </x:c>
      <x:c r="F591" s="20" t="n">
        <x:f>'参数'!$I$30</x:f>
        <x:v>1.43</x:v>
      </x:c>
      <x:c r="G591" s="19" t="n">
        <x:f>ROUND(V591*X591/'参数'!$B$56,0)</x:f>
        <x:v>512406</x:v>
      </x:c>
      <x:c r="H591" s="19" t="n">
        <x:f>ROUND((AA591+SQRT(AA591^2+4*AA591*'参数'!$B$22*U591))/2,0)</x:f>
        <x:v>17089</x:v>
      </x:c>
      <x:c r="I591" s="19" t="n">
        <x:f>ROUND(Q591*'参数'!$B$23/'参数'!$B$22,0)</x:f>
        <x:v>2126</x:v>
      </x:c>
      <x:c r="J591" s="19" t="n">
        <x:f>ROUND(G591*'参数'!$B$50,0)</x:f>
        <x:v>1537218</x:v>
      </x:c>
      <x:c r="K591" s="19" t="n">
        <x:f>ROUND(W591*Y591,0)</x:f>
        <x:v>5044338</x:v>
      </x:c>
      <x:c r="L591" s="19" t="n">
        <x:f>ROUND((AB591+SQRT(AB591^2+4*AB591*'参数'!$B$22*U591))/2,0)</x:f>
        <x:v>29458</x:v>
      </x:c>
      <x:c r="M591" s="19" t="n">
        <x:f>ROUND(I591*'参数'!$B$24,0)</x:f>
        <x:v>2658</x:v>
      </x:c>
      <x:c r="N591" s="19" t="n">
        <x:f>'参数'!$B$9*'参数'!$B$10^(D591-1)</x:f>
        <x:v>11195.319600498813</x:v>
      </x:c>
      <x:c r="O591" s="19" t="n">
        <x:f>'参数'!$B$18*'参数'!$B$19^(MIN(E591,MAX(1,5*INT(D591/5)))-1)*F591*'参数'!$J$30*P591</x:f>
        <x:v>2103.552925769118</x:v>
      </x:c>
      <x:c r="P591" s="22" t="n">
        <x:f>MIN(1,(D591-1)/19)</x:f>
        <x:v>1</x:v>
      </x:c>
      <x:c r="Q591" s="19" t="n">
        <x:f>INDEX('角色成长'!$F$6:$F$105,D591)+O591*'参数'!$K$21</x:f>
        <x:v>10629.125838441985</x:v>
      </x:c>
      <x:c r="R591" s="19" t="n">
        <x:f>INDEX('角色成长'!$I$6:$I$105,D591)+O591*'参数'!$K$21</x:f>
        <x:v>9331.125838441985</x:v>
      </x:c>
      <x:c r="S591" s="19" t="n">
        <x:f>INDEX('角色成长'!$L$6:$L$105,D591)+O591*'参数'!$K$21</x:f>
        <x:v>8590.125838441985</x:v>
      </x:c>
      <x:c r="T591" s="19" t="n">
        <x:f>(INDEX('角色成长'!$J$6:$J$105,D591)+O591*'参数'!$L$21)*(1+'参数'!$B$40*P591)</x:f>
        <x:v>118666.76244728187</x:v>
      </x:c>
      <x:c r="U591" s="19" t="n">
        <x:f>(INDEX('角色成长'!$K$6:$K$105,D591)+O591*'参数'!$M$21)*(1+'参数'!$B$41*P591)</x:f>
        <x:v>6699.239382105553</x:v>
      </x:c>
      <x:c r="V591" s="19" t="n">
        <x:f>(('参数'!$K$5*(((Q591*(1+'参数'!$B$39*P591))^2/((Q591*(1+'参数'!$B$39*P591))+'参数'!$B$22*(I591)))*(1+'参数'!$B$42*P591)/'参数'!$J$5+((Q591*'参数'!$B$43*(1+'参数'!$B$39*P591))^2/((Q591*'参数'!$B$43*(1+'参数'!$B$39*P591))+'参数'!$B$22*(I591)))/'参数'!$B$44))+(((R591*(1+'参数'!$B$39*P591))^2/((R591*(1+'参数'!$B$39*P591))+'参数'!$B$22*(I591)))*(1+'参数'!$B$42*P591)/'参数'!$J$6+((R591*'参数'!$B$45*(1+'参数'!$B$39*P591))^2/((R591*'参数'!$B$45*(1+'参数'!$B$39*P591))+'参数'!$B$22*(I591)))/'参数'!$B$46)+((S591*(1+'参数'!$B$39*P591))^2/((S591*(1+'参数'!$B$39*P591))+'参数'!$B$22*(I591)))*(1+'参数'!$B$42*P591)/'参数'!$J$7)*(1+'参数'!$B$37*('参数'!$B$38-1))*'参数'!$B$25</x:f>
        <x:v>72276.65152942482</x:v>
      </x:c>
      <x:c r="W591" s="19" t="n">
        <x:f>(('参数'!$K$5*(((Q591*(1+'参数'!$B$39*P591))^2/((Q591*(1+'参数'!$B$39*P591))+'参数'!$B$22*(M591)))*(1+'参数'!$B$42*P591)/'参数'!$J$5+((Q591*'参数'!$B$43*(1+'参数'!$B$39*P591))^2/((Q591*'参数'!$B$43*(1+'参数'!$B$39*P591))+'参数'!$B$22*(M591)))/'参数'!$B$44))+(((R591*(1+'参数'!$B$39*P591))^2/((R591*(1+'参数'!$B$39*P591))+'参数'!$B$22*(M591)))*(1+'参数'!$B$42*P591)/'参数'!$J$6+((R591*'参数'!$B$45*(1+'参数'!$B$39*P591))^2/((R591*'参数'!$B$45*(1+'参数'!$B$39*P591))+'参数'!$B$22*(M591)))/'参数'!$B$46)+((S591*(1+'参数'!$B$39*P591))^2/((S591*(1+'参数'!$B$39*P591))+'参数'!$B$22*(M591)))*(1+'参数'!$B$42*P591)/'参数'!$J$7)*(1+'参数'!$B$37*('参数'!$B$38-1))</x:f>
        <x:v>55684.2511674383</x:v>
      </x:c>
      <x:c r="X591" s="26" t="n">
        <x:f>('参数'!$B$26+'参数'!$B$27*(D591-1)/99)*'参数'!$K$30*AD591</x:f>
        <x:v>32.61176470588235</x:v>
      </x:c>
      <x:c r="Y591" s="26" t="n">
        <x:f>('参数'!$B$28+'参数'!$B$29*(D591-1)/99)*'参数'!$K$30*AD591*IF(AE591=1,'参数'!$B$51,1)</x:f>
        <x:v>90.58823529411765</x:v>
      </x:c>
      <x:c r="Z591" s="22" t="n">
        <x:f>MIN('参数'!$B$36,U591/(U591+'参数'!$B$35))</x:f>
        <x:v>0.6261416482848315</x:v>
      </x:c>
      <x:c r="AA591" s="19" t="n">
        <x:f>T591*'参数'!$B$30/('参数'!$B$32*'参数'!$B$33)/(1-Z591)*AC591</x:f>
        <x:v>11468.807165764783</x:v>
      </x:c>
      <x:c r="AB591" s="19" t="n">
        <x:f>T591*'参数'!$B$31/'参数'!$B$34/(1-Z591)*AC591</x:f>
        <x:v>22937.614331529567</x:v>
      </x:c>
      <x:c r="AC591" s="20" t="n">
        <x:f>'参数'!$L$30*(1+'参数'!$B$53*(B591-1)/119)</x:f>
        <x:v>1.4452941176470588</x:v>
      </x:c>
      <x:c r="AD591" s="20" t="n">
        <x:f>1+'参数'!$B$52*(B591-1)/119</x:f>
        <x:v>1.1323529411764706</x:v>
      </x:c>
      <x:c r="AE591" s="19" t="n">
        <x:f>IF(MOD(B591,12)=0,1,0)</x:f>
        <x:v>0</x:v>
      </x:c>
    </x:row>
    <x:row r="592" ht="22" customHeight="1">
      <x:c r="A592" s="18" t="str">
        <x:v>折磨</x:v>
      </x:c>
      <x:c r="B592" s="18" t="n">
        <x:v>107</x:v>
      </x:c>
      <x:c r="C592" s="18" t="n">
        <x:f>ROUNDUP(B592/12,0)</x:f>
        <x:v>9</x:v>
      </x:c>
      <x:c r="D592" s="18" t="n">
        <x:f>ROUND(MAX('参数'!$G$30,E592)+(IF(C592&lt;10,INDEX('参数'!$G$38:$P$38,1,MIN(10,C592+1)),'参数'!$H$30)-MAX('参数'!$G$30,E592))*MOD(B592-1,12)/11,0)</x:f>
        <x:v>100</x:v>
      </x:c>
      <x:c r="E592" s="18" t="n">
        <x:f>INDEX('参数'!$G$38:$P$38,1,C592)</x:f>
        <x:v>100</x:v>
      </x:c>
      <x:c r="F592" s="15" t="n">
        <x:f>'参数'!$I$30</x:f>
        <x:v>1.43</x:v>
      </x:c>
      <x:c r="G592" s="18" t="n">
        <x:f>ROUND(V592*X592/'参数'!$B$56,0)</x:f>
        <x:v>512977</x:v>
      </x:c>
      <x:c r="H592" s="18" t="n">
        <x:f>ROUND((AA592+SQRT(AA592^2+4*AA592*'参数'!$B$22*U592))/2,0)</x:f>
        <x:v>17097</x:v>
      </x:c>
      <x:c r="I592" s="18" t="n">
        <x:f>ROUND(Q592*'参数'!$B$23/'参数'!$B$22,0)</x:f>
        <x:v>2126</x:v>
      </x:c>
      <x:c r="J592" s="18" t="n">
        <x:f>ROUND(G592*'参数'!$B$50,0)</x:f>
        <x:v>1538931</x:v>
      </x:c>
      <x:c r="K592" s="18" t="n">
        <x:f>ROUND(W592*Y592,0)</x:f>
        <x:v>5049953</x:v>
      </x:c>
      <x:c r="L592" s="18" t="n">
        <x:f>ROUND((AB592+SQRT(AB592^2+4*AB592*'参数'!$B$22*U592))/2,0)</x:f>
        <x:v>29473</x:v>
      </x:c>
      <x:c r="M592" s="18" t="n">
        <x:f>ROUND(I592*'参数'!$B$24,0)</x:f>
        <x:v>2658</x:v>
      </x:c>
      <x:c r="N592" s="18" t="n">
        <x:f>'参数'!$B$9*'参数'!$B$10^(D592-1)</x:f>
        <x:v>11195.319600498813</x:v>
      </x:c>
      <x:c r="O592" s="18" t="n">
        <x:f>'参数'!$B$18*'参数'!$B$19^(MIN(E592,MAX(1,5*INT(D592/5)))-1)*F592*'参数'!$J$30*P592</x:f>
        <x:v>2103.552925769118</x:v>
      </x:c>
      <x:c r="P592" s="21" t="n">
        <x:f>MIN(1,(D592-1)/19)</x:f>
        <x:v>1</x:v>
      </x:c>
      <x:c r="Q592" s="18" t="n">
        <x:f>INDEX('角色成长'!$F$6:$F$105,D592)+O592*'参数'!$K$21</x:f>
        <x:v>10629.125838441985</x:v>
      </x:c>
      <x:c r="R592" s="18" t="n">
        <x:f>INDEX('角色成长'!$I$6:$I$105,D592)+O592*'参数'!$K$21</x:f>
        <x:v>9331.125838441985</x:v>
      </x:c>
      <x:c r="S592" s="18" t="n">
        <x:f>INDEX('角色成长'!$L$6:$L$105,D592)+O592*'参数'!$K$21</x:f>
        <x:v>8590.125838441985</x:v>
      </x:c>
      <x:c r="T592" s="18" t="n">
        <x:f>(INDEX('角色成长'!$J$6:$J$105,D592)+O592*'参数'!$L$21)*(1+'参数'!$B$40*P592)</x:f>
        <x:v>118666.76244728187</x:v>
      </x:c>
      <x:c r="U592" s="18" t="n">
        <x:f>(INDEX('角色成长'!$K$6:$K$105,D592)+O592*'参数'!$M$21)*(1+'参数'!$B$41*P592)</x:f>
        <x:v>6699.239382105553</x:v>
      </x:c>
      <x:c r="V592" s="18" t="n">
        <x:f>(('参数'!$K$5*(((Q592*(1+'参数'!$B$39*P592))^2/((Q592*(1+'参数'!$B$39*P592))+'参数'!$B$22*(I592)))*(1+'参数'!$B$42*P592)/'参数'!$J$5+((Q592*'参数'!$B$43*(1+'参数'!$B$39*P592))^2/((Q592*'参数'!$B$43*(1+'参数'!$B$39*P592))+'参数'!$B$22*(I592)))/'参数'!$B$44))+(((R592*(1+'参数'!$B$39*P592))^2/((R592*(1+'参数'!$B$39*P592))+'参数'!$B$22*(I592)))*(1+'参数'!$B$42*P592)/'参数'!$J$6+((R592*'参数'!$B$45*(1+'参数'!$B$39*P592))^2/((R592*'参数'!$B$45*(1+'参数'!$B$39*P592))+'参数'!$B$22*(I592)))/'参数'!$B$46)+((S592*(1+'参数'!$B$39*P592))^2/((S592*(1+'参数'!$B$39*P592))+'参数'!$B$22*(I592)))*(1+'参数'!$B$42*P592)/'参数'!$J$7)*(1+'参数'!$B$37*('参数'!$B$38-1))*'参数'!$B$25</x:f>
        <x:v>72276.65152942482</x:v>
      </x:c>
      <x:c r="W592" s="18" t="n">
        <x:f>(('参数'!$K$5*(((Q592*(1+'参数'!$B$39*P592))^2/((Q592*(1+'参数'!$B$39*P592))+'参数'!$B$22*(M592)))*(1+'参数'!$B$42*P592)/'参数'!$J$5+((Q592*'参数'!$B$43*(1+'参数'!$B$39*P592))^2/((Q592*'参数'!$B$43*(1+'参数'!$B$39*P592))+'参数'!$B$22*(M592)))/'参数'!$B$44))+(((R592*(1+'参数'!$B$39*P592))^2/((R592*(1+'参数'!$B$39*P592))+'参数'!$B$22*(M592)))*(1+'参数'!$B$42*P592)/'参数'!$J$6+((R592*'参数'!$B$45*(1+'参数'!$B$39*P592))^2/((R592*'参数'!$B$45*(1+'参数'!$B$39*P592))+'参数'!$B$22*(M592)))/'参数'!$B$46)+((S592*(1+'参数'!$B$39*P592))^2/((S592*(1+'参数'!$B$39*P592))+'参数'!$B$22*(M592)))*(1+'参数'!$B$42*P592)/'参数'!$J$7)*(1+'参数'!$B$37*('参数'!$B$38-1))</x:f>
        <x:v>55684.2511674383</x:v>
      </x:c>
      <x:c r="X592" s="25" t="n">
        <x:f>('参数'!$B$26+'参数'!$B$27*(D592-1)/99)*'参数'!$K$30*AD592</x:f>
        <x:v>32.64806722689076</x:v>
      </x:c>
      <x:c r="Y592" s="25" t="n">
        <x:f>('参数'!$B$28+'参数'!$B$29*(D592-1)/99)*'参数'!$K$30*AD592*IF(AE592=1,'参数'!$B$51,1)</x:f>
        <x:v>90.68907563025209</x:v>
      </x:c>
      <x:c r="Z592" s="21" t="n">
        <x:f>MIN('参数'!$B$36,U592/(U592+'参数'!$B$35))</x:f>
        <x:v>0.6261416482848315</x:v>
      </x:c>
      <x:c r="AA592" s="18" t="n">
        <x:f>T592*'参数'!$B$30/('参数'!$B$32*'参数'!$B$33)/(1-Z592)*AC592</x:f>
        <x:v>11476.008928506239</x:v>
      </x:c>
      <x:c r="AB592" s="18" t="n">
        <x:f>T592*'参数'!$B$31/'参数'!$B$34/(1-Z592)*AC592</x:f>
        <x:v>22952.017857012477</x:v>
      </x:c>
      <x:c r="AC592" s="15" t="n">
        <x:f>'参数'!$L$30*(1+'参数'!$B$53*(B592-1)/119)</x:f>
        <x:v>1.446201680672269</x:v>
      </x:c>
      <x:c r="AD592" s="15" t="n">
        <x:f>1+'参数'!$B$52*(B592-1)/119</x:f>
        <x:v>1.1336134453781512</x:v>
      </x:c>
      <x:c r="AE592" s="18" t="n">
        <x:f>IF(MOD(B592,12)=0,1,0)</x:f>
        <x:v>0</x:v>
      </x:c>
    </x:row>
    <x:row r="593" ht="22" customHeight="1">
      <x:c r="A593" s="19" t="str">
        <x:v>折磨</x:v>
      </x:c>
      <x:c r="B593" s="19" t="n">
        <x:v>108</x:v>
      </x:c>
      <x:c r="C593" s="19" t="n">
        <x:f>ROUNDUP(B593/12,0)</x:f>
        <x:v>9</x:v>
      </x:c>
      <x:c r="D593" s="19" t="n">
        <x:f>ROUND(MAX('参数'!$G$30,E593)+(IF(C593&lt;10,INDEX('参数'!$G$38:$P$38,1,MIN(10,C593+1)),'参数'!$H$30)-MAX('参数'!$G$30,E593))*MOD(B593-1,12)/11,0)</x:f>
        <x:v>100</x:v>
      </x:c>
      <x:c r="E593" s="19" t="n">
        <x:f>INDEX('参数'!$G$38:$P$38,1,C593)</x:f>
        <x:v>100</x:v>
      </x:c>
      <x:c r="F593" s="20" t="n">
        <x:f>'参数'!$I$30</x:f>
        <x:v>1.43</x:v>
      </x:c>
      <x:c r="G593" s="19" t="n">
        <x:f>ROUND(V593*X593/'参数'!$B$56,0)</x:f>
        <x:v>513547</x:v>
      </x:c>
      <x:c r="H593" s="19" t="n">
        <x:f>ROUND((AA593+SQRT(AA593^2+4*AA593*'参数'!$B$22*U593))/2,0)</x:f>
        <x:v>17105</x:v>
      </x:c>
      <x:c r="I593" s="19" t="n">
        <x:f>ROUND(Q593*'参数'!$B$23/'参数'!$B$22,0)</x:f>
        <x:v>2126</x:v>
      </x:c>
      <x:c r="J593" s="19" t="n">
        <x:f>ROUND(G593*'参数'!$B$50,0)</x:f>
        <x:v>1540641</x:v>
      </x:c>
      <x:c r="K593" s="19" t="n">
        <x:f>ROUND(W593*Y593,0)</x:f>
        <x:v>5813904</x:v>
      </x:c>
      <x:c r="L593" s="19" t="n">
        <x:f>ROUND((AB593+SQRT(AB593^2+4*AB593*'参数'!$B$22*U593))/2,0)</x:f>
        <x:v>29488</x:v>
      </x:c>
      <x:c r="M593" s="19" t="n">
        <x:f>ROUND(I593*'参数'!$B$24,0)</x:f>
        <x:v>2658</x:v>
      </x:c>
      <x:c r="N593" s="19" t="n">
        <x:f>'参数'!$B$9*'参数'!$B$10^(D593-1)</x:f>
        <x:v>11195.319600498813</x:v>
      </x:c>
      <x:c r="O593" s="19" t="n">
        <x:f>'参数'!$B$18*'参数'!$B$19^(MIN(E593,MAX(1,5*INT(D593/5)))-1)*F593*'参数'!$J$30*P593</x:f>
        <x:v>2103.552925769118</x:v>
      </x:c>
      <x:c r="P593" s="22" t="n">
        <x:f>MIN(1,(D593-1)/19)</x:f>
        <x:v>1</x:v>
      </x:c>
      <x:c r="Q593" s="19" t="n">
        <x:f>INDEX('角色成长'!$F$6:$F$105,D593)+O593*'参数'!$K$21</x:f>
        <x:v>10629.125838441985</x:v>
      </x:c>
      <x:c r="R593" s="19" t="n">
        <x:f>INDEX('角色成长'!$I$6:$I$105,D593)+O593*'参数'!$K$21</x:f>
        <x:v>9331.125838441985</x:v>
      </x:c>
      <x:c r="S593" s="19" t="n">
        <x:f>INDEX('角色成长'!$L$6:$L$105,D593)+O593*'参数'!$K$21</x:f>
        <x:v>8590.125838441985</x:v>
      </x:c>
      <x:c r="T593" s="19" t="n">
        <x:f>(INDEX('角色成长'!$J$6:$J$105,D593)+O593*'参数'!$L$21)*(1+'参数'!$B$40*P593)</x:f>
        <x:v>118666.76244728187</x:v>
      </x:c>
      <x:c r="U593" s="19" t="n">
        <x:f>(INDEX('角色成长'!$K$6:$K$105,D593)+O593*'参数'!$M$21)*(1+'参数'!$B$41*P593)</x:f>
        <x:v>6699.239382105553</x:v>
      </x:c>
      <x:c r="V593" s="19" t="n">
        <x:f>(('参数'!$K$5*(((Q593*(1+'参数'!$B$39*P593))^2/((Q593*(1+'参数'!$B$39*P593))+'参数'!$B$22*(I593)))*(1+'参数'!$B$42*P593)/'参数'!$J$5+((Q593*'参数'!$B$43*(1+'参数'!$B$39*P593))^2/((Q593*'参数'!$B$43*(1+'参数'!$B$39*P593))+'参数'!$B$22*(I593)))/'参数'!$B$44))+(((R593*(1+'参数'!$B$39*P593))^2/((R593*(1+'参数'!$B$39*P593))+'参数'!$B$22*(I593)))*(1+'参数'!$B$42*P593)/'参数'!$J$6+((R593*'参数'!$B$45*(1+'参数'!$B$39*P593))^2/((R593*'参数'!$B$45*(1+'参数'!$B$39*P593))+'参数'!$B$22*(I593)))/'参数'!$B$46)+((S593*(1+'参数'!$B$39*P593))^2/((S593*(1+'参数'!$B$39*P593))+'参数'!$B$22*(I593)))*(1+'参数'!$B$42*P593)/'参数'!$J$7)*(1+'参数'!$B$37*('参数'!$B$38-1))*'参数'!$B$25</x:f>
        <x:v>72276.65152942482</x:v>
      </x:c>
      <x:c r="W593" s="19" t="n">
        <x:f>(('参数'!$K$5*(((Q593*(1+'参数'!$B$39*P593))^2/((Q593*(1+'参数'!$B$39*P593))+'参数'!$B$22*(M593)))*(1+'参数'!$B$42*P593)/'参数'!$J$5+((Q593*'参数'!$B$43*(1+'参数'!$B$39*P593))^2/((Q593*'参数'!$B$43*(1+'参数'!$B$39*P593))+'参数'!$B$22*(M593)))/'参数'!$B$44))+(((R593*(1+'参数'!$B$39*P593))^2/((R593*(1+'参数'!$B$39*P593))+'参数'!$B$22*(M593)))*(1+'参数'!$B$42*P593)/'参数'!$J$6+((R593*'参数'!$B$45*(1+'参数'!$B$39*P593))^2/((R593*'参数'!$B$45*(1+'参数'!$B$39*P593))+'参数'!$B$22*(M593)))/'参数'!$B$46)+((S593*(1+'参数'!$B$39*P593))^2/((S593*(1+'参数'!$B$39*P593))+'参数'!$B$22*(M593)))*(1+'参数'!$B$42*P593)/'参数'!$J$7)*(1+'参数'!$B$37*('参数'!$B$38-1))</x:f>
        <x:v>55684.2511674383</x:v>
      </x:c>
      <x:c r="X593" s="26" t="n">
        <x:f>('参数'!$B$26+'参数'!$B$27*(D593-1)/99)*'参数'!$K$30*AD593</x:f>
        <x:v>32.68436974789916</x:v>
      </x:c>
      <x:c r="Y593" s="26" t="n">
        <x:f>('参数'!$B$28+'参数'!$B$29*(D593-1)/99)*'参数'!$K$30*AD593*IF(AE593=1,'参数'!$B$51,1)</x:f>
        <x:v>104.40840336134454</x:v>
      </x:c>
      <x:c r="Z593" s="22" t="n">
        <x:f>MIN('参数'!$B$36,U593/(U593+'参数'!$B$35))</x:f>
        <x:v>0.6261416482848315</x:v>
      </x:c>
      <x:c r="AA593" s="19" t="n">
        <x:f>T593*'参数'!$B$30/('参数'!$B$32*'参数'!$B$33)/(1-Z593)*AC593</x:f>
        <x:v>11483.210691247692</x:v>
      </x:c>
      <x:c r="AB593" s="19" t="n">
        <x:f>T593*'参数'!$B$31/'参数'!$B$34/(1-Z593)*AC593</x:f>
        <x:v>22966.421382495384</x:v>
      </x:c>
      <x:c r="AC593" s="20" t="n">
        <x:f>'参数'!$L$30*(1+'参数'!$B$53*(B593-1)/119)</x:f>
        <x:v>1.447109243697479</x:v>
      </x:c>
      <x:c r="AD593" s="20" t="n">
        <x:f>1+'参数'!$B$52*(B593-1)/119</x:f>
        <x:v>1.134873949579832</x:v>
      </x:c>
      <x:c r="AE593" s="19" t="n">
        <x:f>IF(MOD(B593,12)=0,1,0)</x:f>
        <x:v>1</x:v>
      </x:c>
    </x:row>
    <x:row r="594" ht="22" customHeight="1">
      <x:c r="A594" s="18" t="str">
        <x:v>折磨</x:v>
      </x:c>
      <x:c r="B594" s="18" t="n">
        <x:v>109</x:v>
      </x:c>
      <x:c r="C594" s="18" t="n">
        <x:f>ROUNDUP(B594/12,0)</x:f>
        <x:v>10</x:v>
      </x:c>
      <x:c r="D594" s="18" t="n">
        <x:f>ROUND(MAX('参数'!$G$30,E594)+(IF(C594&lt;10,INDEX('参数'!$G$38:$P$38,1,MIN(10,C594+1)),'参数'!$H$30)-MAX('参数'!$G$30,E594))*MOD(B594-1,12)/11,0)</x:f>
        <x:v>100</x:v>
      </x:c>
      <x:c r="E594" s="18" t="n">
        <x:f>INDEX('参数'!$G$38:$P$38,1,C594)</x:f>
        <x:v>100</x:v>
      </x:c>
      <x:c r="F594" s="15" t="n">
        <x:f>'参数'!$I$30</x:f>
        <x:v>1.43</x:v>
      </x:c>
      <x:c r="G594" s="18" t="n">
        <x:f>ROUND(V594*X594/'参数'!$B$56,0)</x:f>
        <x:v>514118</x:v>
      </x:c>
      <x:c r="H594" s="18" t="n">
        <x:f>ROUND((AA594+SQRT(AA594^2+4*AA594*'参数'!$B$22*U594))/2,0)</x:f>
        <x:v>17113</x:v>
      </x:c>
      <x:c r="I594" s="18" t="n">
        <x:f>ROUND(Q594*'参数'!$B$23/'参数'!$B$22,0)</x:f>
        <x:v>2126</x:v>
      </x:c>
      <x:c r="J594" s="18" t="n">
        <x:f>ROUND(G594*'参数'!$B$50,0)</x:f>
        <x:v>1542354</x:v>
      </x:c>
      <x:c r="K594" s="18" t="n">
        <x:f>ROUND(W594*Y594,0)</x:f>
        <x:v>5061184</x:v>
      </x:c>
      <x:c r="L594" s="18" t="n">
        <x:f>ROUND((AB594+SQRT(AB594^2+4*AB594*'参数'!$B$22*U594))/2,0)</x:f>
        <x:v>29504</x:v>
      </x:c>
      <x:c r="M594" s="18" t="n">
        <x:f>ROUND(I594*'参数'!$B$24,0)</x:f>
        <x:v>2658</x:v>
      </x:c>
      <x:c r="N594" s="18" t="n">
        <x:f>'参数'!$B$9*'参数'!$B$10^(D594-1)</x:f>
        <x:v>11195.319600498813</x:v>
      </x:c>
      <x:c r="O594" s="18" t="n">
        <x:f>'参数'!$B$18*'参数'!$B$19^(MIN(E594,MAX(1,5*INT(D594/5)))-1)*F594*'参数'!$J$30*P594</x:f>
        <x:v>2103.552925769118</x:v>
      </x:c>
      <x:c r="P594" s="21" t="n">
        <x:f>MIN(1,(D594-1)/19)</x:f>
        <x:v>1</x:v>
      </x:c>
      <x:c r="Q594" s="18" t="n">
        <x:f>INDEX('角色成长'!$F$6:$F$105,D594)+O594*'参数'!$K$21</x:f>
        <x:v>10629.125838441985</x:v>
      </x:c>
      <x:c r="R594" s="18" t="n">
        <x:f>INDEX('角色成长'!$I$6:$I$105,D594)+O594*'参数'!$K$21</x:f>
        <x:v>9331.125838441985</x:v>
      </x:c>
      <x:c r="S594" s="18" t="n">
        <x:f>INDEX('角色成长'!$L$6:$L$105,D594)+O594*'参数'!$K$21</x:f>
        <x:v>8590.125838441985</x:v>
      </x:c>
      <x:c r="T594" s="18" t="n">
        <x:f>(INDEX('角色成长'!$J$6:$J$105,D594)+O594*'参数'!$L$21)*(1+'参数'!$B$40*P594)</x:f>
        <x:v>118666.76244728187</x:v>
      </x:c>
      <x:c r="U594" s="18" t="n">
        <x:f>(INDEX('角色成长'!$K$6:$K$105,D594)+O594*'参数'!$M$21)*(1+'参数'!$B$41*P594)</x:f>
        <x:v>6699.239382105553</x:v>
      </x:c>
      <x:c r="V594" s="18" t="n">
        <x:f>(('参数'!$K$5*(((Q594*(1+'参数'!$B$39*P594))^2/((Q594*(1+'参数'!$B$39*P594))+'参数'!$B$22*(I594)))*(1+'参数'!$B$42*P594)/'参数'!$J$5+((Q594*'参数'!$B$43*(1+'参数'!$B$39*P594))^2/((Q594*'参数'!$B$43*(1+'参数'!$B$39*P594))+'参数'!$B$22*(I594)))/'参数'!$B$44))+(((R594*(1+'参数'!$B$39*P594))^2/((R594*(1+'参数'!$B$39*P594))+'参数'!$B$22*(I594)))*(1+'参数'!$B$42*P594)/'参数'!$J$6+((R594*'参数'!$B$45*(1+'参数'!$B$39*P594))^2/((R594*'参数'!$B$45*(1+'参数'!$B$39*P594))+'参数'!$B$22*(I594)))/'参数'!$B$46)+((S594*(1+'参数'!$B$39*P594))^2/((S594*(1+'参数'!$B$39*P594))+'参数'!$B$22*(I594)))*(1+'参数'!$B$42*P594)/'参数'!$J$7)*(1+'参数'!$B$37*('参数'!$B$38-1))*'参数'!$B$25</x:f>
        <x:v>72276.65152942482</x:v>
      </x:c>
      <x:c r="W594" s="18" t="n">
        <x:f>(('参数'!$K$5*(((Q594*(1+'参数'!$B$39*P594))^2/((Q594*(1+'参数'!$B$39*P594))+'参数'!$B$22*(M594)))*(1+'参数'!$B$42*P594)/'参数'!$J$5+((Q594*'参数'!$B$43*(1+'参数'!$B$39*P594))^2/((Q594*'参数'!$B$43*(1+'参数'!$B$39*P594))+'参数'!$B$22*(M594)))/'参数'!$B$44))+(((R594*(1+'参数'!$B$39*P594))^2/((R594*(1+'参数'!$B$39*P594))+'参数'!$B$22*(M594)))*(1+'参数'!$B$42*P594)/'参数'!$J$6+((R594*'参数'!$B$45*(1+'参数'!$B$39*P594))^2/((R594*'参数'!$B$45*(1+'参数'!$B$39*P594))+'参数'!$B$22*(M594)))/'参数'!$B$46)+((S594*(1+'参数'!$B$39*P594))^2/((S594*(1+'参数'!$B$39*P594))+'参数'!$B$22*(M594)))*(1+'参数'!$B$42*P594)/'参数'!$J$7)*(1+'参数'!$B$37*('参数'!$B$38-1))</x:f>
        <x:v>55684.2511674383</x:v>
      </x:c>
      <x:c r="X594" s="25" t="n">
        <x:f>('参数'!$B$26+'参数'!$B$27*(D594-1)/99)*'参数'!$K$30*AD594</x:f>
        <x:v>32.72067226890756</x:v>
      </x:c>
      <x:c r="Y594" s="25" t="n">
        <x:f>('参数'!$B$28+'参数'!$B$29*(D594-1)/99)*'参数'!$K$30*AD594*IF(AE594=1,'参数'!$B$51,1)</x:f>
        <x:v>90.890756302521</x:v>
      </x:c>
      <x:c r="Z594" s="21" t="n">
        <x:f>MIN('参数'!$B$36,U594/(U594+'参数'!$B$35))</x:f>
        <x:v>0.6261416482848315</x:v>
      </x:c>
      <x:c r="AA594" s="18" t="n">
        <x:f>T594*'参数'!$B$30/('参数'!$B$32*'参数'!$B$33)/(1-Z594)*AC594</x:f>
        <x:v>11490.412453989145</x:v>
      </x:c>
      <x:c r="AB594" s="18" t="n">
        <x:f>T594*'参数'!$B$31/'参数'!$B$34/(1-Z594)*AC594</x:f>
        <x:v>22980.82490797829</x:v>
      </x:c>
      <x:c r="AC594" s="15" t="n">
        <x:f>'参数'!$L$30*(1+'参数'!$B$53*(B594-1)/119)</x:f>
        <x:v>1.4480168067226893</x:v>
      </x:c>
      <x:c r="AD594" s="15" t="n">
        <x:f>1+'参数'!$B$52*(B594-1)/119</x:f>
        <x:v>1.1361344537815126</x:v>
      </x:c>
      <x:c r="AE594" s="18" t="n">
        <x:f>IF(MOD(B594,12)=0,1,0)</x:f>
        <x:v>0</x:v>
      </x:c>
    </x:row>
    <x:row r="595" ht="22" customHeight="1">
      <x:c r="A595" s="19" t="str">
        <x:v>折磨</x:v>
      </x:c>
      <x:c r="B595" s="19" t="n">
        <x:v>110</x:v>
      </x:c>
      <x:c r="C595" s="19" t="n">
        <x:f>ROUNDUP(B595/12,0)</x:f>
        <x:v>10</x:v>
      </x:c>
      <x:c r="D595" s="19" t="n">
        <x:f>ROUND(MAX('参数'!$G$30,E595)+(IF(C595&lt;10,INDEX('参数'!$G$38:$P$38,1,MIN(10,C595+1)),'参数'!$H$30)-MAX('参数'!$G$30,E595))*MOD(B595-1,12)/11,0)</x:f>
        <x:v>100</x:v>
      </x:c>
      <x:c r="E595" s="19" t="n">
        <x:f>INDEX('参数'!$G$38:$P$38,1,C595)</x:f>
        <x:v>100</x:v>
      </x:c>
      <x:c r="F595" s="20" t="n">
        <x:f>'参数'!$I$30</x:f>
        <x:v>1.43</x:v>
      </x:c>
      <x:c r="G595" s="19" t="n">
        <x:f>ROUND(V595*X595/'参数'!$B$56,0)</x:f>
        <x:v>514688</x:v>
      </x:c>
      <x:c r="H595" s="19" t="n">
        <x:f>ROUND((AA595+SQRT(AA595^2+4*AA595*'参数'!$B$22*U595))/2,0)</x:f>
        <x:v>17121</x:v>
      </x:c>
      <x:c r="I595" s="19" t="n">
        <x:f>ROUND(Q595*'参数'!$B$23/'参数'!$B$22,0)</x:f>
        <x:v>2126</x:v>
      </x:c>
      <x:c r="J595" s="19" t="n">
        <x:f>ROUND(G595*'参数'!$B$50,0)</x:f>
        <x:v>1544064</x:v>
      </x:c>
      <x:c r="K595" s="19" t="n">
        <x:f>ROUND(W595*Y595,0)</x:f>
        <x:v>5066799</x:v>
      </x:c>
      <x:c r="L595" s="19" t="n">
        <x:f>ROUND((AB595+SQRT(AB595^2+4*AB595*'参数'!$B$22*U595))/2,0)</x:f>
        <x:v>29519</x:v>
      </x:c>
      <x:c r="M595" s="19" t="n">
        <x:f>ROUND(I595*'参数'!$B$24,0)</x:f>
        <x:v>2658</x:v>
      </x:c>
      <x:c r="N595" s="19" t="n">
        <x:f>'参数'!$B$9*'参数'!$B$10^(D595-1)</x:f>
        <x:v>11195.319600498813</x:v>
      </x:c>
      <x:c r="O595" s="19" t="n">
        <x:f>'参数'!$B$18*'参数'!$B$19^(MIN(E595,MAX(1,5*INT(D595/5)))-1)*F595*'参数'!$J$30*P595</x:f>
        <x:v>2103.552925769118</x:v>
      </x:c>
      <x:c r="P595" s="22" t="n">
        <x:f>MIN(1,(D595-1)/19)</x:f>
        <x:v>1</x:v>
      </x:c>
      <x:c r="Q595" s="19" t="n">
        <x:f>INDEX('角色成长'!$F$6:$F$105,D595)+O595*'参数'!$K$21</x:f>
        <x:v>10629.125838441985</x:v>
      </x:c>
      <x:c r="R595" s="19" t="n">
        <x:f>INDEX('角色成长'!$I$6:$I$105,D595)+O595*'参数'!$K$21</x:f>
        <x:v>9331.125838441985</x:v>
      </x:c>
      <x:c r="S595" s="19" t="n">
        <x:f>INDEX('角色成长'!$L$6:$L$105,D595)+O595*'参数'!$K$21</x:f>
        <x:v>8590.125838441985</x:v>
      </x:c>
      <x:c r="T595" s="19" t="n">
        <x:f>(INDEX('角色成长'!$J$6:$J$105,D595)+O595*'参数'!$L$21)*(1+'参数'!$B$40*P595)</x:f>
        <x:v>118666.76244728187</x:v>
      </x:c>
      <x:c r="U595" s="19" t="n">
        <x:f>(INDEX('角色成长'!$K$6:$K$105,D595)+O595*'参数'!$M$21)*(1+'参数'!$B$41*P595)</x:f>
        <x:v>6699.239382105553</x:v>
      </x:c>
      <x:c r="V595" s="19" t="n">
        <x:f>(('参数'!$K$5*(((Q595*(1+'参数'!$B$39*P595))^2/((Q595*(1+'参数'!$B$39*P595))+'参数'!$B$22*(I595)))*(1+'参数'!$B$42*P595)/'参数'!$J$5+((Q595*'参数'!$B$43*(1+'参数'!$B$39*P595))^2/((Q595*'参数'!$B$43*(1+'参数'!$B$39*P595))+'参数'!$B$22*(I595)))/'参数'!$B$44))+(((R595*(1+'参数'!$B$39*P595))^2/((R595*(1+'参数'!$B$39*P595))+'参数'!$B$22*(I595)))*(1+'参数'!$B$42*P595)/'参数'!$J$6+((R595*'参数'!$B$45*(1+'参数'!$B$39*P595))^2/((R595*'参数'!$B$45*(1+'参数'!$B$39*P595))+'参数'!$B$22*(I595)))/'参数'!$B$46)+((S595*(1+'参数'!$B$39*P595))^2/((S595*(1+'参数'!$B$39*P595))+'参数'!$B$22*(I595)))*(1+'参数'!$B$42*P595)/'参数'!$J$7)*(1+'参数'!$B$37*('参数'!$B$38-1))*'参数'!$B$25</x:f>
        <x:v>72276.65152942482</x:v>
      </x:c>
      <x:c r="W595" s="19" t="n">
        <x:f>(('参数'!$K$5*(((Q595*(1+'参数'!$B$39*P595))^2/((Q595*(1+'参数'!$B$39*P595))+'参数'!$B$22*(M595)))*(1+'参数'!$B$42*P595)/'参数'!$J$5+((Q595*'参数'!$B$43*(1+'参数'!$B$39*P595))^2/((Q595*'参数'!$B$43*(1+'参数'!$B$39*P595))+'参数'!$B$22*(M595)))/'参数'!$B$44))+(((R595*(1+'参数'!$B$39*P595))^2/((R595*(1+'参数'!$B$39*P595))+'参数'!$B$22*(M595)))*(1+'参数'!$B$42*P595)/'参数'!$J$6+((R595*'参数'!$B$45*(1+'参数'!$B$39*P595))^2/((R595*'参数'!$B$45*(1+'参数'!$B$39*P595))+'参数'!$B$22*(M595)))/'参数'!$B$46)+((S595*(1+'参数'!$B$39*P595))^2/((S595*(1+'参数'!$B$39*P595))+'参数'!$B$22*(M595)))*(1+'参数'!$B$42*P595)/'参数'!$J$7)*(1+'参数'!$B$37*('参数'!$B$38-1))</x:f>
        <x:v>55684.2511674383</x:v>
      </x:c>
      <x:c r="X595" s="26" t="n">
        <x:f>('参数'!$B$26+'参数'!$B$27*(D595-1)/99)*'参数'!$K$30*AD595</x:f>
        <x:v>32.756974789915965</x:v>
      </x:c>
      <x:c r="Y595" s="26" t="n">
        <x:f>('参数'!$B$28+'参数'!$B$29*(D595-1)/99)*'参数'!$K$30*AD595*IF(AE595=1,'参数'!$B$51,1)</x:f>
        <x:v>90.99159663865547</x:v>
      </x:c>
      <x:c r="Z595" s="22" t="n">
        <x:f>MIN('参数'!$B$36,U595/(U595+'参数'!$B$35))</x:f>
        <x:v>0.6261416482848315</x:v>
      </x:c>
      <x:c r="AA595" s="19" t="n">
        <x:f>T595*'参数'!$B$30/('参数'!$B$32*'参数'!$B$33)/(1-Z595)*AC595</x:f>
        <x:v>11497.614216730599</x:v>
      </x:c>
      <x:c r="AB595" s="19" t="n">
        <x:f>T595*'参数'!$B$31/'参数'!$B$34/(1-Z595)*AC595</x:f>
        <x:v>22995.228433461198</x:v>
      </x:c>
      <x:c r="AC595" s="20" t="n">
        <x:f>'参数'!$L$30*(1+'参数'!$B$53*(B595-1)/119)</x:f>
        <x:v>1.4489243697478993</x:v>
      </x:c>
      <x:c r="AD595" s="20" t="n">
        <x:f>1+'参数'!$B$52*(B595-1)/119</x:f>
        <x:v>1.1373949579831932</x:v>
      </x:c>
      <x:c r="AE595" s="19" t="n">
        <x:f>IF(MOD(B595,12)=0,1,0)</x:f>
        <x:v>0</x:v>
      </x:c>
    </x:row>
    <x:row r="596" ht="22" customHeight="1">
      <x:c r="A596" s="18" t="str">
        <x:v>折磨</x:v>
      </x:c>
      <x:c r="B596" s="18" t="n">
        <x:v>111</x:v>
      </x:c>
      <x:c r="C596" s="18" t="n">
        <x:f>ROUNDUP(B596/12,0)</x:f>
        <x:v>10</x:v>
      </x:c>
      <x:c r="D596" s="18" t="n">
        <x:f>ROUND(MAX('参数'!$G$30,E596)+(IF(C596&lt;10,INDEX('参数'!$G$38:$P$38,1,MIN(10,C596+1)),'参数'!$H$30)-MAX('参数'!$G$30,E596))*MOD(B596-1,12)/11,0)</x:f>
        <x:v>100</x:v>
      </x:c>
      <x:c r="E596" s="18" t="n">
        <x:f>INDEX('参数'!$G$38:$P$38,1,C596)</x:f>
        <x:v>100</x:v>
      </x:c>
      <x:c r="F596" s="15" t="n">
        <x:f>'参数'!$I$30</x:f>
        <x:v>1.43</x:v>
      </x:c>
      <x:c r="G596" s="18" t="n">
        <x:f>ROUND(V596*X596/'参数'!$B$56,0)</x:f>
        <x:v>515258</x:v>
      </x:c>
      <x:c r="H596" s="18" t="n">
        <x:f>ROUND((AA596+SQRT(AA596^2+4*AA596*'参数'!$B$22*U596))/2,0)</x:f>
        <x:v>17129</x:v>
      </x:c>
      <x:c r="I596" s="18" t="n">
        <x:f>ROUND(Q596*'参数'!$B$23/'参数'!$B$22,0)</x:f>
        <x:v>2126</x:v>
      </x:c>
      <x:c r="J596" s="18" t="n">
        <x:f>ROUND(G596*'参数'!$B$50,0)</x:f>
        <x:v>1545774</x:v>
      </x:c>
      <x:c r="K596" s="18" t="n">
        <x:f>ROUND(W596*Y596,0)</x:f>
        <x:v>5072414</x:v>
      </x:c>
      <x:c r="L596" s="18" t="n">
        <x:f>ROUND((AB596+SQRT(AB596^2+4*AB596*'参数'!$B$22*U596))/2,0)</x:f>
        <x:v>29534</x:v>
      </x:c>
      <x:c r="M596" s="18" t="n">
        <x:f>ROUND(I596*'参数'!$B$24,0)</x:f>
        <x:v>2658</x:v>
      </x:c>
      <x:c r="N596" s="18" t="n">
        <x:f>'参数'!$B$9*'参数'!$B$10^(D596-1)</x:f>
        <x:v>11195.319600498813</x:v>
      </x:c>
      <x:c r="O596" s="18" t="n">
        <x:f>'参数'!$B$18*'参数'!$B$19^(MIN(E596,MAX(1,5*INT(D596/5)))-1)*F596*'参数'!$J$30*P596</x:f>
        <x:v>2103.552925769118</x:v>
      </x:c>
      <x:c r="P596" s="21" t="n">
        <x:f>MIN(1,(D596-1)/19)</x:f>
        <x:v>1</x:v>
      </x:c>
      <x:c r="Q596" s="18" t="n">
        <x:f>INDEX('角色成长'!$F$6:$F$105,D596)+O596*'参数'!$K$21</x:f>
        <x:v>10629.125838441985</x:v>
      </x:c>
      <x:c r="R596" s="18" t="n">
        <x:f>INDEX('角色成长'!$I$6:$I$105,D596)+O596*'参数'!$K$21</x:f>
        <x:v>9331.125838441985</x:v>
      </x:c>
      <x:c r="S596" s="18" t="n">
        <x:f>INDEX('角色成长'!$L$6:$L$105,D596)+O596*'参数'!$K$21</x:f>
        <x:v>8590.125838441985</x:v>
      </x:c>
      <x:c r="T596" s="18" t="n">
        <x:f>(INDEX('角色成长'!$J$6:$J$105,D596)+O596*'参数'!$L$21)*(1+'参数'!$B$40*P596)</x:f>
        <x:v>118666.76244728187</x:v>
      </x:c>
      <x:c r="U596" s="18" t="n">
        <x:f>(INDEX('角色成长'!$K$6:$K$105,D596)+O596*'参数'!$M$21)*(1+'参数'!$B$41*P596)</x:f>
        <x:v>6699.239382105553</x:v>
      </x:c>
      <x:c r="V596" s="18" t="n">
        <x:f>(('参数'!$K$5*(((Q596*(1+'参数'!$B$39*P596))^2/((Q596*(1+'参数'!$B$39*P596))+'参数'!$B$22*(I596)))*(1+'参数'!$B$42*P596)/'参数'!$J$5+((Q596*'参数'!$B$43*(1+'参数'!$B$39*P596))^2/((Q596*'参数'!$B$43*(1+'参数'!$B$39*P596))+'参数'!$B$22*(I596)))/'参数'!$B$44))+(((R596*(1+'参数'!$B$39*P596))^2/((R596*(1+'参数'!$B$39*P596))+'参数'!$B$22*(I596)))*(1+'参数'!$B$42*P596)/'参数'!$J$6+((R596*'参数'!$B$45*(1+'参数'!$B$39*P596))^2/((R596*'参数'!$B$45*(1+'参数'!$B$39*P596))+'参数'!$B$22*(I596)))/'参数'!$B$46)+((S596*(1+'参数'!$B$39*P596))^2/((S596*(1+'参数'!$B$39*P596))+'参数'!$B$22*(I596)))*(1+'参数'!$B$42*P596)/'参数'!$J$7)*(1+'参数'!$B$37*('参数'!$B$38-1))*'参数'!$B$25</x:f>
        <x:v>72276.65152942482</x:v>
      </x:c>
      <x:c r="W596" s="18" t="n">
        <x:f>(('参数'!$K$5*(((Q596*(1+'参数'!$B$39*P596))^2/((Q596*(1+'参数'!$B$39*P596))+'参数'!$B$22*(M596)))*(1+'参数'!$B$42*P596)/'参数'!$J$5+((Q596*'参数'!$B$43*(1+'参数'!$B$39*P596))^2/((Q596*'参数'!$B$43*(1+'参数'!$B$39*P596))+'参数'!$B$22*(M596)))/'参数'!$B$44))+(((R596*(1+'参数'!$B$39*P596))^2/((R596*(1+'参数'!$B$39*P596))+'参数'!$B$22*(M596)))*(1+'参数'!$B$42*P596)/'参数'!$J$6+((R596*'参数'!$B$45*(1+'参数'!$B$39*P596))^2/((R596*'参数'!$B$45*(1+'参数'!$B$39*P596))+'参数'!$B$22*(M596)))/'参数'!$B$46)+((S596*(1+'参数'!$B$39*P596))^2/((S596*(1+'参数'!$B$39*P596))+'参数'!$B$22*(M596)))*(1+'参数'!$B$42*P596)/'参数'!$J$7)*(1+'参数'!$B$37*('参数'!$B$38-1))</x:f>
        <x:v>55684.2511674383</x:v>
      </x:c>
      <x:c r="X596" s="25" t="n">
        <x:f>('参数'!$B$26+'参数'!$B$27*(D596-1)/99)*'参数'!$K$30*AD596</x:f>
        <x:v>32.79327731092437</x:v>
      </x:c>
      <x:c r="Y596" s="25" t="n">
        <x:f>('参数'!$B$28+'参数'!$B$29*(D596-1)/99)*'参数'!$K$30*AD596*IF(AE596=1,'参数'!$B$51,1)</x:f>
        <x:v>91.0924369747899</x:v>
      </x:c>
      <x:c r="Z596" s="21" t="n">
        <x:f>MIN('参数'!$B$36,U596/(U596+'参数'!$B$35))</x:f>
        <x:v>0.6261416482848315</x:v>
      </x:c>
      <x:c r="AA596" s="18" t="n">
        <x:f>T596*'参数'!$B$30/('参数'!$B$32*'参数'!$B$33)/(1-Z596)*AC596</x:f>
        <x:v>11504.815979472052</x:v>
      </x:c>
      <x:c r="AB596" s="18" t="n">
        <x:f>T596*'参数'!$B$31/'参数'!$B$34/(1-Z596)*AC596</x:f>
        <x:v>23009.631958944105</x:v>
      </x:c>
      <x:c r="AC596" s="15" t="n">
        <x:f>'参数'!$L$30*(1+'参数'!$B$53*(B596-1)/119)</x:f>
        <x:v>1.4498319327731093</x:v>
      </x:c>
      <x:c r="AD596" s="15" t="n">
        <x:f>1+'参数'!$B$52*(B596-1)/119</x:f>
        <x:v>1.138655462184874</x:v>
      </x:c>
      <x:c r="AE596" s="18" t="n">
        <x:f>IF(MOD(B596,12)=0,1,0)</x:f>
        <x:v>0</x:v>
      </x:c>
    </x:row>
    <x:row r="597" ht="22" customHeight="1">
      <x:c r="A597" s="19" t="str">
        <x:v>折磨</x:v>
      </x:c>
      <x:c r="B597" s="19" t="n">
        <x:v>112</x:v>
      </x:c>
      <x:c r="C597" s="19" t="n">
        <x:f>ROUNDUP(B597/12,0)</x:f>
        <x:v>10</x:v>
      </x:c>
      <x:c r="D597" s="19" t="n">
        <x:f>ROUND(MAX('参数'!$G$30,E597)+(IF(C597&lt;10,INDEX('参数'!$G$38:$P$38,1,MIN(10,C597+1)),'参数'!$H$30)-MAX('参数'!$G$30,E597))*MOD(B597-1,12)/11,0)</x:f>
        <x:v>100</x:v>
      </x:c>
      <x:c r="E597" s="19" t="n">
        <x:f>INDEX('参数'!$G$38:$P$38,1,C597)</x:f>
        <x:v>100</x:v>
      </x:c>
      <x:c r="F597" s="20" t="n">
        <x:f>'参数'!$I$30</x:f>
        <x:v>1.43</x:v>
      </x:c>
      <x:c r="G597" s="19" t="n">
        <x:f>ROUND(V597*X597/'参数'!$B$56,0)</x:f>
        <x:v>515829</x:v>
      </x:c>
      <x:c r="H597" s="19" t="n">
        <x:f>ROUND((AA597+SQRT(AA597^2+4*AA597*'参数'!$B$22*U597))/2,0)</x:f>
        <x:v>17137</x:v>
      </x:c>
      <x:c r="I597" s="19" t="n">
        <x:f>ROUND(Q597*'参数'!$B$23/'参数'!$B$22,0)</x:f>
        <x:v>2126</x:v>
      </x:c>
      <x:c r="J597" s="19" t="n">
        <x:f>ROUND(G597*'参数'!$B$50,0)</x:f>
        <x:v>1547487</x:v>
      </x:c>
      <x:c r="K597" s="19" t="n">
        <x:f>ROUND(W597*Y597,0)</x:f>
        <x:v>5078029</x:v>
      </x:c>
      <x:c r="L597" s="19" t="n">
        <x:f>ROUND((AB597+SQRT(AB597^2+4*AB597*'参数'!$B$22*U597))/2,0)</x:f>
        <x:v>29549</x:v>
      </x:c>
      <x:c r="M597" s="19" t="n">
        <x:f>ROUND(I597*'参数'!$B$24,0)</x:f>
        <x:v>2658</x:v>
      </x:c>
      <x:c r="N597" s="19" t="n">
        <x:f>'参数'!$B$9*'参数'!$B$10^(D597-1)</x:f>
        <x:v>11195.319600498813</x:v>
      </x:c>
      <x:c r="O597" s="19" t="n">
        <x:f>'参数'!$B$18*'参数'!$B$19^(MIN(E597,MAX(1,5*INT(D597/5)))-1)*F597*'参数'!$J$30*P597</x:f>
        <x:v>2103.552925769118</x:v>
      </x:c>
      <x:c r="P597" s="22" t="n">
        <x:f>MIN(1,(D597-1)/19)</x:f>
        <x:v>1</x:v>
      </x:c>
      <x:c r="Q597" s="19" t="n">
        <x:f>INDEX('角色成长'!$F$6:$F$105,D597)+O597*'参数'!$K$21</x:f>
        <x:v>10629.125838441985</x:v>
      </x:c>
      <x:c r="R597" s="19" t="n">
        <x:f>INDEX('角色成长'!$I$6:$I$105,D597)+O597*'参数'!$K$21</x:f>
        <x:v>9331.125838441985</x:v>
      </x:c>
      <x:c r="S597" s="19" t="n">
        <x:f>INDEX('角色成长'!$L$6:$L$105,D597)+O597*'参数'!$K$21</x:f>
        <x:v>8590.125838441985</x:v>
      </x:c>
      <x:c r="T597" s="19" t="n">
        <x:f>(INDEX('角色成长'!$J$6:$J$105,D597)+O597*'参数'!$L$21)*(1+'参数'!$B$40*P597)</x:f>
        <x:v>118666.76244728187</x:v>
      </x:c>
      <x:c r="U597" s="19" t="n">
        <x:f>(INDEX('角色成长'!$K$6:$K$105,D597)+O597*'参数'!$M$21)*(1+'参数'!$B$41*P597)</x:f>
        <x:v>6699.239382105553</x:v>
      </x:c>
      <x:c r="V597" s="19" t="n">
        <x:f>(('参数'!$K$5*(((Q597*(1+'参数'!$B$39*P597))^2/((Q597*(1+'参数'!$B$39*P597))+'参数'!$B$22*(I597)))*(1+'参数'!$B$42*P597)/'参数'!$J$5+((Q597*'参数'!$B$43*(1+'参数'!$B$39*P597))^2/((Q597*'参数'!$B$43*(1+'参数'!$B$39*P597))+'参数'!$B$22*(I597)))/'参数'!$B$44))+(((R597*(1+'参数'!$B$39*P597))^2/((R597*(1+'参数'!$B$39*P597))+'参数'!$B$22*(I597)))*(1+'参数'!$B$42*P597)/'参数'!$J$6+((R597*'参数'!$B$45*(1+'参数'!$B$39*P597))^2/((R597*'参数'!$B$45*(1+'参数'!$B$39*P597))+'参数'!$B$22*(I597)))/'参数'!$B$46)+((S597*(1+'参数'!$B$39*P597))^2/((S597*(1+'参数'!$B$39*P597))+'参数'!$B$22*(I597)))*(1+'参数'!$B$42*P597)/'参数'!$J$7)*(1+'参数'!$B$37*('参数'!$B$38-1))*'参数'!$B$25</x:f>
        <x:v>72276.65152942482</x:v>
      </x:c>
      <x:c r="W597" s="19" t="n">
        <x:f>(('参数'!$K$5*(((Q597*(1+'参数'!$B$39*P597))^2/((Q597*(1+'参数'!$B$39*P597))+'参数'!$B$22*(M597)))*(1+'参数'!$B$42*P597)/'参数'!$J$5+((Q597*'参数'!$B$43*(1+'参数'!$B$39*P597))^2/((Q597*'参数'!$B$43*(1+'参数'!$B$39*P597))+'参数'!$B$22*(M597)))/'参数'!$B$44))+(((R597*(1+'参数'!$B$39*P597))^2/((R597*(1+'参数'!$B$39*P597))+'参数'!$B$22*(M597)))*(1+'参数'!$B$42*P597)/'参数'!$J$6+((R597*'参数'!$B$45*(1+'参数'!$B$39*P597))^2/((R597*'参数'!$B$45*(1+'参数'!$B$39*P597))+'参数'!$B$22*(M597)))/'参数'!$B$46)+((S597*(1+'参数'!$B$39*P597))^2/((S597*(1+'参数'!$B$39*P597))+'参数'!$B$22*(M597)))*(1+'参数'!$B$42*P597)/'参数'!$J$7)*(1+'参数'!$B$37*('参数'!$B$38-1))</x:f>
        <x:v>55684.2511674383</x:v>
      </x:c>
      <x:c r="X597" s="26" t="n">
        <x:f>('参数'!$B$26+'参数'!$B$27*(D597-1)/99)*'参数'!$K$30*AD597</x:f>
        <x:v>32.829579831932776</x:v>
      </x:c>
      <x:c r="Y597" s="26" t="n">
        <x:f>('参数'!$B$28+'参数'!$B$29*(D597-1)/99)*'参数'!$K$30*AD597*IF(AE597=1,'参数'!$B$51,1)</x:f>
        <x:v>91.19327731092437</x:v>
      </x:c>
      <x:c r="Z597" s="22" t="n">
        <x:f>MIN('参数'!$B$36,U597/(U597+'参数'!$B$35))</x:f>
        <x:v>0.6261416482848315</x:v>
      </x:c>
      <x:c r="AA597" s="19" t="n">
        <x:f>T597*'参数'!$B$30/('参数'!$B$32*'参数'!$B$33)/(1-Z597)*AC597</x:f>
        <x:v>11512.017742213506</x:v>
      </x:c>
      <x:c r="AB597" s="19" t="n">
        <x:f>T597*'参数'!$B$31/'参数'!$B$34/(1-Z597)*AC597</x:f>
        <x:v>23024.03548442701</x:v>
      </x:c>
      <x:c r="AC597" s="20" t="n">
        <x:f>'参数'!$L$30*(1+'参数'!$B$53*(B597-1)/119)</x:f>
        <x:v>1.4507394957983195</x:v>
      </x:c>
      <x:c r="AD597" s="20" t="n">
        <x:f>1+'参数'!$B$52*(B597-1)/119</x:f>
        <x:v>1.1399159663865546</x:v>
      </x:c>
      <x:c r="AE597" s="19" t="n">
        <x:f>IF(MOD(B597,12)=0,1,0)</x:f>
        <x:v>0</x:v>
      </x:c>
    </x:row>
    <x:row r="598" ht="22" customHeight="1">
      <x:c r="A598" s="18" t="str">
        <x:v>折磨</x:v>
      </x:c>
      <x:c r="B598" s="18" t="n">
        <x:v>113</x:v>
      </x:c>
      <x:c r="C598" s="18" t="n">
        <x:f>ROUNDUP(B598/12,0)</x:f>
        <x:v>10</x:v>
      </x:c>
      <x:c r="D598" s="18" t="n">
        <x:f>ROUND(MAX('参数'!$G$30,E598)+(IF(C598&lt;10,INDEX('参数'!$G$38:$P$38,1,MIN(10,C598+1)),'参数'!$H$30)-MAX('参数'!$G$30,E598))*MOD(B598-1,12)/11,0)</x:f>
        <x:v>100</x:v>
      </x:c>
      <x:c r="E598" s="18" t="n">
        <x:f>INDEX('参数'!$G$38:$P$38,1,C598)</x:f>
        <x:v>100</x:v>
      </x:c>
      <x:c r="F598" s="15" t="n">
        <x:f>'参数'!$I$30</x:f>
        <x:v>1.43</x:v>
      </x:c>
      <x:c r="G598" s="18" t="n">
        <x:f>ROUND(V598*X598/'参数'!$B$56,0)</x:f>
        <x:v>516399</x:v>
      </x:c>
      <x:c r="H598" s="18" t="n">
        <x:f>ROUND((AA598+SQRT(AA598^2+4*AA598*'参数'!$B$22*U598))/2,0)</x:f>
        <x:v>17145</x:v>
      </x:c>
      <x:c r="I598" s="18" t="n">
        <x:f>ROUND(Q598*'参数'!$B$23/'参数'!$B$22,0)</x:f>
        <x:v>2126</x:v>
      </x:c>
      <x:c r="J598" s="18" t="n">
        <x:f>ROUND(G598*'参数'!$B$50,0)</x:f>
        <x:v>1549197</x:v>
      </x:c>
      <x:c r="K598" s="18" t="n">
        <x:f>ROUND(W598*Y598,0)</x:f>
        <x:v>5083645</x:v>
      </x:c>
      <x:c r="L598" s="18" t="n">
        <x:f>ROUND((AB598+SQRT(AB598^2+4*AB598*'参数'!$B$22*U598))/2,0)</x:f>
        <x:v>29564</x:v>
      </x:c>
      <x:c r="M598" s="18" t="n">
        <x:f>ROUND(I598*'参数'!$B$24,0)</x:f>
        <x:v>2658</x:v>
      </x:c>
      <x:c r="N598" s="18" t="n">
        <x:f>'参数'!$B$9*'参数'!$B$10^(D598-1)</x:f>
        <x:v>11195.319600498813</x:v>
      </x:c>
      <x:c r="O598" s="18" t="n">
        <x:f>'参数'!$B$18*'参数'!$B$19^(MIN(E598,MAX(1,5*INT(D598/5)))-1)*F598*'参数'!$J$30*P598</x:f>
        <x:v>2103.552925769118</x:v>
      </x:c>
      <x:c r="P598" s="21" t="n">
        <x:f>MIN(1,(D598-1)/19)</x:f>
        <x:v>1</x:v>
      </x:c>
      <x:c r="Q598" s="18" t="n">
        <x:f>INDEX('角色成长'!$F$6:$F$105,D598)+O598*'参数'!$K$21</x:f>
        <x:v>10629.125838441985</x:v>
      </x:c>
      <x:c r="R598" s="18" t="n">
        <x:f>INDEX('角色成长'!$I$6:$I$105,D598)+O598*'参数'!$K$21</x:f>
        <x:v>9331.125838441985</x:v>
      </x:c>
      <x:c r="S598" s="18" t="n">
        <x:f>INDEX('角色成长'!$L$6:$L$105,D598)+O598*'参数'!$K$21</x:f>
        <x:v>8590.125838441985</x:v>
      </x:c>
      <x:c r="T598" s="18" t="n">
        <x:f>(INDEX('角色成长'!$J$6:$J$105,D598)+O598*'参数'!$L$21)*(1+'参数'!$B$40*P598)</x:f>
        <x:v>118666.76244728187</x:v>
      </x:c>
      <x:c r="U598" s="18" t="n">
        <x:f>(INDEX('角色成长'!$K$6:$K$105,D598)+O598*'参数'!$M$21)*(1+'参数'!$B$41*P598)</x:f>
        <x:v>6699.239382105553</x:v>
      </x:c>
      <x:c r="V598" s="18" t="n">
        <x:f>(('参数'!$K$5*(((Q598*(1+'参数'!$B$39*P598))^2/((Q598*(1+'参数'!$B$39*P598))+'参数'!$B$22*(I598)))*(1+'参数'!$B$42*P598)/'参数'!$J$5+((Q598*'参数'!$B$43*(1+'参数'!$B$39*P598))^2/((Q598*'参数'!$B$43*(1+'参数'!$B$39*P598))+'参数'!$B$22*(I598)))/'参数'!$B$44))+(((R598*(1+'参数'!$B$39*P598))^2/((R598*(1+'参数'!$B$39*P598))+'参数'!$B$22*(I598)))*(1+'参数'!$B$42*P598)/'参数'!$J$6+((R598*'参数'!$B$45*(1+'参数'!$B$39*P598))^2/((R598*'参数'!$B$45*(1+'参数'!$B$39*P598))+'参数'!$B$22*(I598)))/'参数'!$B$46)+((S598*(1+'参数'!$B$39*P598))^2/((S598*(1+'参数'!$B$39*P598))+'参数'!$B$22*(I598)))*(1+'参数'!$B$42*P598)/'参数'!$J$7)*(1+'参数'!$B$37*('参数'!$B$38-1))*'参数'!$B$25</x:f>
        <x:v>72276.65152942482</x:v>
      </x:c>
      <x:c r="W598" s="18" t="n">
        <x:f>(('参数'!$K$5*(((Q598*(1+'参数'!$B$39*P598))^2/((Q598*(1+'参数'!$B$39*P598))+'参数'!$B$22*(M598)))*(1+'参数'!$B$42*P598)/'参数'!$J$5+((Q598*'参数'!$B$43*(1+'参数'!$B$39*P598))^2/((Q598*'参数'!$B$43*(1+'参数'!$B$39*P598))+'参数'!$B$22*(M598)))/'参数'!$B$44))+(((R598*(1+'参数'!$B$39*P598))^2/((R598*(1+'参数'!$B$39*P598))+'参数'!$B$22*(M598)))*(1+'参数'!$B$42*P598)/'参数'!$J$6+((R598*'参数'!$B$45*(1+'参数'!$B$39*P598))^2/((R598*'参数'!$B$45*(1+'参数'!$B$39*P598))+'参数'!$B$22*(M598)))/'参数'!$B$46)+((S598*(1+'参数'!$B$39*P598))^2/((S598*(1+'参数'!$B$39*P598))+'参数'!$B$22*(M598)))*(1+'参数'!$B$42*P598)/'参数'!$J$7)*(1+'参数'!$B$37*('参数'!$B$38-1))</x:f>
        <x:v>55684.2511674383</x:v>
      </x:c>
      <x:c r="X598" s="25" t="n">
        <x:f>('参数'!$B$26+'参数'!$B$27*(D598-1)/99)*'参数'!$K$30*AD598</x:f>
        <x:v>32.86588235294118</x:v>
      </x:c>
      <x:c r="Y598" s="25" t="n">
        <x:f>('参数'!$B$28+'参数'!$B$29*(D598-1)/99)*'参数'!$K$30*AD598*IF(AE598=1,'参数'!$B$51,1)</x:f>
        <x:v>91.29411764705881</x:v>
      </x:c>
      <x:c r="Z598" s="21" t="n">
        <x:f>MIN('参数'!$B$36,U598/(U598+'参数'!$B$35))</x:f>
        <x:v>0.6261416482848315</x:v>
      </x:c>
      <x:c r="AA598" s="18" t="n">
        <x:f>T598*'参数'!$B$30/('参数'!$B$32*'参数'!$B$33)/(1-Z598)*AC598</x:f>
        <x:v>11519.219504954957</x:v>
      </x:c>
      <x:c r="AB598" s="18" t="n">
        <x:f>T598*'参数'!$B$31/'参数'!$B$34/(1-Z598)*AC598</x:f>
        <x:v>23038.439009909915</x:v>
      </x:c>
      <x:c r="AC598" s="15" t="n">
        <x:f>'参数'!$L$30*(1+'参数'!$B$53*(B598-1)/119)</x:f>
        <x:v>1.4516470588235293</x:v>
      </x:c>
      <x:c r="AD598" s="15" t="n">
        <x:f>1+'参数'!$B$52*(B598-1)/119</x:f>
        <x:v>1.1411764705882352</x:v>
      </x:c>
      <x:c r="AE598" s="18" t="n">
        <x:f>IF(MOD(B598,12)=0,1,0)</x:f>
        <x:v>0</x:v>
      </x:c>
    </x:row>
    <x:row r="599" ht="22" customHeight="1">
      <x:c r="A599" s="19" t="str">
        <x:v>折磨</x:v>
      </x:c>
      <x:c r="B599" s="19" t="n">
        <x:v>114</x:v>
      </x:c>
      <x:c r="C599" s="19" t="n">
        <x:f>ROUNDUP(B599/12,0)</x:f>
        <x:v>10</x:v>
      </x:c>
      <x:c r="D599" s="19" t="n">
        <x:f>ROUND(MAX('参数'!$G$30,E599)+(IF(C599&lt;10,INDEX('参数'!$G$38:$P$38,1,MIN(10,C599+1)),'参数'!$H$30)-MAX('参数'!$G$30,E599))*MOD(B599-1,12)/11,0)</x:f>
        <x:v>100</x:v>
      </x:c>
      <x:c r="E599" s="19" t="n">
        <x:f>INDEX('参数'!$G$38:$P$38,1,C599)</x:f>
        <x:v>100</x:v>
      </x:c>
      <x:c r="F599" s="20" t="n">
        <x:f>'参数'!$I$30</x:f>
        <x:v>1.43</x:v>
      </x:c>
      <x:c r="G599" s="19" t="n">
        <x:f>ROUND(V599*X599/'参数'!$B$56,0)</x:f>
        <x:v>516970</x:v>
      </x:c>
      <x:c r="H599" s="19" t="n">
        <x:f>ROUND((AA599+SQRT(AA599^2+4*AA599*'参数'!$B$22*U599))/2,0)</x:f>
        <x:v>17153</x:v>
      </x:c>
      <x:c r="I599" s="19" t="n">
        <x:f>ROUND(Q599*'参数'!$B$23/'参数'!$B$22,0)</x:f>
        <x:v>2126</x:v>
      </x:c>
      <x:c r="J599" s="19" t="n">
        <x:f>ROUND(G599*'参数'!$B$50,0)</x:f>
        <x:v>1550910</x:v>
      </x:c>
      <x:c r="K599" s="19" t="n">
        <x:f>ROUND(W599*Y599,0)</x:f>
        <x:v>5089260</x:v>
      </x:c>
      <x:c r="L599" s="19" t="n">
        <x:f>ROUND((AB599+SQRT(AB599^2+4*AB599*'参数'!$B$22*U599))/2,0)</x:f>
        <x:v>29579</x:v>
      </x:c>
      <x:c r="M599" s="19" t="n">
        <x:f>ROUND(I599*'参数'!$B$24,0)</x:f>
        <x:v>2658</x:v>
      </x:c>
      <x:c r="N599" s="19" t="n">
        <x:f>'参数'!$B$9*'参数'!$B$10^(D599-1)</x:f>
        <x:v>11195.319600498813</x:v>
      </x:c>
      <x:c r="O599" s="19" t="n">
        <x:f>'参数'!$B$18*'参数'!$B$19^(MIN(E599,MAX(1,5*INT(D599/5)))-1)*F599*'参数'!$J$30*P599</x:f>
        <x:v>2103.552925769118</x:v>
      </x:c>
      <x:c r="P599" s="22" t="n">
        <x:f>MIN(1,(D599-1)/19)</x:f>
        <x:v>1</x:v>
      </x:c>
      <x:c r="Q599" s="19" t="n">
        <x:f>INDEX('角色成长'!$F$6:$F$105,D599)+O599*'参数'!$K$21</x:f>
        <x:v>10629.125838441985</x:v>
      </x:c>
      <x:c r="R599" s="19" t="n">
        <x:f>INDEX('角色成长'!$I$6:$I$105,D599)+O599*'参数'!$K$21</x:f>
        <x:v>9331.125838441985</x:v>
      </x:c>
      <x:c r="S599" s="19" t="n">
        <x:f>INDEX('角色成长'!$L$6:$L$105,D599)+O599*'参数'!$K$21</x:f>
        <x:v>8590.125838441985</x:v>
      </x:c>
      <x:c r="T599" s="19" t="n">
        <x:f>(INDEX('角色成长'!$J$6:$J$105,D599)+O599*'参数'!$L$21)*(1+'参数'!$B$40*P599)</x:f>
        <x:v>118666.76244728187</x:v>
      </x:c>
      <x:c r="U599" s="19" t="n">
        <x:f>(INDEX('角色成长'!$K$6:$K$105,D599)+O599*'参数'!$M$21)*(1+'参数'!$B$41*P599)</x:f>
        <x:v>6699.239382105553</x:v>
      </x:c>
      <x:c r="V599" s="19" t="n">
        <x:f>(('参数'!$K$5*(((Q599*(1+'参数'!$B$39*P599))^2/((Q599*(1+'参数'!$B$39*P599))+'参数'!$B$22*(I599)))*(1+'参数'!$B$42*P599)/'参数'!$J$5+((Q599*'参数'!$B$43*(1+'参数'!$B$39*P599))^2/((Q599*'参数'!$B$43*(1+'参数'!$B$39*P599))+'参数'!$B$22*(I599)))/'参数'!$B$44))+(((R599*(1+'参数'!$B$39*P599))^2/((R599*(1+'参数'!$B$39*P599))+'参数'!$B$22*(I599)))*(1+'参数'!$B$42*P599)/'参数'!$J$6+((R599*'参数'!$B$45*(1+'参数'!$B$39*P599))^2/((R599*'参数'!$B$45*(1+'参数'!$B$39*P599))+'参数'!$B$22*(I599)))/'参数'!$B$46)+((S599*(1+'参数'!$B$39*P599))^2/((S599*(1+'参数'!$B$39*P599))+'参数'!$B$22*(I599)))*(1+'参数'!$B$42*P599)/'参数'!$J$7)*(1+'参数'!$B$37*('参数'!$B$38-1))*'参数'!$B$25</x:f>
        <x:v>72276.65152942482</x:v>
      </x:c>
      <x:c r="W599" s="19" t="n">
        <x:f>(('参数'!$K$5*(((Q599*(1+'参数'!$B$39*P599))^2/((Q599*(1+'参数'!$B$39*P599))+'参数'!$B$22*(M599)))*(1+'参数'!$B$42*P599)/'参数'!$J$5+((Q599*'参数'!$B$43*(1+'参数'!$B$39*P599))^2/((Q599*'参数'!$B$43*(1+'参数'!$B$39*P599))+'参数'!$B$22*(M599)))/'参数'!$B$44))+(((R599*(1+'参数'!$B$39*P599))^2/((R599*(1+'参数'!$B$39*P599))+'参数'!$B$22*(M599)))*(1+'参数'!$B$42*P599)/'参数'!$J$6+((R599*'参数'!$B$45*(1+'参数'!$B$39*P599))^2/((R599*'参数'!$B$45*(1+'参数'!$B$39*P599))+'参数'!$B$22*(M599)))/'参数'!$B$46)+((S599*(1+'参数'!$B$39*P599))^2/((S599*(1+'参数'!$B$39*P599))+'参数'!$B$22*(M599)))*(1+'参数'!$B$42*P599)/'参数'!$J$7)*(1+'参数'!$B$37*('参数'!$B$38-1))</x:f>
        <x:v>55684.2511674383</x:v>
      </x:c>
      <x:c r="X599" s="26" t="n">
        <x:f>('参数'!$B$26+'参数'!$B$27*(D599-1)/99)*'参数'!$K$30*AD599</x:f>
        <x:v>32.90218487394958</x:v>
      </x:c>
      <x:c r="Y599" s="26" t="n">
        <x:f>('参数'!$B$28+'参数'!$B$29*(D599-1)/99)*'参数'!$K$30*AD599*IF(AE599=1,'参数'!$B$51,1)</x:f>
        <x:v>91.39495798319328</x:v>
      </x:c>
      <x:c r="Z599" s="22" t="n">
        <x:f>MIN('参数'!$B$36,U599/(U599+'参数'!$B$35))</x:f>
        <x:v>0.6261416482848315</x:v>
      </x:c>
      <x:c r="AA599" s="19" t="n">
        <x:f>T599*'参数'!$B$30/('参数'!$B$32*'参数'!$B$33)/(1-Z599)*AC599</x:f>
        <x:v>11526.421267696413</x:v>
      </x:c>
      <x:c r="AB599" s="19" t="n">
        <x:f>T599*'参数'!$B$31/'参数'!$B$34/(1-Z599)*AC599</x:f>
        <x:v>23052.842535392825</x:v>
      </x:c>
      <x:c r="AC599" s="20" t="n">
        <x:f>'参数'!$L$30*(1+'参数'!$B$53*(B599-1)/119)</x:f>
        <x:v>1.4525546218487395</x:v>
      </x:c>
      <x:c r="AD599" s="20" t="n">
        <x:f>1+'参数'!$B$52*(B599-1)/119</x:f>
        <x:v>1.142436974789916</x:v>
      </x:c>
      <x:c r="AE599" s="19" t="n">
        <x:f>IF(MOD(B599,12)=0,1,0)</x:f>
        <x:v>0</x:v>
      </x:c>
    </x:row>
    <x:row r="600" ht="22" customHeight="1">
      <x:c r="A600" s="18" t="str">
        <x:v>折磨</x:v>
      </x:c>
      <x:c r="B600" s="18" t="n">
        <x:v>115</x:v>
      </x:c>
      <x:c r="C600" s="18" t="n">
        <x:f>ROUNDUP(B600/12,0)</x:f>
        <x:v>10</x:v>
      </x:c>
      <x:c r="D600" s="18" t="n">
        <x:f>ROUND(MAX('参数'!$G$30,E600)+(IF(C600&lt;10,INDEX('参数'!$G$38:$P$38,1,MIN(10,C600+1)),'参数'!$H$30)-MAX('参数'!$G$30,E600))*MOD(B600-1,12)/11,0)</x:f>
        <x:v>100</x:v>
      </x:c>
      <x:c r="E600" s="18" t="n">
        <x:f>INDEX('参数'!$G$38:$P$38,1,C600)</x:f>
        <x:v>100</x:v>
      </x:c>
      <x:c r="F600" s="15" t="n">
        <x:f>'参数'!$I$30</x:f>
        <x:v>1.43</x:v>
      </x:c>
      <x:c r="G600" s="18" t="n">
        <x:f>ROUND(V600*X600/'参数'!$B$56,0)</x:f>
        <x:v>517540</x:v>
      </x:c>
      <x:c r="H600" s="18" t="n">
        <x:f>ROUND((AA600+SQRT(AA600^2+4*AA600*'参数'!$B$22*U600))/2,0)</x:f>
        <x:v>17162</x:v>
      </x:c>
      <x:c r="I600" s="18" t="n">
        <x:f>ROUND(Q600*'参数'!$B$23/'参数'!$B$22,0)</x:f>
        <x:v>2126</x:v>
      </x:c>
      <x:c r="J600" s="18" t="n">
        <x:f>ROUND(G600*'参数'!$B$50,0)</x:f>
        <x:v>1552620</x:v>
      </x:c>
      <x:c r="K600" s="18" t="n">
        <x:f>ROUND(W600*Y600,0)</x:f>
        <x:v>5094875</x:v>
      </x:c>
      <x:c r="L600" s="18" t="n">
        <x:f>ROUND((AB600+SQRT(AB600^2+4*AB600*'参数'!$B$22*U600))/2,0)</x:f>
        <x:v>29594</x:v>
      </x:c>
      <x:c r="M600" s="18" t="n">
        <x:f>ROUND(I600*'参数'!$B$24,0)</x:f>
        <x:v>2658</x:v>
      </x:c>
      <x:c r="N600" s="18" t="n">
        <x:f>'参数'!$B$9*'参数'!$B$10^(D600-1)</x:f>
        <x:v>11195.319600498813</x:v>
      </x:c>
      <x:c r="O600" s="18" t="n">
        <x:f>'参数'!$B$18*'参数'!$B$19^(MIN(E600,MAX(1,5*INT(D600/5)))-1)*F600*'参数'!$J$30*P600</x:f>
        <x:v>2103.552925769118</x:v>
      </x:c>
      <x:c r="P600" s="21" t="n">
        <x:f>MIN(1,(D600-1)/19)</x:f>
        <x:v>1</x:v>
      </x:c>
      <x:c r="Q600" s="18" t="n">
        <x:f>INDEX('角色成长'!$F$6:$F$105,D600)+O600*'参数'!$K$21</x:f>
        <x:v>10629.125838441985</x:v>
      </x:c>
      <x:c r="R600" s="18" t="n">
        <x:f>INDEX('角色成长'!$I$6:$I$105,D600)+O600*'参数'!$K$21</x:f>
        <x:v>9331.125838441985</x:v>
      </x:c>
      <x:c r="S600" s="18" t="n">
        <x:f>INDEX('角色成长'!$L$6:$L$105,D600)+O600*'参数'!$K$21</x:f>
        <x:v>8590.125838441985</x:v>
      </x:c>
      <x:c r="T600" s="18" t="n">
        <x:f>(INDEX('角色成长'!$J$6:$J$105,D600)+O600*'参数'!$L$21)*(1+'参数'!$B$40*P600)</x:f>
        <x:v>118666.76244728187</x:v>
      </x:c>
      <x:c r="U600" s="18" t="n">
        <x:f>(INDEX('角色成长'!$K$6:$K$105,D600)+O600*'参数'!$M$21)*(1+'参数'!$B$41*P600)</x:f>
        <x:v>6699.239382105553</x:v>
      </x:c>
      <x:c r="V600" s="18" t="n">
        <x:f>(('参数'!$K$5*(((Q600*(1+'参数'!$B$39*P600))^2/((Q600*(1+'参数'!$B$39*P600))+'参数'!$B$22*(I600)))*(1+'参数'!$B$42*P600)/'参数'!$J$5+((Q600*'参数'!$B$43*(1+'参数'!$B$39*P600))^2/((Q600*'参数'!$B$43*(1+'参数'!$B$39*P600))+'参数'!$B$22*(I600)))/'参数'!$B$44))+(((R600*(1+'参数'!$B$39*P600))^2/((R600*(1+'参数'!$B$39*P600))+'参数'!$B$22*(I600)))*(1+'参数'!$B$42*P600)/'参数'!$J$6+((R600*'参数'!$B$45*(1+'参数'!$B$39*P600))^2/((R600*'参数'!$B$45*(1+'参数'!$B$39*P600))+'参数'!$B$22*(I600)))/'参数'!$B$46)+((S600*(1+'参数'!$B$39*P600))^2/((S600*(1+'参数'!$B$39*P600))+'参数'!$B$22*(I600)))*(1+'参数'!$B$42*P600)/'参数'!$J$7)*(1+'参数'!$B$37*('参数'!$B$38-1))*'参数'!$B$25</x:f>
        <x:v>72276.65152942482</x:v>
      </x:c>
      <x:c r="W600" s="18" t="n">
        <x:f>(('参数'!$K$5*(((Q600*(1+'参数'!$B$39*P600))^2/((Q600*(1+'参数'!$B$39*P600))+'参数'!$B$22*(M600)))*(1+'参数'!$B$42*P600)/'参数'!$J$5+((Q600*'参数'!$B$43*(1+'参数'!$B$39*P600))^2/((Q600*'参数'!$B$43*(1+'参数'!$B$39*P600))+'参数'!$B$22*(M600)))/'参数'!$B$44))+(((R600*(1+'参数'!$B$39*P600))^2/((R600*(1+'参数'!$B$39*P600))+'参数'!$B$22*(M600)))*(1+'参数'!$B$42*P600)/'参数'!$J$6+((R600*'参数'!$B$45*(1+'参数'!$B$39*P600))^2/((R600*'参数'!$B$45*(1+'参数'!$B$39*P600))+'参数'!$B$22*(M600)))/'参数'!$B$46)+((S600*(1+'参数'!$B$39*P600))^2/((S600*(1+'参数'!$B$39*P600))+'参数'!$B$22*(M600)))*(1+'参数'!$B$42*P600)/'参数'!$J$7)*(1+'参数'!$B$37*('参数'!$B$38-1))</x:f>
        <x:v>55684.2511674383</x:v>
      </x:c>
      <x:c r="X600" s="25" t="n">
        <x:f>('参数'!$B$26+'参数'!$B$27*(D600-1)/99)*'参数'!$K$30*AD600</x:f>
        <x:v>32.93848739495798</x:v>
      </x:c>
      <x:c r="Y600" s="25" t="n">
        <x:f>('参数'!$B$28+'参数'!$B$29*(D600-1)/99)*'参数'!$K$30*AD600*IF(AE600=1,'参数'!$B$51,1)</x:f>
        <x:v>91.49579831932772</x:v>
      </x:c>
      <x:c r="Z600" s="21" t="n">
        <x:f>MIN('参数'!$B$36,U600/(U600+'参数'!$B$35))</x:f>
        <x:v>0.6261416482848315</x:v>
      </x:c>
      <x:c r="AA600" s="18" t="n">
        <x:f>T600*'参数'!$B$30/('参数'!$B$32*'参数'!$B$33)/(1-Z600)*AC600</x:f>
        <x:v>11533.623030437868</x:v>
      </x:c>
      <x:c r="AB600" s="18" t="n">
        <x:f>T600*'参数'!$B$31/'参数'!$B$34/(1-Z600)*AC600</x:f>
        <x:v>23067.246060875736</x:v>
      </x:c>
      <x:c r="AC600" s="15" t="n">
        <x:f>'参数'!$L$30*(1+'参数'!$B$53*(B600-1)/119)</x:f>
        <x:v>1.4534621848739497</x:v>
      </x:c>
      <x:c r="AD600" s="15" t="n">
        <x:f>1+'参数'!$B$52*(B600-1)/119</x:f>
        <x:v>1.1436974789915966</x:v>
      </x:c>
      <x:c r="AE600" s="18" t="n">
        <x:f>IF(MOD(B600,12)=0,1,0)</x:f>
        <x:v>0</x:v>
      </x:c>
    </x:row>
    <x:row r="601" ht="22" customHeight="1">
      <x:c r="A601" s="19" t="str">
        <x:v>折磨</x:v>
      </x:c>
      <x:c r="B601" s="19" t="n">
        <x:v>116</x:v>
      </x:c>
      <x:c r="C601" s="19" t="n">
        <x:f>ROUNDUP(B601/12,0)</x:f>
        <x:v>10</x:v>
      </x:c>
      <x:c r="D601" s="19" t="n">
        <x:f>ROUND(MAX('参数'!$G$30,E601)+(IF(C601&lt;10,INDEX('参数'!$G$38:$P$38,1,MIN(10,C601+1)),'参数'!$H$30)-MAX('参数'!$G$30,E601))*MOD(B601-1,12)/11,0)</x:f>
        <x:v>100</x:v>
      </x:c>
      <x:c r="E601" s="19" t="n">
        <x:f>INDEX('参数'!$G$38:$P$38,1,C601)</x:f>
        <x:v>100</x:v>
      </x:c>
      <x:c r="F601" s="20" t="n">
        <x:f>'参数'!$I$30</x:f>
        <x:v>1.43</x:v>
      </x:c>
      <x:c r="G601" s="19" t="n">
        <x:f>ROUND(V601*X601/'参数'!$B$56,0)</x:f>
        <x:v>518110</x:v>
      </x:c>
      <x:c r="H601" s="19" t="n">
        <x:f>ROUND((AA601+SQRT(AA601^2+4*AA601*'参数'!$B$22*U601))/2,0)</x:f>
        <x:v>17170</x:v>
      </x:c>
      <x:c r="I601" s="19" t="n">
        <x:f>ROUND(Q601*'参数'!$B$23/'参数'!$B$22,0)</x:f>
        <x:v>2126</x:v>
      </x:c>
      <x:c r="J601" s="19" t="n">
        <x:f>ROUND(G601*'参数'!$B$50,0)</x:f>
        <x:v>1554330</x:v>
      </x:c>
      <x:c r="K601" s="19" t="n">
        <x:f>ROUND(W601*Y601,0)</x:f>
        <x:v>5100490</x:v>
      </x:c>
      <x:c r="L601" s="19" t="n">
        <x:f>ROUND((AB601+SQRT(AB601^2+4*AB601*'参数'!$B$22*U601))/2,0)</x:f>
        <x:v>29610</x:v>
      </x:c>
      <x:c r="M601" s="19" t="n">
        <x:f>ROUND(I601*'参数'!$B$24,0)</x:f>
        <x:v>2658</x:v>
      </x:c>
      <x:c r="N601" s="19" t="n">
        <x:f>'参数'!$B$9*'参数'!$B$10^(D601-1)</x:f>
        <x:v>11195.319600498813</x:v>
      </x:c>
      <x:c r="O601" s="19" t="n">
        <x:f>'参数'!$B$18*'参数'!$B$19^(MIN(E601,MAX(1,5*INT(D601/5)))-1)*F601*'参数'!$J$30*P601</x:f>
        <x:v>2103.552925769118</x:v>
      </x:c>
      <x:c r="P601" s="22" t="n">
        <x:f>MIN(1,(D601-1)/19)</x:f>
        <x:v>1</x:v>
      </x:c>
      <x:c r="Q601" s="19" t="n">
        <x:f>INDEX('角色成长'!$F$6:$F$105,D601)+O601*'参数'!$K$21</x:f>
        <x:v>10629.125838441985</x:v>
      </x:c>
      <x:c r="R601" s="19" t="n">
        <x:f>INDEX('角色成长'!$I$6:$I$105,D601)+O601*'参数'!$K$21</x:f>
        <x:v>9331.125838441985</x:v>
      </x:c>
      <x:c r="S601" s="19" t="n">
        <x:f>INDEX('角色成长'!$L$6:$L$105,D601)+O601*'参数'!$K$21</x:f>
        <x:v>8590.125838441985</x:v>
      </x:c>
      <x:c r="T601" s="19" t="n">
        <x:f>(INDEX('角色成长'!$J$6:$J$105,D601)+O601*'参数'!$L$21)*(1+'参数'!$B$40*P601)</x:f>
        <x:v>118666.76244728187</x:v>
      </x:c>
      <x:c r="U601" s="19" t="n">
        <x:f>(INDEX('角色成长'!$K$6:$K$105,D601)+O601*'参数'!$M$21)*(1+'参数'!$B$41*P601)</x:f>
        <x:v>6699.239382105553</x:v>
      </x:c>
      <x:c r="V601" s="19" t="n">
        <x:f>(('参数'!$K$5*(((Q601*(1+'参数'!$B$39*P601))^2/((Q601*(1+'参数'!$B$39*P601))+'参数'!$B$22*(I601)))*(1+'参数'!$B$42*P601)/'参数'!$J$5+((Q601*'参数'!$B$43*(1+'参数'!$B$39*P601))^2/((Q601*'参数'!$B$43*(1+'参数'!$B$39*P601))+'参数'!$B$22*(I601)))/'参数'!$B$44))+(((R601*(1+'参数'!$B$39*P601))^2/((R601*(1+'参数'!$B$39*P601))+'参数'!$B$22*(I601)))*(1+'参数'!$B$42*P601)/'参数'!$J$6+((R601*'参数'!$B$45*(1+'参数'!$B$39*P601))^2/((R601*'参数'!$B$45*(1+'参数'!$B$39*P601))+'参数'!$B$22*(I601)))/'参数'!$B$46)+((S601*(1+'参数'!$B$39*P601))^2/((S601*(1+'参数'!$B$39*P601))+'参数'!$B$22*(I601)))*(1+'参数'!$B$42*P601)/'参数'!$J$7)*(1+'参数'!$B$37*('参数'!$B$38-1))*'参数'!$B$25</x:f>
        <x:v>72276.65152942482</x:v>
      </x:c>
      <x:c r="W601" s="19" t="n">
        <x:f>(('参数'!$K$5*(((Q601*(1+'参数'!$B$39*P601))^2/((Q601*(1+'参数'!$B$39*P601))+'参数'!$B$22*(M601)))*(1+'参数'!$B$42*P601)/'参数'!$J$5+((Q601*'参数'!$B$43*(1+'参数'!$B$39*P601))^2/((Q601*'参数'!$B$43*(1+'参数'!$B$39*P601))+'参数'!$B$22*(M601)))/'参数'!$B$44))+(((R601*(1+'参数'!$B$39*P601))^2/((R601*(1+'参数'!$B$39*P601))+'参数'!$B$22*(M601)))*(1+'参数'!$B$42*P601)/'参数'!$J$6+((R601*'参数'!$B$45*(1+'参数'!$B$39*P601))^2/((R601*'参数'!$B$45*(1+'参数'!$B$39*P601))+'参数'!$B$22*(M601)))/'参数'!$B$46)+((S601*(1+'参数'!$B$39*P601))^2/((S601*(1+'参数'!$B$39*P601))+'参数'!$B$22*(M601)))*(1+'参数'!$B$42*P601)/'参数'!$J$7)*(1+'参数'!$B$37*('参数'!$B$38-1))</x:f>
        <x:v>55684.2511674383</x:v>
      </x:c>
      <x:c r="X601" s="26" t="n">
        <x:f>('参数'!$B$26+'参数'!$B$27*(D601-1)/99)*'参数'!$K$30*AD601</x:f>
        <x:v>32.97478991596638</x:v>
      </x:c>
      <x:c r="Y601" s="26" t="n">
        <x:f>('参数'!$B$28+'参数'!$B$29*(D601-1)/99)*'参数'!$K$30*AD601*IF(AE601=1,'参数'!$B$51,1)</x:f>
        <x:v>91.59663865546219</x:v>
      </x:c>
      <x:c r="Z601" s="22" t="n">
        <x:f>MIN('参数'!$B$36,U601/(U601+'参数'!$B$35))</x:f>
        <x:v>0.6261416482848315</x:v>
      </x:c>
      <x:c r="AA601" s="19" t="n">
        <x:f>T601*'参数'!$B$30/('参数'!$B$32*'参数'!$B$33)/(1-Z601)*AC601</x:f>
        <x:v>11540.82479317932</x:v>
      </x:c>
      <x:c r="AB601" s="19" t="n">
        <x:f>T601*'参数'!$B$31/'参数'!$B$34/(1-Z601)*AC601</x:f>
        <x:v>23081.64958635864</x:v>
      </x:c>
      <x:c r="AC601" s="20" t="n">
        <x:f>'参数'!$L$30*(1+'参数'!$B$53*(B601-1)/119)</x:f>
        <x:v>1.4543697478991597</x:v>
      </x:c>
      <x:c r="AD601" s="20" t="n">
        <x:f>1+'参数'!$B$52*(B601-1)/119</x:f>
        <x:v>1.1449579831932772</x:v>
      </x:c>
      <x:c r="AE601" s="19" t="n">
        <x:f>IF(MOD(B601,12)=0,1,0)</x:f>
        <x:v>0</x:v>
      </x:c>
    </x:row>
    <x:row r="602" ht="22" customHeight="1">
      <x:c r="A602" s="18" t="str">
        <x:v>折磨</x:v>
      </x:c>
      <x:c r="B602" s="18" t="n">
        <x:v>117</x:v>
      </x:c>
      <x:c r="C602" s="18" t="n">
        <x:f>ROUNDUP(B602/12,0)</x:f>
        <x:v>10</x:v>
      </x:c>
      <x:c r="D602" s="18" t="n">
        <x:f>ROUND(MAX('参数'!$G$30,E602)+(IF(C602&lt;10,INDEX('参数'!$G$38:$P$38,1,MIN(10,C602+1)),'参数'!$H$30)-MAX('参数'!$G$30,E602))*MOD(B602-1,12)/11,0)</x:f>
        <x:v>100</x:v>
      </x:c>
      <x:c r="E602" s="18" t="n">
        <x:f>INDEX('参数'!$G$38:$P$38,1,C602)</x:f>
        <x:v>100</x:v>
      </x:c>
      <x:c r="F602" s="15" t="n">
        <x:f>'参数'!$I$30</x:f>
        <x:v>1.43</x:v>
      </x:c>
      <x:c r="G602" s="18" t="n">
        <x:f>ROUND(V602*X602/'参数'!$B$56,0)</x:f>
        <x:v>518681</x:v>
      </x:c>
      <x:c r="H602" s="18" t="n">
        <x:f>ROUND((AA602+SQRT(AA602^2+4*AA602*'参数'!$B$22*U602))/2,0)</x:f>
        <x:v>17178</x:v>
      </x:c>
      <x:c r="I602" s="18" t="n">
        <x:f>ROUND(Q602*'参数'!$B$23/'参数'!$B$22,0)</x:f>
        <x:v>2126</x:v>
      </x:c>
      <x:c r="J602" s="18" t="n">
        <x:f>ROUND(G602*'参数'!$B$50,0)</x:f>
        <x:v>1556043</x:v>
      </x:c>
      <x:c r="K602" s="18" t="n">
        <x:f>ROUND(W602*Y602,0)</x:f>
        <x:v>5106105</x:v>
      </x:c>
      <x:c r="L602" s="18" t="n">
        <x:f>ROUND((AB602+SQRT(AB602^2+4*AB602*'参数'!$B$22*U602))/2,0)</x:f>
        <x:v>29625</x:v>
      </x:c>
      <x:c r="M602" s="18" t="n">
        <x:f>ROUND(I602*'参数'!$B$24,0)</x:f>
        <x:v>2658</x:v>
      </x:c>
      <x:c r="N602" s="18" t="n">
        <x:f>'参数'!$B$9*'参数'!$B$10^(D602-1)</x:f>
        <x:v>11195.319600498813</x:v>
      </x:c>
      <x:c r="O602" s="18" t="n">
        <x:f>'参数'!$B$18*'参数'!$B$19^(MIN(E602,MAX(1,5*INT(D602/5)))-1)*F602*'参数'!$J$30*P602</x:f>
        <x:v>2103.552925769118</x:v>
      </x:c>
      <x:c r="P602" s="21" t="n">
        <x:f>MIN(1,(D602-1)/19)</x:f>
        <x:v>1</x:v>
      </x:c>
      <x:c r="Q602" s="18" t="n">
        <x:f>INDEX('角色成长'!$F$6:$F$105,D602)+O602*'参数'!$K$21</x:f>
        <x:v>10629.125838441985</x:v>
      </x:c>
      <x:c r="R602" s="18" t="n">
        <x:f>INDEX('角色成长'!$I$6:$I$105,D602)+O602*'参数'!$K$21</x:f>
        <x:v>9331.125838441985</x:v>
      </x:c>
      <x:c r="S602" s="18" t="n">
        <x:f>INDEX('角色成长'!$L$6:$L$105,D602)+O602*'参数'!$K$21</x:f>
        <x:v>8590.125838441985</x:v>
      </x:c>
      <x:c r="T602" s="18" t="n">
        <x:f>(INDEX('角色成长'!$J$6:$J$105,D602)+O602*'参数'!$L$21)*(1+'参数'!$B$40*P602)</x:f>
        <x:v>118666.76244728187</x:v>
      </x:c>
      <x:c r="U602" s="18" t="n">
        <x:f>(INDEX('角色成长'!$K$6:$K$105,D602)+O602*'参数'!$M$21)*(1+'参数'!$B$41*P602)</x:f>
        <x:v>6699.239382105553</x:v>
      </x:c>
      <x:c r="V602" s="18" t="n">
        <x:f>(('参数'!$K$5*(((Q602*(1+'参数'!$B$39*P602))^2/((Q602*(1+'参数'!$B$39*P602))+'参数'!$B$22*(I602)))*(1+'参数'!$B$42*P602)/'参数'!$J$5+((Q602*'参数'!$B$43*(1+'参数'!$B$39*P602))^2/((Q602*'参数'!$B$43*(1+'参数'!$B$39*P602))+'参数'!$B$22*(I602)))/'参数'!$B$44))+(((R602*(1+'参数'!$B$39*P602))^2/((R602*(1+'参数'!$B$39*P602))+'参数'!$B$22*(I602)))*(1+'参数'!$B$42*P602)/'参数'!$J$6+((R602*'参数'!$B$45*(1+'参数'!$B$39*P602))^2/((R602*'参数'!$B$45*(1+'参数'!$B$39*P602))+'参数'!$B$22*(I602)))/'参数'!$B$46)+((S602*(1+'参数'!$B$39*P602))^2/((S602*(1+'参数'!$B$39*P602))+'参数'!$B$22*(I602)))*(1+'参数'!$B$42*P602)/'参数'!$J$7)*(1+'参数'!$B$37*('参数'!$B$38-1))*'参数'!$B$25</x:f>
        <x:v>72276.65152942482</x:v>
      </x:c>
      <x:c r="W602" s="18" t="n">
        <x:f>(('参数'!$K$5*(((Q602*(1+'参数'!$B$39*P602))^2/((Q602*(1+'参数'!$B$39*P602))+'参数'!$B$22*(M602)))*(1+'参数'!$B$42*P602)/'参数'!$J$5+((Q602*'参数'!$B$43*(1+'参数'!$B$39*P602))^2/((Q602*'参数'!$B$43*(1+'参数'!$B$39*P602))+'参数'!$B$22*(M602)))/'参数'!$B$44))+(((R602*(1+'参数'!$B$39*P602))^2/((R602*(1+'参数'!$B$39*P602))+'参数'!$B$22*(M602)))*(1+'参数'!$B$42*P602)/'参数'!$J$6+((R602*'参数'!$B$45*(1+'参数'!$B$39*P602))^2/((R602*'参数'!$B$45*(1+'参数'!$B$39*P602))+'参数'!$B$22*(M602)))/'参数'!$B$46)+((S602*(1+'参数'!$B$39*P602))^2/((S602*(1+'参数'!$B$39*P602))+'参数'!$B$22*(M602)))*(1+'参数'!$B$42*P602)/'参数'!$J$7)*(1+'参数'!$B$37*('参数'!$B$38-1))</x:f>
        <x:v>55684.2511674383</x:v>
      </x:c>
      <x:c r="X602" s="25" t="n">
        <x:f>('参数'!$B$26+'参数'!$B$27*(D602-1)/99)*'参数'!$K$30*AD602</x:f>
        <x:v>33.01109243697479</x:v>
      </x:c>
      <x:c r="Y602" s="25" t="n">
        <x:f>('参数'!$B$28+'参数'!$B$29*(D602-1)/99)*'参数'!$K$30*AD602*IF(AE602=1,'参数'!$B$51,1)</x:f>
        <x:v>91.69747899159663</x:v>
      </x:c>
      <x:c r="Z602" s="21" t="n">
        <x:f>MIN('参数'!$B$36,U602/(U602+'参数'!$B$35))</x:f>
        <x:v>0.6261416482848315</x:v>
      </x:c>
      <x:c r="AA602" s="18" t="n">
        <x:f>T602*'参数'!$B$30/('参数'!$B$32*'参数'!$B$33)/(1-Z602)*AC602</x:f>
        <x:v>11548.026555920775</x:v>
      </x:c>
      <x:c r="AB602" s="18" t="n">
        <x:f>T602*'参数'!$B$31/'参数'!$B$34/(1-Z602)*AC602</x:f>
        <x:v>23096.05311184155</x:v>
      </x:c>
      <x:c r="AC602" s="15" t="n">
        <x:f>'参数'!$L$30*(1+'参数'!$B$53*(B602-1)/119)</x:f>
        <x:v>1.45527731092437</x:v>
      </x:c>
      <x:c r="AD602" s="15" t="n">
        <x:f>1+'参数'!$B$52*(B602-1)/119</x:f>
        <x:v>1.146218487394958</x:v>
      </x:c>
      <x:c r="AE602" s="18" t="n">
        <x:f>IF(MOD(B602,12)=0,1,0)</x:f>
        <x:v>0</x:v>
      </x:c>
    </x:row>
    <x:row r="603" ht="22" customHeight="1">
      <x:c r="A603" s="19" t="str">
        <x:v>折磨</x:v>
      </x:c>
      <x:c r="B603" s="19" t="n">
        <x:v>118</x:v>
      </x:c>
      <x:c r="C603" s="19" t="n">
        <x:f>ROUNDUP(B603/12,0)</x:f>
        <x:v>10</x:v>
      </x:c>
      <x:c r="D603" s="19" t="n">
        <x:f>ROUND(MAX('参数'!$G$30,E603)+(IF(C603&lt;10,INDEX('参数'!$G$38:$P$38,1,MIN(10,C603+1)),'参数'!$H$30)-MAX('参数'!$G$30,E603))*MOD(B603-1,12)/11,0)</x:f>
        <x:v>100</x:v>
      </x:c>
      <x:c r="E603" s="19" t="n">
        <x:f>INDEX('参数'!$G$38:$P$38,1,C603)</x:f>
        <x:v>100</x:v>
      </x:c>
      <x:c r="F603" s="20" t="n">
        <x:f>'参数'!$I$30</x:f>
        <x:v>1.43</x:v>
      </x:c>
      <x:c r="G603" s="19" t="n">
        <x:f>ROUND(V603*X603/'参数'!$B$56,0)</x:f>
        <x:v>519251</x:v>
      </x:c>
      <x:c r="H603" s="19" t="n">
        <x:f>ROUND((AA603+SQRT(AA603^2+4*AA603*'参数'!$B$22*U603))/2,0)</x:f>
        <x:v>17186</x:v>
      </x:c>
      <x:c r="I603" s="19" t="n">
        <x:f>ROUND(Q603*'参数'!$B$23/'参数'!$B$22,0)</x:f>
        <x:v>2126</x:v>
      </x:c>
      <x:c r="J603" s="19" t="n">
        <x:f>ROUND(G603*'参数'!$B$50,0)</x:f>
        <x:v>1557753</x:v>
      </x:c>
      <x:c r="K603" s="19" t="n">
        <x:f>ROUND(W603*Y603,0)</x:f>
        <x:v>5111721</x:v>
      </x:c>
      <x:c r="L603" s="19" t="n">
        <x:f>ROUND((AB603+SQRT(AB603^2+4*AB603*'参数'!$B$22*U603))/2,0)</x:f>
        <x:v>29640</x:v>
      </x:c>
      <x:c r="M603" s="19" t="n">
        <x:f>ROUND(I603*'参数'!$B$24,0)</x:f>
        <x:v>2658</x:v>
      </x:c>
      <x:c r="N603" s="19" t="n">
        <x:f>'参数'!$B$9*'参数'!$B$10^(D603-1)</x:f>
        <x:v>11195.319600498813</x:v>
      </x:c>
      <x:c r="O603" s="19" t="n">
        <x:f>'参数'!$B$18*'参数'!$B$19^(MIN(E603,MAX(1,5*INT(D603/5)))-1)*F603*'参数'!$J$30*P603</x:f>
        <x:v>2103.552925769118</x:v>
      </x:c>
      <x:c r="P603" s="22" t="n">
        <x:f>MIN(1,(D603-1)/19)</x:f>
        <x:v>1</x:v>
      </x:c>
      <x:c r="Q603" s="19" t="n">
        <x:f>INDEX('角色成长'!$F$6:$F$105,D603)+O603*'参数'!$K$21</x:f>
        <x:v>10629.125838441985</x:v>
      </x:c>
      <x:c r="R603" s="19" t="n">
        <x:f>INDEX('角色成长'!$I$6:$I$105,D603)+O603*'参数'!$K$21</x:f>
        <x:v>9331.125838441985</x:v>
      </x:c>
      <x:c r="S603" s="19" t="n">
        <x:f>INDEX('角色成长'!$L$6:$L$105,D603)+O603*'参数'!$K$21</x:f>
        <x:v>8590.125838441985</x:v>
      </x:c>
      <x:c r="T603" s="19" t="n">
        <x:f>(INDEX('角色成长'!$J$6:$J$105,D603)+O603*'参数'!$L$21)*(1+'参数'!$B$40*P603)</x:f>
        <x:v>118666.76244728187</x:v>
      </x:c>
      <x:c r="U603" s="19" t="n">
        <x:f>(INDEX('角色成长'!$K$6:$K$105,D603)+O603*'参数'!$M$21)*(1+'参数'!$B$41*P603)</x:f>
        <x:v>6699.239382105553</x:v>
      </x:c>
      <x:c r="V603" s="19" t="n">
        <x:f>(('参数'!$K$5*(((Q603*(1+'参数'!$B$39*P603))^2/((Q603*(1+'参数'!$B$39*P603))+'参数'!$B$22*(I603)))*(1+'参数'!$B$42*P603)/'参数'!$J$5+((Q603*'参数'!$B$43*(1+'参数'!$B$39*P603))^2/((Q603*'参数'!$B$43*(1+'参数'!$B$39*P603))+'参数'!$B$22*(I603)))/'参数'!$B$44))+(((R603*(1+'参数'!$B$39*P603))^2/((R603*(1+'参数'!$B$39*P603))+'参数'!$B$22*(I603)))*(1+'参数'!$B$42*P603)/'参数'!$J$6+((R603*'参数'!$B$45*(1+'参数'!$B$39*P603))^2/((R603*'参数'!$B$45*(1+'参数'!$B$39*P603))+'参数'!$B$22*(I603)))/'参数'!$B$46)+((S603*(1+'参数'!$B$39*P603))^2/((S603*(1+'参数'!$B$39*P603))+'参数'!$B$22*(I603)))*(1+'参数'!$B$42*P603)/'参数'!$J$7)*(1+'参数'!$B$37*('参数'!$B$38-1))*'参数'!$B$25</x:f>
        <x:v>72276.65152942482</x:v>
      </x:c>
      <x:c r="W603" s="19" t="n">
        <x:f>(('参数'!$K$5*(((Q603*(1+'参数'!$B$39*P603))^2/((Q603*(1+'参数'!$B$39*P603))+'参数'!$B$22*(M603)))*(1+'参数'!$B$42*P603)/'参数'!$J$5+((Q603*'参数'!$B$43*(1+'参数'!$B$39*P603))^2/((Q603*'参数'!$B$43*(1+'参数'!$B$39*P603))+'参数'!$B$22*(M603)))/'参数'!$B$44))+(((R603*(1+'参数'!$B$39*P603))^2/((R603*(1+'参数'!$B$39*P603))+'参数'!$B$22*(M603)))*(1+'参数'!$B$42*P603)/'参数'!$J$6+((R603*'参数'!$B$45*(1+'参数'!$B$39*P603))^2/((R603*'参数'!$B$45*(1+'参数'!$B$39*P603))+'参数'!$B$22*(M603)))/'参数'!$B$46)+((S603*(1+'参数'!$B$39*P603))^2/((S603*(1+'参数'!$B$39*P603))+'参数'!$B$22*(M603)))*(1+'参数'!$B$42*P603)/'参数'!$J$7)*(1+'参数'!$B$37*('参数'!$B$38-1))</x:f>
        <x:v>55684.2511674383</x:v>
      </x:c>
      <x:c r="X603" s="26" t="n">
        <x:f>('参数'!$B$26+'参数'!$B$27*(D603-1)/99)*'参数'!$K$30*AD603</x:f>
        <x:v>33.047394957983194</x:v>
      </x:c>
      <x:c r="Y603" s="26" t="n">
        <x:f>('参数'!$B$28+'参数'!$B$29*(D603-1)/99)*'参数'!$K$30*AD603*IF(AE603=1,'参数'!$B$51,1)</x:f>
        <x:v>91.7983193277311</x:v>
      </x:c>
      <x:c r="Z603" s="22" t="n">
        <x:f>MIN('参数'!$B$36,U603/(U603+'参数'!$B$35))</x:f>
        <x:v>0.6261416482848315</x:v>
      </x:c>
      <x:c r="AA603" s="19" t="n">
        <x:f>T603*'参数'!$B$30/('参数'!$B$32*'参数'!$B$33)/(1-Z603)*AC603</x:f>
        <x:v>11555.228318662226</x:v>
      </x:c>
      <x:c r="AB603" s="19" t="n">
        <x:f>T603*'参数'!$B$31/'参数'!$B$34/(1-Z603)*AC603</x:f>
        <x:v>23110.456637324452</x:v>
      </x:c>
      <x:c r="AC603" s="20" t="n">
        <x:f>'参数'!$L$30*(1+'参数'!$B$53*(B603-1)/119)</x:f>
        <x:v>1.4561848739495797</x:v>
      </x:c>
      <x:c r="AD603" s="20" t="n">
        <x:f>1+'参数'!$B$52*(B603-1)/119</x:f>
        <x:v>1.1474789915966386</x:v>
      </x:c>
      <x:c r="AE603" s="19" t="n">
        <x:f>IF(MOD(B603,12)=0,1,0)</x:f>
        <x:v>0</x:v>
      </x:c>
    </x:row>
    <x:row r="604" ht="22" customHeight="1">
      <x:c r="A604" s="18" t="str">
        <x:v>折磨</x:v>
      </x:c>
      <x:c r="B604" s="18" t="n">
        <x:v>119</x:v>
      </x:c>
      <x:c r="C604" s="18" t="n">
        <x:f>ROUNDUP(B604/12,0)</x:f>
        <x:v>10</x:v>
      </x:c>
      <x:c r="D604" s="18" t="n">
        <x:f>ROUND(MAX('参数'!$G$30,E604)+(IF(C604&lt;10,INDEX('参数'!$G$38:$P$38,1,MIN(10,C604+1)),'参数'!$H$30)-MAX('参数'!$G$30,E604))*MOD(B604-1,12)/11,0)</x:f>
        <x:v>100</x:v>
      </x:c>
      <x:c r="E604" s="18" t="n">
        <x:f>INDEX('参数'!$G$38:$P$38,1,C604)</x:f>
        <x:v>100</x:v>
      </x:c>
      <x:c r="F604" s="15" t="n">
        <x:f>'参数'!$I$30</x:f>
        <x:v>1.43</x:v>
      </x:c>
      <x:c r="G604" s="18" t="n">
        <x:f>ROUND(V604*X604/'参数'!$B$56,0)</x:f>
        <x:v>519821</x:v>
      </x:c>
      <x:c r="H604" s="18" t="n">
        <x:f>ROUND((AA604+SQRT(AA604^2+4*AA604*'参数'!$B$22*U604))/2,0)</x:f>
        <x:v>17194</x:v>
      </x:c>
      <x:c r="I604" s="18" t="n">
        <x:f>ROUND(Q604*'参数'!$B$23/'参数'!$B$22,0)</x:f>
        <x:v>2126</x:v>
      </x:c>
      <x:c r="J604" s="18" t="n">
        <x:f>ROUND(G604*'参数'!$B$50,0)</x:f>
        <x:v>1559463</x:v>
      </x:c>
      <x:c r="K604" s="18" t="n">
        <x:f>ROUND(W604*Y604,0)</x:f>
        <x:v>5117336</x:v>
      </x:c>
      <x:c r="L604" s="18" t="n">
        <x:f>ROUND((AB604+SQRT(AB604^2+4*AB604*'参数'!$B$22*U604))/2,0)</x:f>
        <x:v>29655</x:v>
      </x:c>
      <x:c r="M604" s="18" t="n">
        <x:f>ROUND(I604*'参数'!$B$24,0)</x:f>
        <x:v>2658</x:v>
      </x:c>
      <x:c r="N604" s="18" t="n">
        <x:f>'参数'!$B$9*'参数'!$B$10^(D604-1)</x:f>
        <x:v>11195.319600498813</x:v>
      </x:c>
      <x:c r="O604" s="18" t="n">
        <x:f>'参数'!$B$18*'参数'!$B$19^(MIN(E604,MAX(1,5*INT(D604/5)))-1)*F604*'参数'!$J$30*P604</x:f>
        <x:v>2103.552925769118</x:v>
      </x:c>
      <x:c r="P604" s="21" t="n">
        <x:f>MIN(1,(D604-1)/19)</x:f>
        <x:v>1</x:v>
      </x:c>
      <x:c r="Q604" s="18" t="n">
        <x:f>INDEX('角色成长'!$F$6:$F$105,D604)+O604*'参数'!$K$21</x:f>
        <x:v>10629.125838441985</x:v>
      </x:c>
      <x:c r="R604" s="18" t="n">
        <x:f>INDEX('角色成长'!$I$6:$I$105,D604)+O604*'参数'!$K$21</x:f>
        <x:v>9331.125838441985</x:v>
      </x:c>
      <x:c r="S604" s="18" t="n">
        <x:f>INDEX('角色成长'!$L$6:$L$105,D604)+O604*'参数'!$K$21</x:f>
        <x:v>8590.125838441985</x:v>
      </x:c>
      <x:c r="T604" s="18" t="n">
        <x:f>(INDEX('角色成长'!$J$6:$J$105,D604)+O604*'参数'!$L$21)*(1+'参数'!$B$40*P604)</x:f>
        <x:v>118666.76244728187</x:v>
      </x:c>
      <x:c r="U604" s="18" t="n">
        <x:f>(INDEX('角色成长'!$K$6:$K$105,D604)+O604*'参数'!$M$21)*(1+'参数'!$B$41*P604)</x:f>
        <x:v>6699.239382105553</x:v>
      </x:c>
      <x:c r="V604" s="18" t="n">
        <x:f>(('参数'!$K$5*(((Q604*(1+'参数'!$B$39*P604))^2/((Q604*(1+'参数'!$B$39*P604))+'参数'!$B$22*(I604)))*(1+'参数'!$B$42*P604)/'参数'!$J$5+((Q604*'参数'!$B$43*(1+'参数'!$B$39*P604))^2/((Q604*'参数'!$B$43*(1+'参数'!$B$39*P604))+'参数'!$B$22*(I604)))/'参数'!$B$44))+(((R604*(1+'参数'!$B$39*P604))^2/((R604*(1+'参数'!$B$39*P604))+'参数'!$B$22*(I604)))*(1+'参数'!$B$42*P604)/'参数'!$J$6+((R604*'参数'!$B$45*(1+'参数'!$B$39*P604))^2/((R604*'参数'!$B$45*(1+'参数'!$B$39*P604))+'参数'!$B$22*(I604)))/'参数'!$B$46)+((S604*(1+'参数'!$B$39*P604))^2/((S604*(1+'参数'!$B$39*P604))+'参数'!$B$22*(I604)))*(1+'参数'!$B$42*P604)/'参数'!$J$7)*(1+'参数'!$B$37*('参数'!$B$38-1))*'参数'!$B$25</x:f>
        <x:v>72276.65152942482</x:v>
      </x:c>
      <x:c r="W604" s="18" t="n">
        <x:f>(('参数'!$K$5*(((Q604*(1+'参数'!$B$39*P604))^2/((Q604*(1+'参数'!$B$39*P604))+'参数'!$B$22*(M604)))*(1+'参数'!$B$42*P604)/'参数'!$J$5+((Q604*'参数'!$B$43*(1+'参数'!$B$39*P604))^2/((Q604*'参数'!$B$43*(1+'参数'!$B$39*P604))+'参数'!$B$22*(M604)))/'参数'!$B$44))+(((R604*(1+'参数'!$B$39*P604))^2/((R604*(1+'参数'!$B$39*P604))+'参数'!$B$22*(M604)))*(1+'参数'!$B$42*P604)/'参数'!$J$6+((R604*'参数'!$B$45*(1+'参数'!$B$39*P604))^2/((R604*'参数'!$B$45*(1+'参数'!$B$39*P604))+'参数'!$B$22*(M604)))/'参数'!$B$46)+((S604*(1+'参数'!$B$39*P604))^2/((S604*(1+'参数'!$B$39*P604))+'参数'!$B$22*(M604)))*(1+'参数'!$B$42*P604)/'参数'!$J$7)*(1+'参数'!$B$37*('参数'!$B$38-1))</x:f>
        <x:v>55684.2511674383</x:v>
      </x:c>
      <x:c r="X604" s="25" t="n">
        <x:f>('参数'!$B$26+'参数'!$B$27*(D604-1)/99)*'参数'!$K$30*AD604</x:f>
        <x:v>33.083697478991596</x:v>
      </x:c>
      <x:c r="Y604" s="25" t="n">
        <x:f>('参数'!$B$28+'参数'!$B$29*(D604-1)/99)*'参数'!$K$30*AD604*IF(AE604=1,'参数'!$B$51,1)</x:f>
        <x:v>91.89915966386553</x:v>
      </x:c>
      <x:c r="Z604" s="21" t="n">
        <x:f>MIN('参数'!$B$36,U604/(U604+'参数'!$B$35))</x:f>
        <x:v>0.6261416482848315</x:v>
      </x:c>
      <x:c r="AA604" s="18" t="n">
        <x:f>T604*'参数'!$B$30/('参数'!$B$32*'参数'!$B$33)/(1-Z604)*AC604</x:f>
        <x:v>11562.43008140368</x:v>
      </x:c>
      <x:c r="AB604" s="18" t="n">
        <x:f>T604*'参数'!$B$31/'参数'!$B$34/(1-Z604)*AC604</x:f>
        <x:v>23124.86016280736</x:v>
      </x:c>
      <x:c r="AC604" s="15" t="n">
        <x:f>'参数'!$L$30*(1+'参数'!$B$53*(B604-1)/119)</x:f>
        <x:v>1.45709243697479</x:v>
      </x:c>
      <x:c r="AD604" s="15" t="n">
        <x:f>1+'参数'!$B$52*(B604-1)/119</x:f>
        <x:v>1.1487394957983192</x:v>
      </x:c>
      <x:c r="AE604" s="18" t="n">
        <x:f>IF(MOD(B604,12)=0,1,0)</x:f>
        <x:v>0</x:v>
      </x:c>
    </x:row>
    <x:row r="605" ht="22" customHeight="1">
      <x:c r="A605" s="19" t="str">
        <x:v>折磨</x:v>
      </x:c>
      <x:c r="B605" s="19" t="n">
        <x:v>120</x:v>
      </x:c>
      <x:c r="C605" s="19" t="n">
        <x:f>ROUNDUP(B605/12,0)</x:f>
        <x:v>10</x:v>
      </x:c>
      <x:c r="D605" s="19" t="n">
        <x:f>ROUND(MAX('参数'!$G$30,E605)+(IF(C605&lt;10,INDEX('参数'!$G$38:$P$38,1,MIN(10,C605+1)),'参数'!$H$30)-MAX('参数'!$G$30,E605))*MOD(B605-1,12)/11,0)</x:f>
        <x:v>100</x:v>
      </x:c>
      <x:c r="E605" s="19" t="n">
        <x:f>INDEX('参数'!$G$38:$P$38,1,C605)</x:f>
        <x:v>100</x:v>
      </x:c>
      <x:c r="F605" s="20" t="n">
        <x:f>'参数'!$I$30</x:f>
        <x:v>1.43</x:v>
      </x:c>
      <x:c r="G605" s="19" t="n">
        <x:f>ROUND(V605*X605/'参数'!$B$56,0)</x:f>
        <x:v>520392</x:v>
      </x:c>
      <x:c r="H605" s="19" t="n">
        <x:f>ROUND((AA605+SQRT(AA605^2+4*AA605*'参数'!$B$22*U605))/2,0)</x:f>
        <x:v>17202</x:v>
      </x:c>
      <x:c r="I605" s="19" t="n">
        <x:f>ROUND(Q605*'参数'!$B$23/'参数'!$B$22,0)</x:f>
        <x:v>2126</x:v>
      </x:c>
      <x:c r="J605" s="19" t="n">
        <x:f>ROUND(G605*'参数'!$B$50,0)</x:f>
        <x:v>1561176</x:v>
      </x:c>
      <x:c r="K605" s="19" t="n">
        <x:f>ROUND(W605*Y605,0)</x:f>
        <x:v>5891394</x:v>
      </x:c>
      <x:c r="L605" s="19" t="n">
        <x:f>ROUND((AB605+SQRT(AB605^2+4*AB605*'参数'!$B$22*U605))/2,0)</x:f>
        <x:v>29670</x:v>
      </x:c>
      <x:c r="M605" s="19" t="n">
        <x:f>ROUND(I605*'参数'!$B$24,0)</x:f>
        <x:v>2658</x:v>
      </x:c>
      <x:c r="N605" s="19" t="n">
        <x:f>'参数'!$B$9*'参数'!$B$10^(D605-1)</x:f>
        <x:v>11195.319600498813</x:v>
      </x:c>
      <x:c r="O605" s="19" t="n">
        <x:f>'参数'!$B$18*'参数'!$B$19^(MIN(E605,MAX(1,5*INT(D605/5)))-1)*F605*'参数'!$J$30*P605</x:f>
        <x:v>2103.552925769118</x:v>
      </x:c>
      <x:c r="P605" s="22" t="n">
        <x:f>MIN(1,(D605-1)/19)</x:f>
        <x:v>1</x:v>
      </x:c>
      <x:c r="Q605" s="19" t="n">
        <x:f>INDEX('角色成长'!$F$6:$F$105,D605)+O605*'参数'!$K$21</x:f>
        <x:v>10629.125838441985</x:v>
      </x:c>
      <x:c r="R605" s="19" t="n">
        <x:f>INDEX('角色成长'!$I$6:$I$105,D605)+O605*'参数'!$K$21</x:f>
        <x:v>9331.125838441985</x:v>
      </x:c>
      <x:c r="S605" s="19" t="n">
        <x:f>INDEX('角色成长'!$L$6:$L$105,D605)+O605*'参数'!$K$21</x:f>
        <x:v>8590.125838441985</x:v>
      </x:c>
      <x:c r="T605" s="19" t="n">
        <x:f>(INDEX('角色成长'!$J$6:$J$105,D605)+O605*'参数'!$L$21)*(1+'参数'!$B$40*P605)</x:f>
        <x:v>118666.76244728187</x:v>
      </x:c>
      <x:c r="U605" s="19" t="n">
        <x:f>(INDEX('角色成长'!$K$6:$K$105,D605)+O605*'参数'!$M$21)*(1+'参数'!$B$41*P605)</x:f>
        <x:v>6699.239382105553</x:v>
      </x:c>
      <x:c r="V605" s="19" t="n">
        <x:f>(('参数'!$K$5*(((Q605*(1+'参数'!$B$39*P605))^2/((Q605*(1+'参数'!$B$39*P605))+'参数'!$B$22*(I605)))*(1+'参数'!$B$42*P605)/'参数'!$J$5+((Q605*'参数'!$B$43*(1+'参数'!$B$39*P605))^2/((Q605*'参数'!$B$43*(1+'参数'!$B$39*P605))+'参数'!$B$22*(I605)))/'参数'!$B$44))+(((R605*(1+'参数'!$B$39*P605))^2/((R605*(1+'参数'!$B$39*P605))+'参数'!$B$22*(I605)))*(1+'参数'!$B$42*P605)/'参数'!$J$6+((R605*'参数'!$B$45*(1+'参数'!$B$39*P605))^2/((R605*'参数'!$B$45*(1+'参数'!$B$39*P605))+'参数'!$B$22*(I605)))/'参数'!$B$46)+((S605*(1+'参数'!$B$39*P605))^2/((S605*(1+'参数'!$B$39*P605))+'参数'!$B$22*(I605)))*(1+'参数'!$B$42*P605)/'参数'!$J$7)*(1+'参数'!$B$37*('参数'!$B$38-1))*'参数'!$B$25</x:f>
        <x:v>72276.65152942482</x:v>
      </x:c>
      <x:c r="W605" s="19" t="n">
        <x:f>(('参数'!$K$5*(((Q605*(1+'参数'!$B$39*P605))^2/((Q605*(1+'参数'!$B$39*P605))+'参数'!$B$22*(M605)))*(1+'参数'!$B$42*P605)/'参数'!$J$5+((Q605*'参数'!$B$43*(1+'参数'!$B$39*P605))^2/((Q605*'参数'!$B$43*(1+'参数'!$B$39*P605))+'参数'!$B$22*(M605)))/'参数'!$B$44))+(((R605*(1+'参数'!$B$39*P605))^2/((R605*(1+'参数'!$B$39*P605))+'参数'!$B$22*(M605)))*(1+'参数'!$B$42*P605)/'参数'!$J$6+((R605*'参数'!$B$45*(1+'参数'!$B$39*P605))^2/((R605*'参数'!$B$45*(1+'参数'!$B$39*P605))+'参数'!$B$22*(M605)))/'参数'!$B$46)+((S605*(1+'参数'!$B$39*P605))^2/((S605*(1+'参数'!$B$39*P605))+'参数'!$B$22*(M605)))*(1+'参数'!$B$42*P605)/'参数'!$J$7)*(1+'参数'!$B$37*('参数'!$B$38-1))</x:f>
        <x:v>55684.2511674383</x:v>
      </x:c>
      <x:c r="X605" s="26" t="n">
        <x:f>('参数'!$B$26+'参数'!$B$27*(D605-1)/99)*'参数'!$K$30*AD605</x:f>
        <x:v>33.12</x:v>
      </x:c>
      <x:c r="Y605" s="26" t="n">
        <x:f>('参数'!$B$28+'参数'!$B$29*(D605-1)/99)*'参数'!$K$30*AD605*IF(AE605=1,'参数'!$B$51,1)</x:f>
        <x:v>105.8</x:v>
      </x:c>
      <x:c r="Z605" s="22" t="n">
        <x:f>MIN('参数'!$B$36,U605/(U605+'参数'!$B$35))</x:f>
        <x:v>0.6261416482848315</x:v>
      </x:c>
      <x:c r="AA605" s="19" t="n">
        <x:f>T605*'参数'!$B$30/('参数'!$B$32*'参数'!$B$33)/(1-Z605)*AC605</x:f>
        <x:v>11569.631844145135</x:v>
      </x:c>
      <x:c r="AB605" s="19" t="n">
        <x:f>T605*'参数'!$B$31/'参数'!$B$34/(1-Z605)*AC605</x:f>
        <x:v>23139.26368829027</x:v>
      </x:c>
      <x:c r="AC605" s="20" t="n">
        <x:f>'参数'!$L$30*(1+'参数'!$B$53*(B605-1)/119)</x:f>
        <x:v>1.4580000000000002</x:v>
      </x:c>
      <x:c r="AD605" s="20" t="n">
        <x:f>1+'参数'!$B$52*(B605-1)/119</x:f>
        <x:v>1.15</x:v>
      </x:c>
      <x:c r="AE605" s="19" t="n">
        <x:f>IF(MOD(B605,12)=0,1,0)</x:f>
        <x:v>1</x:v>
      </x:c>
    </x:row>
  </x:sheetData>
  <x:pageMargins left="0.7" right="0.7" top="0.75" bottom="0.75" header="0.3" footer="0.3"/>
</x:worksheet>
</file>